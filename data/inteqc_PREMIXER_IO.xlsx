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19125" windowHeight="7905" tabRatio="897" activeTab="3"/>
  </bookViews>
  <sheets>
    <sheet name="项目描述" sheetId="1" r:id="rId1"/>
    <sheet name="MCCY1_2" sheetId="2" r:id="rId2"/>
    <sheet name="MCCY3" sheetId="3" r:id="rId3"/>
    <sheet name="PLC" sheetId="4" r:id="rId4"/>
    <sheet name="布局图" sheetId="5" r:id="rId5"/>
    <sheet name="材料汇总" sheetId="6" r:id="rId6"/>
  </sheets>
  <calcPr calcId="124519" concurrentCalc="0"/>
  <fileRecoveryPr repairLoad="1"/>
</workbook>
</file>

<file path=xl/calcChain.xml><?xml version="1.0" encoding="utf-8"?>
<calcChain xmlns="http://schemas.openxmlformats.org/spreadsheetml/2006/main">
  <c r="E29" i="6"/>
  <c r="E25"/>
  <c r="Q260" i="4"/>
  <c r="P260"/>
  <c r="N260"/>
  <c r="Q259"/>
  <c r="P259"/>
  <c r="N259"/>
  <c r="Q258"/>
  <c r="P258"/>
  <c r="N258"/>
  <c r="Q257"/>
  <c r="P257"/>
  <c r="N257"/>
  <c r="Q256"/>
  <c r="P256"/>
  <c r="N256"/>
  <c r="Q255"/>
  <c r="P255"/>
  <c r="N255"/>
  <c r="Q254"/>
  <c r="P254"/>
  <c r="N254"/>
  <c r="Q253"/>
  <c r="P253"/>
  <c r="N253"/>
  <c r="Q252"/>
  <c r="P252"/>
  <c r="N252"/>
  <c r="Q251"/>
  <c r="P251"/>
  <c r="N251"/>
  <c r="Q250"/>
  <c r="P250"/>
  <c r="N250"/>
  <c r="Q249"/>
  <c r="P249"/>
  <c r="N249"/>
  <c r="Q248"/>
  <c r="P248"/>
  <c r="N248"/>
  <c r="Q247"/>
  <c r="P247"/>
  <c r="N247"/>
  <c r="Q246"/>
  <c r="P246"/>
  <c r="N246"/>
  <c r="Q245"/>
  <c r="P245"/>
  <c r="N245"/>
  <c r="Q244"/>
  <c r="P244"/>
  <c r="N244"/>
  <c r="Q243"/>
  <c r="P243"/>
  <c r="N243"/>
  <c r="Q242"/>
  <c r="P242"/>
  <c r="N242"/>
  <c r="Q241"/>
  <c r="P241"/>
  <c r="N241"/>
  <c r="Q240"/>
  <c r="P240"/>
  <c r="N240"/>
  <c r="Q239"/>
  <c r="P239"/>
  <c r="N239"/>
  <c r="Q238"/>
  <c r="P238"/>
  <c r="N238"/>
  <c r="Q237"/>
  <c r="P237"/>
  <c r="N237"/>
  <c r="Q236"/>
  <c r="P236"/>
  <c r="N236"/>
  <c r="Q235"/>
  <c r="P235"/>
  <c r="N235"/>
  <c r="Q234"/>
  <c r="P234"/>
  <c r="N234"/>
  <c r="Q233"/>
  <c r="P233"/>
  <c r="N233"/>
  <c r="Q232"/>
  <c r="P232"/>
  <c r="N232"/>
  <c r="Q231"/>
  <c r="P231"/>
  <c r="N231"/>
  <c r="Q230"/>
  <c r="P230"/>
  <c r="N230"/>
  <c r="Q229"/>
  <c r="P229"/>
  <c r="N229"/>
  <c r="Q228"/>
  <c r="P228"/>
  <c r="N228"/>
  <c r="Q227"/>
  <c r="P227"/>
  <c r="N227"/>
  <c r="Q226"/>
  <c r="P226"/>
  <c r="N226"/>
  <c r="Q225"/>
  <c r="P225"/>
  <c r="N225"/>
  <c r="Q224"/>
  <c r="P224"/>
  <c r="N224"/>
  <c r="Q223"/>
  <c r="P223"/>
  <c r="N223"/>
  <c r="Q222"/>
  <c r="P222"/>
  <c r="N222"/>
  <c r="Q221"/>
  <c r="P221"/>
  <c r="N221"/>
  <c r="Q220"/>
  <c r="P220"/>
  <c r="N220"/>
  <c r="Q219"/>
  <c r="P219"/>
  <c r="N219"/>
  <c r="Q218"/>
  <c r="P218"/>
  <c r="N218"/>
  <c r="Q217"/>
  <c r="P217"/>
  <c r="N217"/>
  <c r="Q216"/>
  <c r="P216"/>
  <c r="N216"/>
  <c r="Q215"/>
  <c r="P215"/>
  <c r="N215"/>
  <c r="Q214"/>
  <c r="P214"/>
  <c r="N214"/>
  <c r="Q213"/>
  <c r="P213"/>
  <c r="N213"/>
  <c r="Q212"/>
  <c r="P212"/>
  <c r="N212"/>
  <c r="Q211"/>
  <c r="P211"/>
  <c r="N211"/>
  <c r="Q210"/>
  <c r="P210"/>
  <c r="N210"/>
  <c r="Q209"/>
  <c r="P209"/>
  <c r="N209"/>
  <c r="Q208"/>
  <c r="P208"/>
  <c r="N208"/>
  <c r="Q207"/>
  <c r="P207"/>
  <c r="N207"/>
  <c r="Q206"/>
  <c r="P206"/>
  <c r="N206"/>
  <c r="Q205"/>
  <c r="P205"/>
  <c r="N205"/>
  <c r="Q204"/>
  <c r="P204"/>
  <c r="N204"/>
  <c r="Q203"/>
  <c r="P203"/>
  <c r="N203"/>
  <c r="Q202"/>
  <c r="P202"/>
  <c r="N202"/>
  <c r="Q201"/>
  <c r="P201"/>
  <c r="N201"/>
  <c r="Q200"/>
  <c r="P200"/>
  <c r="N200"/>
  <c r="Q199"/>
  <c r="P199"/>
  <c r="N199"/>
  <c r="Q198"/>
  <c r="P198"/>
  <c r="N198"/>
  <c r="Q197"/>
  <c r="P197"/>
  <c r="N197"/>
  <c r="Q196"/>
  <c r="P196"/>
  <c r="N196"/>
  <c r="Q195"/>
  <c r="P195"/>
  <c r="N195"/>
  <c r="Q194"/>
  <c r="P194"/>
  <c r="N194"/>
  <c r="Q193"/>
  <c r="P193"/>
  <c r="N193"/>
  <c r="Q192"/>
  <c r="P192"/>
  <c r="N192"/>
  <c r="Q191"/>
  <c r="P191"/>
  <c r="N191"/>
  <c r="Q190"/>
  <c r="P190"/>
  <c r="N190"/>
  <c r="Q189"/>
  <c r="P189"/>
  <c r="N189"/>
  <c r="Q188"/>
  <c r="P188"/>
  <c r="N188"/>
  <c r="Q187"/>
  <c r="P187"/>
  <c r="N187"/>
  <c r="Q186"/>
  <c r="P186"/>
  <c r="N186"/>
  <c r="Q185"/>
  <c r="P185"/>
  <c r="N185"/>
  <c r="Q184"/>
  <c r="P184"/>
  <c r="N184"/>
  <c r="Q183"/>
  <c r="P183"/>
  <c r="N183"/>
  <c r="Q182"/>
  <c r="P182"/>
  <c r="N182"/>
  <c r="Q181"/>
  <c r="P181"/>
  <c r="N181"/>
  <c r="Q180"/>
  <c r="P180"/>
  <c r="N180"/>
  <c r="Q179"/>
  <c r="P179"/>
  <c r="N179"/>
  <c r="Q178"/>
  <c r="P178"/>
  <c r="N178"/>
  <c r="Q177"/>
  <c r="P177"/>
  <c r="N177"/>
  <c r="Q176"/>
  <c r="P176"/>
  <c r="N176"/>
  <c r="Q175"/>
  <c r="P175"/>
  <c r="N175"/>
  <c r="Q174"/>
  <c r="P174"/>
  <c r="N174"/>
  <c r="Q173"/>
  <c r="P173"/>
  <c r="N173"/>
  <c r="Q172"/>
  <c r="P172"/>
  <c r="N172"/>
  <c r="Q171"/>
  <c r="P171"/>
  <c r="N171"/>
  <c r="Q170"/>
  <c r="P170"/>
  <c r="N170"/>
  <c r="Q169"/>
  <c r="P169"/>
  <c r="N169"/>
  <c r="Q168"/>
  <c r="P168"/>
  <c r="N168"/>
  <c r="Q167"/>
  <c r="P167"/>
  <c r="N167"/>
  <c r="Q166"/>
  <c r="P166"/>
  <c r="N166"/>
  <c r="Q165"/>
  <c r="P165"/>
  <c r="N165"/>
  <c r="Q164"/>
  <c r="P164"/>
  <c r="N164"/>
  <c r="Q163"/>
  <c r="P163"/>
  <c r="N163"/>
  <c r="Q162"/>
  <c r="P162"/>
  <c r="N162"/>
  <c r="Q161"/>
  <c r="P161"/>
  <c r="N161"/>
  <c r="Q160"/>
  <c r="P160"/>
  <c r="N160"/>
  <c r="Q159"/>
  <c r="P159"/>
  <c r="N159"/>
  <c r="Q158"/>
  <c r="P158"/>
  <c r="N158"/>
  <c r="Q157"/>
  <c r="P157"/>
  <c r="N157"/>
  <c r="Q156"/>
  <c r="P156"/>
  <c r="N156"/>
  <c r="Q155"/>
  <c r="P155"/>
  <c r="N155"/>
  <c r="Q154"/>
  <c r="P154"/>
  <c r="N154"/>
  <c r="Q153"/>
  <c r="P153"/>
  <c r="N153"/>
  <c r="Q152"/>
  <c r="P152"/>
  <c r="N152"/>
  <c r="Q151"/>
  <c r="P151"/>
  <c r="N151"/>
  <c r="Q150"/>
  <c r="P150"/>
  <c r="N150"/>
  <c r="Q149"/>
  <c r="P149"/>
  <c r="N149"/>
  <c r="Q146"/>
  <c r="P146"/>
  <c r="N146"/>
  <c r="Q145"/>
  <c r="P145"/>
  <c r="N145"/>
  <c r="Q144"/>
  <c r="P144"/>
  <c r="N144"/>
  <c r="Q143"/>
  <c r="P143"/>
  <c r="N143"/>
  <c r="Q142"/>
  <c r="P142"/>
  <c r="N142"/>
  <c r="Q141"/>
  <c r="P141"/>
  <c r="N141"/>
  <c r="Q140"/>
  <c r="P140"/>
  <c r="N140"/>
  <c r="Q139"/>
  <c r="P139"/>
  <c r="N139"/>
  <c r="Q138"/>
  <c r="P138"/>
  <c r="N138"/>
  <c r="Q137"/>
  <c r="P137"/>
  <c r="N137"/>
  <c r="Q136"/>
  <c r="P136"/>
  <c r="N136"/>
  <c r="Q135"/>
  <c r="P135"/>
  <c r="N135"/>
  <c r="Q134"/>
  <c r="P134"/>
  <c r="N134"/>
  <c r="Q133"/>
  <c r="P133"/>
  <c r="N133"/>
  <c r="Q132"/>
  <c r="P132"/>
  <c r="N132"/>
  <c r="Q131"/>
  <c r="P131"/>
  <c r="N131"/>
  <c r="Q130"/>
  <c r="P130"/>
  <c r="N130"/>
  <c r="Q129"/>
  <c r="P129"/>
  <c r="N129"/>
  <c r="Q128"/>
  <c r="P128"/>
  <c r="N128"/>
  <c r="Q127"/>
  <c r="P127"/>
  <c r="N127"/>
  <c r="Q126"/>
  <c r="P126"/>
  <c r="N126"/>
  <c r="Q125"/>
  <c r="P125"/>
  <c r="N125"/>
  <c r="Q124"/>
  <c r="P124"/>
  <c r="N124"/>
  <c r="Q123"/>
  <c r="P123"/>
  <c r="N123"/>
  <c r="Q122"/>
  <c r="P122"/>
  <c r="N122"/>
  <c r="Q121"/>
  <c r="P121"/>
  <c r="N121"/>
  <c r="Q120"/>
  <c r="P120"/>
  <c r="N120"/>
  <c r="Q119"/>
  <c r="P119"/>
  <c r="N119"/>
  <c r="Q118"/>
  <c r="P118"/>
  <c r="N118"/>
  <c r="Q117"/>
  <c r="P117"/>
  <c r="N117"/>
  <c r="Q116"/>
  <c r="P116"/>
  <c r="N116"/>
  <c r="Q115"/>
  <c r="P115"/>
  <c r="N115"/>
  <c r="Q114"/>
  <c r="P114"/>
  <c r="N114"/>
  <c r="Q113"/>
  <c r="P113"/>
  <c r="N113"/>
  <c r="Q112"/>
  <c r="P112"/>
  <c r="N112"/>
  <c r="Q111"/>
  <c r="P111"/>
  <c r="N111"/>
  <c r="Q110"/>
  <c r="P110"/>
  <c r="N110"/>
  <c r="Q109"/>
  <c r="P109"/>
  <c r="N109"/>
  <c r="Q108"/>
  <c r="P108"/>
  <c r="N108"/>
  <c r="Q107"/>
  <c r="P107"/>
  <c r="N107"/>
  <c r="Q106"/>
  <c r="P106"/>
  <c r="N106"/>
  <c r="Q105"/>
  <c r="P105"/>
  <c r="N105"/>
  <c r="Q104"/>
  <c r="P104"/>
  <c r="N104"/>
  <c r="Q103"/>
  <c r="P103"/>
  <c r="N103"/>
  <c r="Q102"/>
  <c r="P102"/>
  <c r="N102"/>
  <c r="Q101"/>
  <c r="P101"/>
  <c r="N101"/>
  <c r="Q100"/>
  <c r="P100"/>
  <c r="N100"/>
  <c r="Q99"/>
  <c r="P99"/>
  <c r="N99"/>
  <c r="Q98"/>
  <c r="P98"/>
  <c r="N98"/>
  <c r="Q97"/>
  <c r="P97"/>
  <c r="N97"/>
  <c r="Q96"/>
  <c r="P96"/>
  <c r="N96"/>
  <c r="Q95"/>
  <c r="P95"/>
  <c r="N95"/>
  <c r="Q94"/>
  <c r="P94"/>
  <c r="N94"/>
  <c r="Q93"/>
  <c r="P93"/>
  <c r="N93"/>
  <c r="Q92"/>
  <c r="P92"/>
  <c r="N92"/>
  <c r="Q91"/>
  <c r="P91"/>
  <c r="N91"/>
  <c r="Q90"/>
  <c r="P90"/>
  <c r="N90"/>
  <c r="Q89"/>
  <c r="P89"/>
  <c r="N89"/>
  <c r="Q88"/>
  <c r="P88"/>
  <c r="N88"/>
  <c r="Q87"/>
  <c r="P87"/>
  <c r="N87"/>
  <c r="Q86"/>
  <c r="P86"/>
  <c r="N86"/>
  <c r="Q85"/>
  <c r="P85"/>
  <c r="N85"/>
  <c r="Q84"/>
  <c r="P84"/>
  <c r="N84"/>
  <c r="Q83"/>
  <c r="P83"/>
  <c r="N83"/>
  <c r="Q82"/>
  <c r="P82"/>
  <c r="N82"/>
  <c r="Q81"/>
  <c r="P81"/>
  <c r="N81"/>
  <c r="Q80"/>
  <c r="P80"/>
  <c r="N80"/>
  <c r="Q79"/>
  <c r="P79"/>
  <c r="N79"/>
  <c r="Q78"/>
  <c r="P78"/>
  <c r="N78"/>
  <c r="Q77"/>
  <c r="P77"/>
  <c r="N77"/>
  <c r="Q76"/>
  <c r="P76"/>
  <c r="N76"/>
  <c r="Q75"/>
  <c r="P75"/>
  <c r="N75"/>
  <c r="Q74"/>
  <c r="P74"/>
  <c r="N74"/>
  <c r="Q73"/>
  <c r="P73"/>
  <c r="N73"/>
  <c r="Q72"/>
  <c r="P72"/>
  <c r="N72"/>
  <c r="Q71"/>
  <c r="P71"/>
  <c r="N71"/>
  <c r="Q70"/>
  <c r="P70"/>
  <c r="N70"/>
  <c r="Q69"/>
  <c r="P69"/>
  <c r="N69"/>
  <c r="Q68"/>
  <c r="P68"/>
  <c r="N68"/>
  <c r="Q67"/>
  <c r="P67"/>
  <c r="N67"/>
  <c r="Q66"/>
  <c r="P66"/>
  <c r="N66"/>
  <c r="Q65"/>
  <c r="P65"/>
  <c r="N65"/>
  <c r="Q64"/>
  <c r="P64"/>
  <c r="N64"/>
  <c r="Q63"/>
  <c r="P63"/>
  <c r="N63"/>
  <c r="Q62"/>
  <c r="P62"/>
  <c r="N62"/>
  <c r="Q61"/>
  <c r="P61"/>
  <c r="N61"/>
  <c r="Q60"/>
  <c r="P60"/>
  <c r="N60"/>
  <c r="Q59"/>
  <c r="P59"/>
  <c r="N59"/>
  <c r="Q58"/>
  <c r="P58"/>
  <c r="N58"/>
  <c r="Q57"/>
  <c r="P57"/>
  <c r="N57"/>
  <c r="Q56"/>
  <c r="P56"/>
  <c r="N56"/>
  <c r="Q55"/>
  <c r="P55"/>
  <c r="N55"/>
  <c r="Q54"/>
  <c r="P54"/>
  <c r="N54"/>
  <c r="Q53"/>
  <c r="P53"/>
  <c r="N53"/>
  <c r="Q52"/>
  <c r="P52"/>
  <c r="N52"/>
  <c r="Q51"/>
  <c r="P51"/>
  <c r="N51"/>
  <c r="Q50"/>
  <c r="P50"/>
  <c r="N50"/>
  <c r="Q49"/>
  <c r="P49"/>
  <c r="N49"/>
  <c r="Q48"/>
  <c r="P48"/>
  <c r="N48"/>
  <c r="Q47"/>
  <c r="P47"/>
  <c r="N47"/>
  <c r="Q46"/>
  <c r="P46"/>
  <c r="N46"/>
  <c r="Q45"/>
  <c r="P45"/>
  <c r="N45"/>
  <c r="Q44"/>
  <c r="P44"/>
  <c r="N44"/>
  <c r="Q43"/>
  <c r="P43"/>
  <c r="N43"/>
  <c r="Q42"/>
  <c r="P42"/>
  <c r="N42"/>
  <c r="Q41"/>
  <c r="P41"/>
  <c r="N41"/>
  <c r="Q40"/>
  <c r="P40"/>
  <c r="N40"/>
  <c r="Q39"/>
  <c r="P39"/>
  <c r="N39"/>
  <c r="Q38"/>
  <c r="P38"/>
  <c r="N38"/>
  <c r="Q37"/>
  <c r="P37"/>
  <c r="N37"/>
  <c r="Q36"/>
  <c r="P36"/>
  <c r="N36"/>
  <c r="Q35"/>
  <c r="P35"/>
  <c r="N35"/>
  <c r="Q34"/>
  <c r="P34"/>
  <c r="N34"/>
  <c r="Q33"/>
  <c r="P33"/>
  <c r="N33"/>
  <c r="Q32"/>
  <c r="P32"/>
  <c r="N32"/>
  <c r="Q31"/>
  <c r="P31"/>
  <c r="N31"/>
  <c r="Q30"/>
  <c r="P30"/>
  <c r="N30"/>
  <c r="Q29"/>
  <c r="P29"/>
  <c r="N29"/>
  <c r="Q28"/>
  <c r="P28"/>
  <c r="N28"/>
  <c r="Q27"/>
  <c r="P27"/>
  <c r="N27"/>
  <c r="Q26"/>
  <c r="P26"/>
  <c r="N26"/>
  <c r="Q25"/>
  <c r="P25"/>
  <c r="N25"/>
  <c r="Q24"/>
  <c r="P24"/>
  <c r="N24"/>
  <c r="Q23"/>
  <c r="P23"/>
  <c r="N23"/>
  <c r="Q22"/>
  <c r="P22"/>
  <c r="N22"/>
  <c r="Q21"/>
  <c r="P21"/>
  <c r="N21"/>
  <c r="Q20"/>
  <c r="P20"/>
  <c r="N20"/>
  <c r="Q19"/>
  <c r="P19"/>
  <c r="N19"/>
  <c r="Q18"/>
  <c r="P18"/>
  <c r="N18"/>
  <c r="Q17"/>
  <c r="P17"/>
  <c r="N17"/>
  <c r="Q16"/>
  <c r="P16"/>
  <c r="N16"/>
  <c r="Q15"/>
  <c r="P15"/>
  <c r="N15"/>
  <c r="Q14"/>
  <c r="P14"/>
  <c r="N14"/>
  <c r="Q13"/>
  <c r="P13"/>
  <c r="N13"/>
  <c r="Q12"/>
  <c r="P12"/>
  <c r="N12"/>
  <c r="Q11"/>
  <c r="P11"/>
  <c r="N11"/>
  <c r="Q10"/>
  <c r="P10"/>
  <c r="N10"/>
  <c r="Q9"/>
  <c r="P9"/>
  <c r="N9"/>
  <c r="Q8"/>
  <c r="P8"/>
  <c r="N8"/>
  <c r="Q7"/>
  <c r="P7"/>
  <c r="N7"/>
  <c r="Q6"/>
  <c r="P6"/>
  <c r="N6"/>
  <c r="Q5"/>
  <c r="P5"/>
  <c r="N5"/>
  <c r="Q4"/>
  <c r="P4"/>
  <c r="N4"/>
  <c r="Q3"/>
  <c r="P3"/>
  <c r="N3"/>
  <c r="Q212" i="3"/>
  <c r="P212"/>
  <c r="N212"/>
  <c r="Q211"/>
  <c r="P211"/>
  <c r="N211"/>
  <c r="Q210"/>
  <c r="P210"/>
  <c r="N210"/>
  <c r="Q209"/>
  <c r="P209"/>
  <c r="N209"/>
  <c r="Q208"/>
  <c r="P208"/>
  <c r="N208"/>
  <c r="Q207"/>
  <c r="P207"/>
  <c r="N207"/>
  <c r="Q206"/>
  <c r="P206"/>
  <c r="N206"/>
  <c r="Q205"/>
  <c r="P205"/>
  <c r="N205"/>
  <c r="Q204"/>
  <c r="P204"/>
  <c r="N204"/>
  <c r="Q203"/>
  <c r="P203"/>
  <c r="N203"/>
  <c r="Q202"/>
  <c r="P202"/>
  <c r="N202"/>
  <c r="Q201"/>
  <c r="P201"/>
  <c r="N201"/>
  <c r="Q200"/>
  <c r="P200"/>
  <c r="N200"/>
  <c r="Q199"/>
  <c r="P199"/>
  <c r="N199"/>
  <c r="Q198"/>
  <c r="P198"/>
  <c r="N198"/>
  <c r="Q197"/>
  <c r="P197"/>
  <c r="N197"/>
  <c r="Q196"/>
  <c r="P196"/>
  <c r="N196"/>
  <c r="Q195"/>
  <c r="P195"/>
  <c r="N195"/>
  <c r="Q194"/>
  <c r="P194"/>
  <c r="N194"/>
  <c r="Q193"/>
  <c r="P193"/>
  <c r="N193"/>
  <c r="Q192"/>
  <c r="P192"/>
  <c r="N192"/>
  <c r="Q191"/>
  <c r="P191"/>
  <c r="N191"/>
  <c r="Q190"/>
  <c r="P190"/>
  <c r="N190"/>
  <c r="Q189"/>
  <c r="P189"/>
  <c r="N189"/>
  <c r="Q188"/>
  <c r="P188"/>
  <c r="N188"/>
  <c r="Q187"/>
  <c r="P187"/>
  <c r="N187"/>
  <c r="Q186"/>
  <c r="P186"/>
  <c r="N186"/>
  <c r="Q185"/>
  <c r="P185"/>
  <c r="N185"/>
  <c r="Q184"/>
  <c r="P184"/>
  <c r="N184"/>
  <c r="Q183"/>
  <c r="P183"/>
  <c r="N183"/>
  <c r="Q182"/>
  <c r="P182"/>
  <c r="N182"/>
  <c r="Q181"/>
  <c r="P181"/>
  <c r="N181"/>
  <c r="Q180"/>
  <c r="P180"/>
  <c r="N180"/>
  <c r="Q179"/>
  <c r="P179"/>
  <c r="N179"/>
  <c r="Q178"/>
  <c r="P178"/>
  <c r="N178"/>
  <c r="Q177"/>
  <c r="P177"/>
  <c r="N177"/>
  <c r="Q176"/>
  <c r="P176"/>
  <c r="N176"/>
  <c r="Q175"/>
  <c r="P175"/>
  <c r="N175"/>
  <c r="Q174"/>
  <c r="P174"/>
  <c r="N174"/>
  <c r="Q173"/>
  <c r="P173"/>
  <c r="N173"/>
  <c r="Q172"/>
  <c r="P172"/>
  <c r="N172"/>
  <c r="Q171"/>
  <c r="P171"/>
  <c r="N171"/>
  <c r="Q170"/>
  <c r="P170"/>
  <c r="N170"/>
  <c r="Q169"/>
  <c r="P169"/>
  <c r="N169"/>
  <c r="Q168"/>
  <c r="P168"/>
  <c r="N168"/>
  <c r="Q167"/>
  <c r="P167"/>
  <c r="N167"/>
  <c r="Q166"/>
  <c r="P166"/>
  <c r="N166"/>
  <c r="Q165"/>
  <c r="P165"/>
  <c r="N165"/>
  <c r="Q164"/>
  <c r="P164"/>
  <c r="N164"/>
  <c r="Q163"/>
  <c r="P163"/>
  <c r="N163"/>
  <c r="Q162"/>
  <c r="P162"/>
  <c r="N162"/>
  <c r="Q161"/>
  <c r="P161"/>
  <c r="N161"/>
  <c r="Q160"/>
  <c r="P160"/>
  <c r="N160"/>
  <c r="Q159"/>
  <c r="P159"/>
  <c r="N159"/>
  <c r="Q158"/>
  <c r="P158"/>
  <c r="N158"/>
  <c r="Q157"/>
  <c r="P157"/>
  <c r="N157"/>
  <c r="Q156"/>
  <c r="P156"/>
  <c r="N156"/>
  <c r="Q155"/>
  <c r="P155"/>
  <c r="N155"/>
  <c r="Q154"/>
  <c r="P154"/>
  <c r="N154"/>
  <c r="Q153"/>
  <c r="P153"/>
  <c r="N153"/>
  <c r="Q152"/>
  <c r="P152"/>
  <c r="N152"/>
  <c r="Q151"/>
  <c r="P151"/>
  <c r="N151"/>
  <c r="Q150"/>
  <c r="P150"/>
  <c r="N150"/>
  <c r="Q149"/>
  <c r="P149"/>
  <c r="N149"/>
  <c r="Q148"/>
  <c r="P148"/>
  <c r="N148"/>
  <c r="Q147"/>
  <c r="P147"/>
  <c r="N147"/>
  <c r="Q146"/>
  <c r="P146"/>
  <c r="N146"/>
  <c r="Q145"/>
  <c r="P145"/>
  <c r="N145"/>
  <c r="Q144"/>
  <c r="P144"/>
  <c r="N144"/>
  <c r="Q143"/>
  <c r="P143"/>
  <c r="N143"/>
  <c r="Q142"/>
  <c r="P142"/>
  <c r="N142"/>
  <c r="Q141"/>
  <c r="P141"/>
  <c r="N141"/>
  <c r="Q140"/>
  <c r="P140"/>
  <c r="N140"/>
  <c r="Q139"/>
  <c r="P139"/>
  <c r="N139"/>
  <c r="Q138"/>
  <c r="P138"/>
  <c r="N138"/>
  <c r="Q137"/>
  <c r="P137"/>
  <c r="N137"/>
  <c r="Q136"/>
  <c r="P136"/>
  <c r="N136"/>
  <c r="Q135"/>
  <c r="P135"/>
  <c r="N135"/>
  <c r="Q134"/>
  <c r="P134"/>
  <c r="N134"/>
  <c r="Q133"/>
  <c r="P133"/>
  <c r="N133"/>
  <c r="Q132"/>
  <c r="P132"/>
  <c r="N132"/>
  <c r="Q131"/>
  <c r="P131"/>
  <c r="N131"/>
  <c r="Q130"/>
  <c r="P130"/>
  <c r="N130"/>
  <c r="Q129"/>
  <c r="P129"/>
  <c r="N129"/>
  <c r="Q128"/>
  <c r="P128"/>
  <c r="N128"/>
  <c r="Q127"/>
  <c r="P127"/>
  <c r="N127"/>
  <c r="Q126"/>
  <c r="P126"/>
  <c r="N126"/>
  <c r="Q125"/>
  <c r="P125"/>
  <c r="N125"/>
  <c r="Q124"/>
  <c r="P124"/>
  <c r="N124"/>
  <c r="Q123"/>
  <c r="P123"/>
  <c r="N123"/>
  <c r="Q122"/>
  <c r="P122"/>
  <c r="N122"/>
  <c r="Q121"/>
  <c r="P121"/>
  <c r="N121"/>
  <c r="Q120"/>
  <c r="P120"/>
  <c r="N120"/>
  <c r="Q119"/>
  <c r="P119"/>
  <c r="N119"/>
  <c r="Q118"/>
  <c r="P118"/>
  <c r="N118"/>
  <c r="Q117"/>
  <c r="P117"/>
  <c r="N117"/>
  <c r="Q114"/>
  <c r="P114"/>
  <c r="N114"/>
  <c r="Q113"/>
  <c r="P113"/>
  <c r="N113"/>
  <c r="Q112"/>
  <c r="P112"/>
  <c r="N112"/>
  <c r="Q111"/>
  <c r="P111"/>
  <c r="N111"/>
  <c r="Q110"/>
  <c r="P110"/>
  <c r="N110"/>
  <c r="Q109"/>
  <c r="P109"/>
  <c r="N109"/>
  <c r="Q108"/>
  <c r="P108"/>
  <c r="N108"/>
  <c r="Q107"/>
  <c r="P107"/>
  <c r="N107"/>
  <c r="Q106"/>
  <c r="P106"/>
  <c r="N106"/>
  <c r="Q105"/>
  <c r="P105"/>
  <c r="N105"/>
  <c r="Q104"/>
  <c r="P104"/>
  <c r="N104"/>
  <c r="Q103"/>
  <c r="P103"/>
  <c r="N103"/>
  <c r="Q102"/>
  <c r="P102"/>
  <c r="N102"/>
  <c r="Q101"/>
  <c r="P101"/>
  <c r="N101"/>
  <c r="Q100"/>
  <c r="P100"/>
  <c r="N100"/>
  <c r="Q99"/>
  <c r="P99"/>
  <c r="N99"/>
  <c r="Q98"/>
  <c r="P98"/>
  <c r="N98"/>
  <c r="Q97"/>
  <c r="P97"/>
  <c r="N97"/>
  <c r="Q96"/>
  <c r="P96"/>
  <c r="N96"/>
  <c r="Q95"/>
  <c r="P95"/>
  <c r="N95"/>
  <c r="Q94"/>
  <c r="P94"/>
  <c r="N94"/>
  <c r="Q93"/>
  <c r="P93"/>
  <c r="N93"/>
  <c r="Q92"/>
  <c r="P92"/>
  <c r="N92"/>
  <c r="Q91"/>
  <c r="P91"/>
  <c r="N91"/>
  <c r="Q90"/>
  <c r="P90"/>
  <c r="N90"/>
  <c r="Q89"/>
  <c r="P89"/>
  <c r="N89"/>
  <c r="Q88"/>
  <c r="P88"/>
  <c r="N88"/>
  <c r="Q87"/>
  <c r="P87"/>
  <c r="N87"/>
  <c r="Q86"/>
  <c r="P86"/>
  <c r="N86"/>
  <c r="Q85"/>
  <c r="P85"/>
  <c r="N85"/>
  <c r="Q84"/>
  <c r="P84"/>
  <c r="N84"/>
  <c r="Q83"/>
  <c r="P83"/>
  <c r="N83"/>
  <c r="Q82"/>
  <c r="P82"/>
  <c r="N82"/>
  <c r="Q81"/>
  <c r="P81"/>
  <c r="N81"/>
  <c r="Q80"/>
  <c r="P80"/>
  <c r="N80"/>
  <c r="Q79"/>
  <c r="P79"/>
  <c r="N79"/>
  <c r="Q78"/>
  <c r="P78"/>
  <c r="N78"/>
  <c r="Q77"/>
  <c r="P77"/>
  <c r="N77"/>
  <c r="Q76"/>
  <c r="P76"/>
  <c r="N76"/>
  <c r="Q75"/>
  <c r="P75"/>
  <c r="N75"/>
  <c r="Q74"/>
  <c r="P74"/>
  <c r="N74"/>
  <c r="Q73"/>
  <c r="P73"/>
  <c r="N73"/>
  <c r="Q72"/>
  <c r="P72"/>
  <c r="N72"/>
  <c r="Q71"/>
  <c r="P71"/>
  <c r="N71"/>
  <c r="Q70"/>
  <c r="P70"/>
  <c r="N70"/>
  <c r="Q69"/>
  <c r="P69"/>
  <c r="N69"/>
  <c r="Q68"/>
  <c r="P68"/>
  <c r="N68"/>
  <c r="Q67"/>
  <c r="P67"/>
  <c r="N67"/>
  <c r="Q66"/>
  <c r="P66"/>
  <c r="N66"/>
  <c r="Q65"/>
  <c r="P65"/>
  <c r="N65"/>
  <c r="Q64"/>
  <c r="P64"/>
  <c r="N64"/>
  <c r="Q63"/>
  <c r="P63"/>
  <c r="N63"/>
  <c r="Q62"/>
  <c r="P62"/>
  <c r="N62"/>
  <c r="Q61"/>
  <c r="P61"/>
  <c r="N61"/>
  <c r="Q60"/>
  <c r="P60"/>
  <c r="N60"/>
  <c r="Q59"/>
  <c r="P59"/>
  <c r="N59"/>
  <c r="Q58"/>
  <c r="P58"/>
  <c r="N58"/>
  <c r="Q57"/>
  <c r="P57"/>
  <c r="N57"/>
  <c r="Q56"/>
  <c r="P56"/>
  <c r="N56"/>
  <c r="Q55"/>
  <c r="P55"/>
  <c r="N55"/>
  <c r="Q54"/>
  <c r="P54"/>
  <c r="N54"/>
  <c r="Q53"/>
  <c r="P53"/>
  <c r="N53"/>
  <c r="Q52"/>
  <c r="P52"/>
  <c r="N52"/>
  <c r="Q51"/>
  <c r="P51"/>
  <c r="N51"/>
  <c r="Q50"/>
  <c r="P50"/>
  <c r="N50"/>
  <c r="Q49"/>
  <c r="P49"/>
  <c r="N49"/>
  <c r="Q48"/>
  <c r="P48"/>
  <c r="N48"/>
  <c r="Q47"/>
  <c r="P47"/>
  <c r="N47"/>
  <c r="Q46"/>
  <c r="P46"/>
  <c r="N46"/>
  <c r="Q45"/>
  <c r="P45"/>
  <c r="N45"/>
  <c r="Q44"/>
  <c r="P44"/>
  <c r="N44"/>
  <c r="Q43"/>
  <c r="P43"/>
  <c r="N43"/>
  <c r="Q42"/>
  <c r="P42"/>
  <c r="N42"/>
  <c r="Q41"/>
  <c r="P41"/>
  <c r="N41"/>
  <c r="Q40"/>
  <c r="P40"/>
  <c r="N40"/>
  <c r="Q39"/>
  <c r="P39"/>
  <c r="N39"/>
  <c r="Q38"/>
  <c r="P38"/>
  <c r="N38"/>
  <c r="Q37"/>
  <c r="P37"/>
  <c r="N37"/>
  <c r="Q36"/>
  <c r="P36"/>
  <c r="N36"/>
  <c r="Q35"/>
  <c r="P35"/>
  <c r="N35"/>
  <c r="Q34"/>
  <c r="P34"/>
  <c r="N34"/>
  <c r="Q33"/>
  <c r="P33"/>
  <c r="N33"/>
  <c r="Q32"/>
  <c r="P32"/>
  <c r="N32"/>
  <c r="Q31"/>
  <c r="P31"/>
  <c r="N31"/>
  <c r="Q30"/>
  <c r="P30"/>
  <c r="N30"/>
  <c r="Q29"/>
  <c r="P29"/>
  <c r="N29"/>
  <c r="Q28"/>
  <c r="P28"/>
  <c r="N28"/>
  <c r="Q27"/>
  <c r="P27"/>
  <c r="N27"/>
  <c r="Q26"/>
  <c r="P26"/>
  <c r="N26"/>
  <c r="Q25"/>
  <c r="P25"/>
  <c r="N25"/>
  <c r="Q24"/>
  <c r="P24"/>
  <c r="N24"/>
  <c r="Q23"/>
  <c r="P23"/>
  <c r="N23"/>
  <c r="Q22"/>
  <c r="P22"/>
  <c r="N22"/>
  <c r="Q21"/>
  <c r="P21"/>
  <c r="N21"/>
  <c r="Q20"/>
  <c r="P20"/>
  <c r="N20"/>
  <c r="Q19"/>
  <c r="P19"/>
  <c r="N19"/>
  <c r="Q18"/>
  <c r="P18"/>
  <c r="N18"/>
  <c r="Q17"/>
  <c r="P17"/>
  <c r="N17"/>
  <c r="Q16"/>
  <c r="P16"/>
  <c r="N16"/>
  <c r="Q15"/>
  <c r="P15"/>
  <c r="N15"/>
  <c r="Q14"/>
  <c r="P14"/>
  <c r="N14"/>
  <c r="Q13"/>
  <c r="P13"/>
  <c r="N13"/>
  <c r="Q12"/>
  <c r="P12"/>
  <c r="N12"/>
  <c r="Q11"/>
  <c r="P11"/>
  <c r="N11"/>
  <c r="Q10"/>
  <c r="P10"/>
  <c r="N10"/>
  <c r="Q9"/>
  <c r="P9"/>
  <c r="N9"/>
  <c r="Q8"/>
  <c r="P8"/>
  <c r="N8"/>
  <c r="Q7"/>
  <c r="P7"/>
  <c r="N7"/>
  <c r="Q6"/>
  <c r="P6"/>
  <c r="N6"/>
  <c r="Q5"/>
  <c r="P5"/>
  <c r="N5"/>
  <c r="Q4"/>
  <c r="P4"/>
  <c r="N4"/>
  <c r="Q3"/>
  <c r="P3"/>
  <c r="N3"/>
  <c r="R220" i="2"/>
  <c r="Q220"/>
  <c r="O220"/>
  <c r="R219"/>
  <c r="Q219"/>
  <c r="O219"/>
  <c r="R218"/>
  <c r="Q218"/>
  <c r="O218"/>
  <c r="R217"/>
  <c r="Q217"/>
  <c r="O217"/>
  <c r="R216"/>
  <c r="Q216"/>
  <c r="O216"/>
  <c r="R215"/>
  <c r="Q215"/>
  <c r="O215"/>
  <c r="R214"/>
  <c r="Q214"/>
  <c r="O214"/>
  <c r="R213"/>
  <c r="Q213"/>
  <c r="O213"/>
  <c r="R212"/>
  <c r="Q212"/>
  <c r="O212"/>
  <c r="R211"/>
  <c r="Q211"/>
  <c r="O211"/>
  <c r="R210"/>
  <c r="Q210"/>
  <c r="O210"/>
  <c r="R209"/>
  <c r="Q209"/>
  <c r="O209"/>
  <c r="R208"/>
  <c r="Q208"/>
  <c r="O208"/>
  <c r="R207"/>
  <c r="Q207"/>
  <c r="O207"/>
  <c r="R206"/>
  <c r="Q206"/>
  <c r="O206"/>
  <c r="R205"/>
  <c r="Q205"/>
  <c r="O205"/>
  <c r="R204"/>
  <c r="Q204"/>
  <c r="O204"/>
  <c r="R203"/>
  <c r="Q203"/>
  <c r="O203"/>
  <c r="R202"/>
  <c r="Q202"/>
  <c r="O202"/>
  <c r="R201"/>
  <c r="Q201"/>
  <c r="O201"/>
  <c r="R200"/>
  <c r="Q200"/>
  <c r="O200"/>
  <c r="R199"/>
  <c r="Q199"/>
  <c r="O199"/>
  <c r="R198"/>
  <c r="Q198"/>
  <c r="O198"/>
  <c r="R197"/>
  <c r="Q197"/>
  <c r="O197"/>
  <c r="R196"/>
  <c r="Q196"/>
  <c r="O196"/>
  <c r="R195"/>
  <c r="Q195"/>
  <c r="O195"/>
  <c r="R194"/>
  <c r="Q194"/>
  <c r="O194"/>
  <c r="R193"/>
  <c r="Q193"/>
  <c r="O193"/>
  <c r="R192"/>
  <c r="Q192"/>
  <c r="O192"/>
  <c r="R191"/>
  <c r="Q191"/>
  <c r="O191"/>
  <c r="R190"/>
  <c r="Q190"/>
  <c r="O190"/>
  <c r="R189"/>
  <c r="Q189"/>
  <c r="O189"/>
  <c r="R188"/>
  <c r="Q188"/>
  <c r="O188"/>
  <c r="R187"/>
  <c r="Q187"/>
  <c r="O187"/>
  <c r="R186"/>
  <c r="Q186"/>
  <c r="O186"/>
  <c r="R185"/>
  <c r="Q185"/>
  <c r="O185"/>
  <c r="R184"/>
  <c r="Q184"/>
  <c r="O184"/>
  <c r="R183"/>
  <c r="Q183"/>
  <c r="O183"/>
  <c r="R182"/>
  <c r="Q182"/>
  <c r="O182"/>
  <c r="R181"/>
  <c r="Q181"/>
  <c r="O181"/>
  <c r="R180"/>
  <c r="Q180"/>
  <c r="O180"/>
  <c r="R179"/>
  <c r="Q179"/>
  <c r="O179"/>
  <c r="R178"/>
  <c r="Q178"/>
  <c r="O178"/>
  <c r="R177"/>
  <c r="Q177"/>
  <c r="O177"/>
  <c r="R176"/>
  <c r="Q176"/>
  <c r="O176"/>
  <c r="R175"/>
  <c r="Q175"/>
  <c r="O175"/>
  <c r="R174"/>
  <c r="Q174"/>
  <c r="O174"/>
  <c r="R173"/>
  <c r="Q173"/>
  <c r="O173"/>
  <c r="R172"/>
  <c r="Q172"/>
  <c r="O172"/>
  <c r="R171"/>
  <c r="Q171"/>
  <c r="O171"/>
  <c r="R170"/>
  <c r="Q170"/>
  <c r="O170"/>
  <c r="R169"/>
  <c r="Q169"/>
  <c r="O169"/>
  <c r="R168"/>
  <c r="Q168"/>
  <c r="O168"/>
  <c r="R167"/>
  <c r="Q167"/>
  <c r="O167"/>
  <c r="R166"/>
  <c r="Q166"/>
  <c r="O166"/>
  <c r="R165"/>
  <c r="Q165"/>
  <c r="O165"/>
  <c r="R164"/>
  <c r="Q164"/>
  <c r="O164"/>
  <c r="R163"/>
  <c r="Q163"/>
  <c r="O163"/>
  <c r="R162"/>
  <c r="Q162"/>
  <c r="O162"/>
  <c r="R161"/>
  <c r="Q161"/>
  <c r="O161"/>
  <c r="R160"/>
  <c r="Q160"/>
  <c r="O160"/>
  <c r="R159"/>
  <c r="Q159"/>
  <c r="O159"/>
  <c r="R158"/>
  <c r="Q158"/>
  <c r="O158"/>
  <c r="R157"/>
  <c r="Q157"/>
  <c r="O157"/>
  <c r="R156"/>
  <c r="Q156"/>
  <c r="O156"/>
  <c r="R155"/>
  <c r="Q155"/>
  <c r="O155"/>
  <c r="R154"/>
  <c r="Q154"/>
  <c r="O154"/>
  <c r="R153"/>
  <c r="Q153"/>
  <c r="O153"/>
  <c r="R152"/>
  <c r="Q152"/>
  <c r="O152"/>
  <c r="R151"/>
  <c r="Q151"/>
  <c r="O151"/>
  <c r="R150"/>
  <c r="Q150"/>
  <c r="O150"/>
  <c r="R149"/>
  <c r="Q149"/>
  <c r="O149"/>
  <c r="R148"/>
  <c r="Q148"/>
  <c r="O148"/>
  <c r="R147"/>
  <c r="Q147"/>
  <c r="O147"/>
  <c r="R146"/>
  <c r="Q146"/>
  <c r="O146"/>
  <c r="R145"/>
  <c r="Q145"/>
  <c r="O145"/>
  <c r="R144"/>
  <c r="Q144"/>
  <c r="O144"/>
  <c r="R143"/>
  <c r="Q143"/>
  <c r="O143"/>
  <c r="R142"/>
  <c r="Q142"/>
  <c r="O142"/>
  <c r="R141"/>
  <c r="Q141"/>
  <c r="O141"/>
  <c r="R140"/>
  <c r="Q140"/>
  <c r="O140"/>
  <c r="R139"/>
  <c r="Q139"/>
  <c r="O139"/>
  <c r="R138"/>
  <c r="Q138"/>
  <c r="O138"/>
  <c r="R137"/>
  <c r="Q137"/>
  <c r="O137"/>
  <c r="R136"/>
  <c r="Q136"/>
  <c r="O136"/>
  <c r="R135"/>
  <c r="Q135"/>
  <c r="O135"/>
  <c r="R134"/>
  <c r="Q134"/>
  <c r="O134"/>
  <c r="R133"/>
  <c r="Q133"/>
  <c r="O133"/>
  <c r="R132"/>
  <c r="Q132"/>
  <c r="O132"/>
  <c r="R131"/>
  <c r="Q131"/>
  <c r="O131"/>
  <c r="R130"/>
  <c r="Q130"/>
  <c r="O130"/>
  <c r="R129"/>
  <c r="Q129"/>
  <c r="O129"/>
  <c r="R128"/>
  <c r="Q128"/>
  <c r="O128"/>
  <c r="R127"/>
  <c r="Q127"/>
  <c r="O127"/>
  <c r="R126"/>
  <c r="Q126"/>
  <c r="O126"/>
  <c r="R125"/>
  <c r="Q125"/>
  <c r="O125"/>
  <c r="R124"/>
  <c r="Q124"/>
  <c r="O124"/>
  <c r="R123"/>
  <c r="Q123"/>
  <c r="O123"/>
  <c r="R122"/>
  <c r="Q122"/>
  <c r="O122"/>
  <c r="R121"/>
  <c r="Q121"/>
  <c r="O121"/>
  <c r="R120"/>
  <c r="Q120"/>
  <c r="O120"/>
  <c r="R119"/>
  <c r="Q119"/>
  <c r="O119"/>
  <c r="R118"/>
  <c r="Q118"/>
  <c r="O118"/>
  <c r="R117"/>
  <c r="Q117"/>
  <c r="O117"/>
  <c r="R116"/>
  <c r="Q116"/>
  <c r="O116"/>
  <c r="R115"/>
  <c r="Q115"/>
  <c r="O115"/>
  <c r="R114"/>
  <c r="Q114"/>
  <c r="O114"/>
  <c r="R113"/>
  <c r="Q113"/>
  <c r="O113"/>
  <c r="R112"/>
  <c r="Q112"/>
  <c r="O112"/>
  <c r="R111"/>
  <c r="Q111"/>
  <c r="O111"/>
  <c r="R110"/>
  <c r="Q110"/>
  <c r="O110"/>
  <c r="R109"/>
  <c r="Q109"/>
  <c r="O109"/>
  <c r="R105"/>
  <c r="Q105"/>
  <c r="P105"/>
  <c r="O105"/>
  <c r="R104"/>
  <c r="Q104"/>
  <c r="P104"/>
  <c r="O104"/>
  <c r="R103"/>
  <c r="Q103"/>
  <c r="P103"/>
  <c r="O103"/>
  <c r="R102"/>
  <c r="Q102"/>
  <c r="P102"/>
  <c r="O102"/>
  <c r="R98"/>
  <c r="Q98"/>
  <c r="O98"/>
  <c r="R97"/>
  <c r="Q97"/>
  <c r="O97"/>
  <c r="R96"/>
  <c r="Q96"/>
  <c r="O96"/>
  <c r="R95"/>
  <c r="Q95"/>
  <c r="O95"/>
  <c r="R94"/>
  <c r="Q94"/>
  <c r="O94"/>
  <c r="R93"/>
  <c r="Q93"/>
  <c r="O93"/>
  <c r="R92"/>
  <c r="Q92"/>
  <c r="O92"/>
  <c r="R91"/>
  <c r="Q91"/>
  <c r="O91"/>
  <c r="R90"/>
  <c r="Q90"/>
  <c r="O90"/>
  <c r="R89"/>
  <c r="Q89"/>
  <c r="O89"/>
  <c r="R88"/>
  <c r="Q88"/>
  <c r="O88"/>
  <c r="R87"/>
  <c r="Q87"/>
  <c r="O87"/>
  <c r="R86"/>
  <c r="Q86"/>
  <c r="O86"/>
  <c r="R85"/>
  <c r="Q85"/>
  <c r="O85"/>
  <c r="R84"/>
  <c r="Q84"/>
  <c r="O84"/>
  <c r="R83"/>
  <c r="Q83"/>
  <c r="O83"/>
  <c r="R82"/>
  <c r="Q82"/>
  <c r="O82"/>
  <c r="R81"/>
  <c r="Q81"/>
  <c r="O81"/>
  <c r="R80"/>
  <c r="Q80"/>
  <c r="O80"/>
  <c r="R79"/>
  <c r="Q79"/>
  <c r="O79"/>
  <c r="R78"/>
  <c r="Q78"/>
  <c r="O78"/>
  <c r="R77"/>
  <c r="Q77"/>
  <c r="O77"/>
  <c r="R76"/>
  <c r="Q76"/>
  <c r="O76"/>
  <c r="R75"/>
  <c r="Q75"/>
  <c r="O75"/>
  <c r="R74"/>
  <c r="Q74"/>
  <c r="O74"/>
  <c r="R73"/>
  <c r="Q73"/>
  <c r="O73"/>
  <c r="R72"/>
  <c r="Q72"/>
  <c r="O72"/>
  <c r="R71"/>
  <c r="Q71"/>
  <c r="O71"/>
  <c r="R70"/>
  <c r="Q70"/>
  <c r="O70"/>
  <c r="R69"/>
  <c r="Q69"/>
  <c r="O69"/>
  <c r="R68"/>
  <c r="Q68"/>
  <c r="O68"/>
  <c r="R67"/>
  <c r="Q67"/>
  <c r="O67"/>
  <c r="R66"/>
  <c r="Q66"/>
  <c r="O66"/>
  <c r="R65"/>
  <c r="Q65"/>
  <c r="O65"/>
  <c r="R64"/>
  <c r="Q64"/>
  <c r="O64"/>
  <c r="R63"/>
  <c r="Q63"/>
  <c r="O63"/>
  <c r="R62"/>
  <c r="Q62"/>
  <c r="O62"/>
  <c r="R61"/>
  <c r="Q61"/>
  <c r="O61"/>
  <c r="R60"/>
  <c r="Q60"/>
  <c r="O60"/>
  <c r="R59"/>
  <c r="Q59"/>
  <c r="O59"/>
  <c r="R58"/>
  <c r="Q58"/>
  <c r="O58"/>
  <c r="R57"/>
  <c r="Q57"/>
  <c r="O57"/>
  <c r="R56"/>
  <c r="Q56"/>
  <c r="O56"/>
  <c r="R55"/>
  <c r="Q55"/>
  <c r="O55"/>
  <c r="R54"/>
  <c r="Q54"/>
  <c r="O54"/>
  <c r="R53"/>
  <c r="Q53"/>
  <c r="O53"/>
  <c r="R52"/>
  <c r="Q52"/>
  <c r="O52"/>
  <c r="R51"/>
  <c r="Q51"/>
  <c r="O51"/>
  <c r="R50"/>
  <c r="Q50"/>
  <c r="O50"/>
  <c r="R49"/>
  <c r="Q49"/>
  <c r="O49"/>
  <c r="R48"/>
  <c r="Q48"/>
  <c r="O48"/>
  <c r="R47"/>
  <c r="Q47"/>
  <c r="O47"/>
  <c r="R46"/>
  <c r="Q46"/>
  <c r="O46"/>
  <c r="R45"/>
  <c r="Q45"/>
  <c r="O45"/>
  <c r="R44"/>
  <c r="Q44"/>
  <c r="O44"/>
  <c r="R43"/>
  <c r="Q43"/>
  <c r="O43"/>
  <c r="R42"/>
  <c r="Q42"/>
  <c r="O42"/>
  <c r="R41"/>
  <c r="Q41"/>
  <c r="O41"/>
  <c r="R40"/>
  <c r="Q40"/>
  <c r="O40"/>
  <c r="R39"/>
  <c r="Q39"/>
  <c r="O39"/>
  <c r="R38"/>
  <c r="Q38"/>
  <c r="O38"/>
  <c r="R37"/>
  <c r="Q37"/>
  <c r="O37"/>
  <c r="R36"/>
  <c r="Q36"/>
  <c r="O36"/>
  <c r="R35"/>
  <c r="Q35"/>
  <c r="O35"/>
  <c r="R34"/>
  <c r="Q34"/>
  <c r="O34"/>
  <c r="R33"/>
  <c r="Q33"/>
  <c r="O33"/>
  <c r="R32"/>
  <c r="Q32"/>
  <c r="O32"/>
  <c r="R31"/>
  <c r="Q31"/>
  <c r="O31"/>
  <c r="R30"/>
  <c r="Q30"/>
  <c r="O30"/>
  <c r="R29"/>
  <c r="Q29"/>
  <c r="O29"/>
  <c r="R28"/>
  <c r="Q28"/>
  <c r="O28"/>
  <c r="R27"/>
  <c r="Q27"/>
  <c r="O27"/>
  <c r="R26"/>
  <c r="Q26"/>
  <c r="O26"/>
  <c r="R25"/>
  <c r="Q25"/>
  <c r="O25"/>
  <c r="R24"/>
  <c r="Q24"/>
  <c r="O24"/>
  <c r="R23"/>
  <c r="Q23"/>
  <c r="O23"/>
  <c r="R22"/>
  <c r="Q22"/>
  <c r="O22"/>
  <c r="R21"/>
  <c r="Q21"/>
  <c r="O21"/>
  <c r="R20"/>
  <c r="Q20"/>
  <c r="O20"/>
  <c r="R19"/>
  <c r="Q19"/>
  <c r="O19"/>
  <c r="R18"/>
  <c r="Q18"/>
  <c r="O18"/>
  <c r="R17"/>
  <c r="Q17"/>
  <c r="O17"/>
  <c r="R16"/>
  <c r="Q16"/>
  <c r="O16"/>
  <c r="R15"/>
  <c r="Q15"/>
  <c r="O15"/>
  <c r="R14"/>
  <c r="Q14"/>
  <c r="O14"/>
  <c r="R13"/>
  <c r="Q13"/>
  <c r="O13"/>
  <c r="R12"/>
  <c r="Q12"/>
  <c r="O12"/>
  <c r="R11"/>
  <c r="Q11"/>
  <c r="O11"/>
  <c r="R10"/>
  <c r="Q10"/>
  <c r="O10"/>
  <c r="R9"/>
  <c r="Q9"/>
  <c r="O9"/>
  <c r="R8"/>
  <c r="Q8"/>
  <c r="O8"/>
  <c r="R7"/>
  <c r="Q7"/>
  <c r="O7"/>
  <c r="R6"/>
  <c r="Q6"/>
  <c r="O6"/>
  <c r="R5"/>
  <c r="Q5"/>
  <c r="O5"/>
  <c r="R4"/>
  <c r="Q4"/>
  <c r="O4"/>
  <c r="R3"/>
  <c r="Q3"/>
  <c r="O3"/>
</calcChain>
</file>

<file path=xl/sharedStrings.xml><?xml version="1.0" encoding="utf-8"?>
<sst xmlns="http://schemas.openxmlformats.org/spreadsheetml/2006/main" count="6181" uniqueCount="1521">
  <si>
    <r>
      <rPr>
        <b/>
        <sz val="10.5"/>
        <rFont val="宋体"/>
        <charset val="134"/>
      </rPr>
      <t>工程名称：</t>
    </r>
  </si>
  <si>
    <t>泰国inteqc  预混料</t>
  </si>
  <si>
    <r>
      <rPr>
        <b/>
        <sz val="10.5"/>
        <rFont val="宋体"/>
        <charset val="134"/>
      </rPr>
      <t>联系地址：</t>
    </r>
  </si>
  <si>
    <r>
      <rPr>
        <b/>
        <sz val="10.5"/>
        <rFont val="宋体"/>
        <charset val="134"/>
      </rPr>
      <t>联系方法：</t>
    </r>
  </si>
  <si>
    <r>
      <rPr>
        <b/>
        <sz val="10.5"/>
        <rFont val="宋体"/>
        <charset val="134"/>
      </rPr>
      <t>电气设计人员：</t>
    </r>
  </si>
  <si>
    <t>张卫萍</t>
  </si>
  <si>
    <r>
      <rPr>
        <b/>
        <sz val="10.5"/>
        <color indexed="8"/>
        <rFont val="宋体"/>
        <charset val="134"/>
      </rPr>
      <t>联系方法：</t>
    </r>
  </si>
  <si>
    <r>
      <rPr>
        <b/>
        <sz val="10.5"/>
        <color indexed="8"/>
        <rFont val="宋体"/>
        <charset val="134"/>
      </rPr>
      <t>开始时间：</t>
    </r>
  </si>
  <si>
    <r>
      <rPr>
        <b/>
        <sz val="10.5"/>
        <color indexed="8"/>
        <rFont val="宋体"/>
        <charset val="134"/>
      </rPr>
      <t>结束时间：</t>
    </r>
  </si>
  <si>
    <t>工艺设计</t>
  </si>
  <si>
    <t>业务员</t>
  </si>
  <si>
    <r>
      <rPr>
        <b/>
        <sz val="10.5"/>
        <rFont val="宋体"/>
        <charset val="134"/>
      </rPr>
      <t>程序设计人员：</t>
    </r>
  </si>
  <si>
    <r>
      <rPr>
        <b/>
        <sz val="10.5"/>
        <rFont val="宋体"/>
        <charset val="134"/>
      </rPr>
      <t>现场调试人员</t>
    </r>
    <r>
      <rPr>
        <b/>
        <sz val="10.5"/>
        <rFont val="Arial"/>
        <family val="2"/>
      </rPr>
      <t>1</t>
    </r>
    <r>
      <rPr>
        <b/>
        <sz val="10.5"/>
        <rFont val="宋体"/>
        <charset val="134"/>
      </rPr>
      <t>：</t>
    </r>
  </si>
  <si>
    <r>
      <rPr>
        <b/>
        <sz val="10.5"/>
        <rFont val="宋体"/>
        <charset val="134"/>
      </rPr>
      <t>现场调试人员</t>
    </r>
    <r>
      <rPr>
        <b/>
        <sz val="10.5"/>
        <rFont val="Arial"/>
        <family val="2"/>
      </rPr>
      <t>2</t>
    </r>
    <r>
      <rPr>
        <b/>
        <sz val="10.5"/>
        <rFont val="宋体"/>
        <charset val="134"/>
      </rPr>
      <t>：</t>
    </r>
  </si>
  <si>
    <r>
      <rPr>
        <b/>
        <sz val="10.5"/>
        <rFont val="宋体"/>
        <charset val="134"/>
      </rPr>
      <t>工程描述：【设计负责人填写】</t>
    </r>
  </si>
  <si>
    <t>投料口 小料口 LED</t>
  </si>
  <si>
    <t>小料口 扫码</t>
  </si>
  <si>
    <r>
      <rPr>
        <sz val="14"/>
        <rFont val="Arial"/>
        <family val="2"/>
      </rPr>
      <t>IO</t>
    </r>
    <r>
      <rPr>
        <sz val="14"/>
        <rFont val="宋体"/>
        <charset val="134"/>
      </rPr>
      <t>修改备注</t>
    </r>
  </si>
  <si>
    <t>输入</t>
  </si>
  <si>
    <t>序号</t>
  </si>
  <si>
    <t>地址</t>
  </si>
  <si>
    <t>符号表</t>
  </si>
  <si>
    <t>编号</t>
  </si>
  <si>
    <t>设备名称</t>
  </si>
  <si>
    <t>信号名称</t>
  </si>
  <si>
    <t>柜号</t>
  </si>
  <si>
    <t>I0.0</t>
  </si>
  <si>
    <t>除尘风机</t>
  </si>
  <si>
    <t>运行</t>
  </si>
  <si>
    <t>Fan</t>
  </si>
  <si>
    <t>Running</t>
  </si>
  <si>
    <t>MCCY1_2</t>
  </si>
  <si>
    <t>¶</t>
  </si>
  <si>
    <t>-</t>
  </si>
  <si>
    <t>2A2</t>
  </si>
  <si>
    <t>I0.1</t>
  </si>
  <si>
    <t>刮板机</t>
  </si>
  <si>
    <t>chain conveyor</t>
  </si>
  <si>
    <t>I0.2</t>
  </si>
  <si>
    <t>急停</t>
  </si>
  <si>
    <t>E-STOP</t>
  </si>
  <si>
    <t>I0.3</t>
  </si>
  <si>
    <t>I0.4</t>
  </si>
  <si>
    <t>提升机</t>
  </si>
  <si>
    <t>Elevator</t>
  </si>
  <si>
    <t>I0.5</t>
  </si>
  <si>
    <t>I0.6</t>
  </si>
  <si>
    <t>I0.7</t>
  </si>
  <si>
    <t>粉料筛</t>
  </si>
  <si>
    <t>precleaner</t>
  </si>
  <si>
    <t>I1.0</t>
  </si>
  <si>
    <t>I1.1</t>
  </si>
  <si>
    <t>分配器</t>
  </si>
  <si>
    <t>distributor</t>
  </si>
  <si>
    <t>I1.2</t>
  </si>
  <si>
    <t>2001_1</t>
  </si>
  <si>
    <t>I1.3</t>
  </si>
  <si>
    <t>2001_2</t>
  </si>
  <si>
    <t>I1.4</t>
  </si>
  <si>
    <t>2001_3</t>
  </si>
  <si>
    <t>I1.5</t>
  </si>
  <si>
    <t>2001_4</t>
  </si>
  <si>
    <t>I1.6</t>
  </si>
  <si>
    <t>I1.7</t>
  </si>
  <si>
    <t>输送绞龙</t>
  </si>
  <si>
    <t>conveyor</t>
  </si>
  <si>
    <t>I3.0</t>
  </si>
  <si>
    <t>2A3</t>
  </si>
  <si>
    <t>I3.1</t>
  </si>
  <si>
    <t>I3.2</t>
  </si>
  <si>
    <t>I3.3</t>
  </si>
  <si>
    <t>投料斗</t>
  </si>
  <si>
    <t>I3.4</t>
  </si>
  <si>
    <t>混合机</t>
  </si>
  <si>
    <t>合闸</t>
  </si>
  <si>
    <t>Mixer</t>
  </si>
  <si>
    <t>I3.5</t>
  </si>
  <si>
    <t>I3.6</t>
  </si>
  <si>
    <t>门保</t>
  </si>
  <si>
    <t>I3.7</t>
  </si>
  <si>
    <t>混合机门</t>
  </si>
  <si>
    <t>开门到位</t>
  </si>
  <si>
    <t>Mixer Door</t>
  </si>
  <si>
    <t>Opened</t>
  </si>
  <si>
    <t>关门到位</t>
  </si>
  <si>
    <t>Closed</t>
  </si>
  <si>
    <t>关风器</t>
  </si>
  <si>
    <t>Airlock</t>
  </si>
  <si>
    <t>风机</t>
  </si>
  <si>
    <t>配料变频器</t>
  </si>
  <si>
    <t>Screw feeder</t>
  </si>
  <si>
    <t>P01</t>
  </si>
  <si>
    <t>配料绞龙</t>
  </si>
  <si>
    <t>P02</t>
  </si>
  <si>
    <t>I4.0</t>
  </si>
  <si>
    <t>P03</t>
  </si>
  <si>
    <t>2A4</t>
  </si>
  <si>
    <t>I4.1</t>
  </si>
  <si>
    <t>P04</t>
  </si>
  <si>
    <t>I4.2</t>
  </si>
  <si>
    <t>I4.3</t>
  </si>
  <si>
    <t>I4.4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</si>
  <si>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</si>
  <si>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</si>
  <si>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</si>
  <si>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</si>
  <si>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</si>
  <si>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</si>
  <si>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</si>
  <si>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</si>
  <si>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</si>
  <si>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</si>
  <si>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</si>
  <si>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I6.0</t>
  </si>
  <si>
    <t>仓号</t>
  </si>
  <si>
    <t>设备编号</t>
  </si>
  <si>
    <t>2A5</t>
  </si>
  <si>
    <t>I6.1</t>
  </si>
  <si>
    <t>2101_1</t>
  </si>
  <si>
    <t>M01仓顶气锁</t>
  </si>
  <si>
    <t>b05</t>
  </si>
  <si>
    <t>I6.2</t>
  </si>
  <si>
    <t>2101_2</t>
  </si>
  <si>
    <t>M02仓顶气锁</t>
  </si>
  <si>
    <t>b06</t>
  </si>
  <si>
    <t>I6.3</t>
  </si>
  <si>
    <t>2101_3</t>
  </si>
  <si>
    <t>M03仓顶气锁</t>
  </si>
  <si>
    <t>b07</t>
  </si>
  <si>
    <t>I6.4</t>
  </si>
  <si>
    <t>2101_4</t>
  </si>
  <si>
    <t>M04仓顶气锁</t>
  </si>
  <si>
    <t>b08</t>
  </si>
  <si>
    <t>I6.5</t>
  </si>
  <si>
    <t>2101_5</t>
  </si>
  <si>
    <t>M11仓顶气锁</t>
  </si>
  <si>
    <t>b15</t>
  </si>
  <si>
    <t>b09</t>
  </si>
  <si>
    <t>I6.6</t>
  </si>
  <si>
    <t>2101_6</t>
  </si>
  <si>
    <t>M12仓顶气锁</t>
  </si>
  <si>
    <t>b16</t>
  </si>
  <si>
    <t>b10</t>
  </si>
  <si>
    <t>I6.7</t>
  </si>
  <si>
    <t>2101_7</t>
  </si>
  <si>
    <t>M13仓顶气锁</t>
  </si>
  <si>
    <t>b17</t>
  </si>
  <si>
    <t>b11</t>
  </si>
  <si>
    <t>I7.0</t>
  </si>
  <si>
    <t>2101_8</t>
  </si>
  <si>
    <t>M14仓顶气锁</t>
  </si>
  <si>
    <t>b18</t>
  </si>
  <si>
    <t>b12</t>
  </si>
  <si>
    <t>I7.1</t>
  </si>
  <si>
    <t>2101_9</t>
  </si>
  <si>
    <t>M15仓顶气锁</t>
  </si>
  <si>
    <t>b19</t>
  </si>
  <si>
    <t>b13</t>
  </si>
  <si>
    <t>I7.2</t>
  </si>
  <si>
    <t>2101_10</t>
  </si>
  <si>
    <t>M16仓顶气锁</t>
  </si>
  <si>
    <t>b20</t>
  </si>
  <si>
    <t>b14</t>
  </si>
  <si>
    <t>I7.3</t>
  </si>
  <si>
    <t>2101_11</t>
  </si>
  <si>
    <t>M17仓顶气锁</t>
  </si>
  <si>
    <t>b21</t>
  </si>
  <si>
    <t>I7.4</t>
  </si>
  <si>
    <t>2101_12</t>
  </si>
  <si>
    <t>M20仓顶气锁</t>
  </si>
  <si>
    <t>b24</t>
  </si>
  <si>
    <t>I7.5</t>
  </si>
  <si>
    <t>2101_13</t>
  </si>
  <si>
    <t>M21仓顶气锁</t>
  </si>
  <si>
    <t>b25</t>
  </si>
  <si>
    <t>I7.6</t>
  </si>
  <si>
    <t>2101_14</t>
  </si>
  <si>
    <t>M22仓顶气锁</t>
  </si>
  <si>
    <t>b26</t>
  </si>
  <si>
    <t>I7.7</t>
  </si>
  <si>
    <t>2101_15</t>
  </si>
  <si>
    <t>M23仓顶气锁</t>
  </si>
  <si>
    <t>b27</t>
  </si>
  <si>
    <t>I8.0</t>
  </si>
  <si>
    <t>2101_16</t>
  </si>
  <si>
    <t>M24仓顶气锁</t>
  </si>
  <si>
    <t>b28</t>
  </si>
  <si>
    <t>2A6</t>
  </si>
  <si>
    <t>I8.1</t>
  </si>
  <si>
    <t>2101_17</t>
  </si>
  <si>
    <t>M25仓顶气锁</t>
  </si>
  <si>
    <t>b29</t>
  </si>
  <si>
    <t>I8.2</t>
  </si>
  <si>
    <t>2101_18</t>
  </si>
  <si>
    <t>M26仓顶气锁</t>
  </si>
  <si>
    <t>b30</t>
  </si>
  <si>
    <t>b22</t>
  </si>
  <si>
    <t>I8.3</t>
  </si>
  <si>
    <t>2101_19</t>
  </si>
  <si>
    <t>M27仓顶气锁</t>
  </si>
  <si>
    <t>b31</t>
  </si>
  <si>
    <t>b23</t>
  </si>
  <si>
    <t>I8.4</t>
  </si>
  <si>
    <t>2101_20</t>
  </si>
  <si>
    <t>M28仓顶气锁</t>
  </si>
  <si>
    <t>b32</t>
  </si>
  <si>
    <t>I8.5</t>
  </si>
  <si>
    <t>2101_21</t>
  </si>
  <si>
    <t>M29仓顶气锁</t>
  </si>
  <si>
    <t>b33</t>
  </si>
  <si>
    <t>I8.6</t>
  </si>
  <si>
    <t>2101_22</t>
  </si>
  <si>
    <t>M30仓顶气锁</t>
  </si>
  <si>
    <t>b34</t>
  </si>
  <si>
    <t>I8.7</t>
  </si>
  <si>
    <t>2101_23</t>
  </si>
  <si>
    <t>M31仓顶气锁</t>
  </si>
  <si>
    <t>b35</t>
  </si>
  <si>
    <t>I9.0</t>
  </si>
  <si>
    <t>2101_24</t>
  </si>
  <si>
    <t>M32仓顶气锁</t>
  </si>
  <si>
    <t>b36</t>
  </si>
  <si>
    <t>I9.1</t>
  </si>
  <si>
    <t>2101_25</t>
  </si>
  <si>
    <t>M33仓顶气锁</t>
  </si>
  <si>
    <t>b37</t>
  </si>
  <si>
    <t>I9.2</t>
  </si>
  <si>
    <t>2101_26</t>
  </si>
  <si>
    <t>M34仓顶气锁</t>
  </si>
  <si>
    <t>b38</t>
  </si>
  <si>
    <t>I9.3</t>
  </si>
  <si>
    <t>2101_27</t>
  </si>
  <si>
    <t>M35仓顶气锁</t>
  </si>
  <si>
    <t>b39</t>
  </si>
  <si>
    <t>I9.4</t>
  </si>
  <si>
    <t>2101_28</t>
  </si>
  <si>
    <t>M36仓顶气锁</t>
  </si>
  <si>
    <t>b40</t>
  </si>
  <si>
    <t>I9.5</t>
  </si>
  <si>
    <t>I9.6</t>
  </si>
  <si>
    <t>I9.7</t>
  </si>
  <si>
    <t>I10.0</t>
  </si>
  <si>
    <t>2A7</t>
  </si>
  <si>
    <t>I10.1</t>
  </si>
  <si>
    <t>I10.2</t>
  </si>
  <si>
    <t>I10.3</t>
  </si>
  <si>
    <t>I10.4</t>
  </si>
  <si>
    <t>I10.5</t>
  </si>
  <si>
    <t>I10.6</t>
  </si>
  <si>
    <t>I10.7</t>
  </si>
  <si>
    <t>I11.0</t>
  </si>
  <si>
    <t>I11.1</t>
  </si>
  <si>
    <t>I11.2</t>
  </si>
  <si>
    <t>I11.3</t>
  </si>
  <si>
    <t>I11.4</t>
  </si>
  <si>
    <t>I11.5</t>
  </si>
  <si>
    <t>I11.6</t>
  </si>
  <si>
    <t>I11.7</t>
  </si>
  <si>
    <t>4AI
单端输入</t>
  </si>
  <si>
    <t>标签</t>
  </si>
  <si>
    <t>备注</t>
  </si>
  <si>
    <t>PIW100</t>
  </si>
  <si>
    <t>电流检测</t>
  </si>
  <si>
    <t>（4-20mA）</t>
  </si>
  <si>
    <t>2AI1</t>
  </si>
  <si>
    <t>PIW102</t>
  </si>
  <si>
    <t>PIW104</t>
  </si>
  <si>
    <t>PIW106</t>
  </si>
  <si>
    <t>输出</t>
  </si>
  <si>
    <t>Q0.0</t>
  </si>
  <si>
    <t>启动</t>
  </si>
  <si>
    <t>Start</t>
  </si>
  <si>
    <t>2A8</t>
  </si>
  <si>
    <t>Q0.1</t>
  </si>
  <si>
    <t>脉冲除尘器</t>
  </si>
  <si>
    <t>Pulse controller</t>
  </si>
  <si>
    <t>Q0.2</t>
  </si>
  <si>
    <t>Q0.3</t>
  </si>
  <si>
    <t>Q0.4</t>
  </si>
  <si>
    <t>Q0.5</t>
  </si>
  <si>
    <t>Q0.6</t>
  </si>
  <si>
    <t>Q0.7</t>
  </si>
  <si>
    <t>Q1.0</t>
  </si>
  <si>
    <t>Q1.1</t>
  </si>
  <si>
    <t>Q1.2</t>
  </si>
  <si>
    <t>Q1.3</t>
  </si>
  <si>
    <t>Q1.4</t>
  </si>
  <si>
    <t>Q1.5</t>
  </si>
  <si>
    <t>Q1.6</t>
  </si>
  <si>
    <t>Q1.7</t>
  </si>
  <si>
    <t>Q2.0</t>
  </si>
  <si>
    <t>2A9</t>
  </si>
  <si>
    <t>Q2.1</t>
  </si>
  <si>
    <t>Q2.2</t>
  </si>
  <si>
    <t>Q2.3</t>
  </si>
  <si>
    <t>Q2.4</t>
  </si>
  <si>
    <t>Q2.5</t>
  </si>
  <si>
    <t>Q2.6</t>
  </si>
  <si>
    <t>Q2.7</t>
  </si>
  <si>
    <t>Q3.0</t>
  </si>
  <si>
    <t>Q3.1</t>
  </si>
  <si>
    <t>Q3.2</t>
  </si>
  <si>
    <t>Q3.3</t>
  </si>
  <si>
    <t>开门</t>
  </si>
  <si>
    <t>Q3.4</t>
  </si>
  <si>
    <t>混合机脉冲除尘器</t>
  </si>
  <si>
    <t>Q3.5</t>
  </si>
  <si>
    <t>关风器密封阀</t>
  </si>
  <si>
    <t>Alrlock Vavle</t>
  </si>
  <si>
    <t>Q3.6</t>
  </si>
  <si>
    <t>Q3.7</t>
  </si>
  <si>
    <t>分配器阀</t>
  </si>
  <si>
    <t>distributor Vavle</t>
  </si>
  <si>
    <t>Q4.0</t>
  </si>
  <si>
    <t>2A10</t>
  </si>
  <si>
    <t>Q4.1</t>
  </si>
  <si>
    <t>Q4.2</t>
  </si>
  <si>
    <t>Q4.3</t>
  </si>
  <si>
    <t>Q4.4</t>
  </si>
  <si>
    <t>Q4.5</t>
  </si>
  <si>
    <t>Alrlock</t>
  </si>
  <si>
    <t>Q4.6</t>
  </si>
  <si>
    <t>Q4.7</t>
  </si>
  <si>
    <t>Q5.0</t>
  </si>
  <si>
    <t>Q5.1</t>
  </si>
  <si>
    <t>Q5.2</t>
  </si>
  <si>
    <t>Q5.3</t>
  </si>
  <si>
    <t>Q5.4</t>
  </si>
  <si>
    <t>Q5.5</t>
  </si>
  <si>
    <t>Q5.6</t>
  </si>
  <si>
    <t>Q5.7</t>
  </si>
  <si>
    <t>Q6.0</t>
  </si>
  <si>
    <t>2A11</t>
  </si>
  <si>
    <t>Q6.1</t>
  </si>
  <si>
    <t>Q6.2</t>
  </si>
  <si>
    <t>Q6.3</t>
  </si>
  <si>
    <t>Q6.4</t>
  </si>
  <si>
    <t>Q6.5</t>
  </si>
  <si>
    <t>Q6.6</t>
  </si>
  <si>
    <t>Q6.7</t>
  </si>
  <si>
    <t>2011_AH1</t>
  </si>
  <si>
    <t>气锤</t>
  </si>
  <si>
    <t>Bin vibrator</t>
  </si>
  <si>
    <t>Q7.0</t>
  </si>
  <si>
    <t>2018_AH1</t>
  </si>
  <si>
    <t>Q7.1</t>
  </si>
  <si>
    <t>3104_AH1</t>
  </si>
  <si>
    <t>Q7.2</t>
  </si>
  <si>
    <t>2105_AH1</t>
  </si>
  <si>
    <t>Q7.3</t>
  </si>
  <si>
    <t>2201_AH1</t>
  </si>
  <si>
    <t>Q7.4</t>
  </si>
  <si>
    <t>2301_AH1</t>
  </si>
  <si>
    <t>Q7.5</t>
  </si>
  <si>
    <t>2401_AH1</t>
  </si>
  <si>
    <t>Q7.6</t>
  </si>
  <si>
    <t>2501_AH1</t>
  </si>
  <si>
    <t>Q7.7</t>
  </si>
  <si>
    <t>2601_AH1</t>
  </si>
  <si>
    <t>Q8.0</t>
  </si>
  <si>
    <t>3004_AH1</t>
  </si>
  <si>
    <t>2A12</t>
  </si>
  <si>
    <t>Q8.1</t>
  </si>
  <si>
    <t>2024_QM</t>
  </si>
  <si>
    <t>气帽</t>
  </si>
  <si>
    <t>Air cap</t>
  </si>
  <si>
    <t>Q8.2</t>
  </si>
  <si>
    <t>2101_1_QS</t>
  </si>
  <si>
    <t>Air lock</t>
  </si>
  <si>
    <t>Q8.3</t>
  </si>
  <si>
    <t>2101_2_QS</t>
  </si>
  <si>
    <t>Q8.4</t>
  </si>
  <si>
    <t>2101_3_QS</t>
  </si>
  <si>
    <t>Q8.5</t>
  </si>
  <si>
    <t>2101_4_QS</t>
  </si>
  <si>
    <t>Q8.6</t>
  </si>
  <si>
    <t>2101_5_QS</t>
  </si>
  <si>
    <t>Q8.7</t>
  </si>
  <si>
    <t>2101_6_QS</t>
  </si>
  <si>
    <t>Q9.0</t>
  </si>
  <si>
    <t>2101_7_QS</t>
  </si>
  <si>
    <t>Q9.1</t>
  </si>
  <si>
    <t>2101_8_QS</t>
  </si>
  <si>
    <t>Q9.2</t>
  </si>
  <si>
    <t>2101_9_QS</t>
  </si>
  <si>
    <t>Q9.3</t>
  </si>
  <si>
    <t>2101_10_QS</t>
  </si>
  <si>
    <t>Q9.4</t>
  </si>
  <si>
    <t>2101_11_QS</t>
  </si>
  <si>
    <t>Q9.5</t>
  </si>
  <si>
    <t>2101_12_QS</t>
  </si>
  <si>
    <t>Q9.6</t>
  </si>
  <si>
    <t>2101_13_QS</t>
  </si>
  <si>
    <t>Q9.7</t>
  </si>
  <si>
    <t>2101_14_QS</t>
  </si>
  <si>
    <t>Q10.0</t>
  </si>
  <si>
    <t>2101_15_QS</t>
  </si>
  <si>
    <t>2A13</t>
  </si>
  <si>
    <t>Q10.1</t>
  </si>
  <si>
    <t>2101_16_QS</t>
  </si>
  <si>
    <t>Q10.2</t>
  </si>
  <si>
    <t>2101_17_QS</t>
  </si>
  <si>
    <t>Q10.3</t>
  </si>
  <si>
    <t>2101_18_QS</t>
  </si>
  <si>
    <t>Q10.4</t>
  </si>
  <si>
    <t>2101_19_QS</t>
  </si>
  <si>
    <t>Q10.5</t>
  </si>
  <si>
    <t>2101_20_QS</t>
  </si>
  <si>
    <t>Q10.6</t>
  </si>
  <si>
    <t>2101_21_QS</t>
  </si>
  <si>
    <t>Q10.7</t>
  </si>
  <si>
    <t>2101_22_QS</t>
  </si>
  <si>
    <t>Q11.0</t>
  </si>
  <si>
    <t>2101_23_QS</t>
  </si>
  <si>
    <t>Q11.1</t>
  </si>
  <si>
    <t>2101_24_QS</t>
  </si>
  <si>
    <t>Q11.2</t>
  </si>
  <si>
    <t>2101_25_QS</t>
  </si>
  <si>
    <t>Q11.3</t>
  </si>
  <si>
    <t>2101_26_QS</t>
  </si>
  <si>
    <t>Q11.4</t>
  </si>
  <si>
    <t>2101_27_QS</t>
  </si>
  <si>
    <t>Q11.5</t>
  </si>
  <si>
    <t>2101_28_QS</t>
  </si>
  <si>
    <t>Q11.6</t>
  </si>
  <si>
    <t>Q11.7</t>
  </si>
  <si>
    <t>Q12.0</t>
  </si>
  <si>
    <t>2A14</t>
  </si>
  <si>
    <t>Q12.1</t>
  </si>
  <si>
    <t>Q12.2</t>
  </si>
  <si>
    <t>Q12.3</t>
  </si>
  <si>
    <t>Q12.4</t>
  </si>
  <si>
    <t>Q12.5</t>
  </si>
  <si>
    <t>Q12.6</t>
  </si>
  <si>
    <t>Q12.7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</si>
  <si>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</si>
  <si>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</si>
  <si>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</si>
  <si>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</si>
  <si>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</si>
  <si>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</si>
  <si>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</si>
  <si>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</si>
  <si>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I12.0</t>
  </si>
  <si>
    <t>D1</t>
  </si>
  <si>
    <t>MCCY3</t>
  </si>
  <si>
    <t>3A2</t>
  </si>
  <si>
    <t>I12.1</t>
  </si>
  <si>
    <t>M01</t>
  </si>
  <si>
    <t>I12.2</t>
  </si>
  <si>
    <t>M02</t>
  </si>
  <si>
    <t>I12.3</t>
  </si>
  <si>
    <t>M03</t>
  </si>
  <si>
    <t>I12.4</t>
  </si>
  <si>
    <t>M04</t>
  </si>
  <si>
    <t>I12.5</t>
  </si>
  <si>
    <t>M05</t>
  </si>
  <si>
    <t>I12.6</t>
  </si>
  <si>
    <t>M06</t>
  </si>
  <si>
    <t>I12.7</t>
  </si>
  <si>
    <t>M07</t>
  </si>
  <si>
    <t>I13.0</t>
  </si>
  <si>
    <t>M08</t>
  </si>
  <si>
    <t>I13.1</t>
  </si>
  <si>
    <t>M09</t>
  </si>
  <si>
    <t>I13.2</t>
  </si>
  <si>
    <t>M10</t>
  </si>
  <si>
    <t>I13.3</t>
  </si>
  <si>
    <t>D2</t>
  </si>
  <si>
    <t>I13.4</t>
  </si>
  <si>
    <t>M11</t>
  </si>
  <si>
    <t>I13.5</t>
  </si>
  <si>
    <t>M12</t>
  </si>
  <si>
    <t>I13.6</t>
  </si>
  <si>
    <t>M13</t>
  </si>
  <si>
    <t>I13.7</t>
  </si>
  <si>
    <t>M14</t>
  </si>
  <si>
    <t>I14.0</t>
  </si>
  <si>
    <t>M15</t>
  </si>
  <si>
    <t>3A3</t>
  </si>
  <si>
    <t>I14.1</t>
  </si>
  <si>
    <t>M16</t>
  </si>
  <si>
    <t>I14.2</t>
  </si>
  <si>
    <t>M17</t>
  </si>
  <si>
    <t>I14.3</t>
  </si>
  <si>
    <t>D3</t>
  </si>
  <si>
    <t>I14.4</t>
  </si>
  <si>
    <t>M18</t>
  </si>
  <si>
    <t>I14.5</t>
  </si>
  <si>
    <t>M19</t>
  </si>
  <si>
    <t>I14.6</t>
  </si>
  <si>
    <t>M20</t>
  </si>
  <si>
    <t>I14.7</t>
  </si>
  <si>
    <t>M21</t>
  </si>
  <si>
    <t>I15.0</t>
  </si>
  <si>
    <t>M22</t>
  </si>
  <si>
    <t>I15.1</t>
  </si>
  <si>
    <t>M23</t>
  </si>
  <si>
    <t>I15.2</t>
  </si>
  <si>
    <t>D4</t>
  </si>
  <si>
    <t>I15.3</t>
  </si>
  <si>
    <t>M24</t>
  </si>
  <si>
    <t>I15.4</t>
  </si>
  <si>
    <t>M25</t>
  </si>
  <si>
    <t>I15.5</t>
  </si>
  <si>
    <t>M26</t>
  </si>
  <si>
    <t>I15.6</t>
  </si>
  <si>
    <t>M27</t>
  </si>
  <si>
    <t>I15.7</t>
  </si>
  <si>
    <t>M28</t>
  </si>
  <si>
    <t>I16.0</t>
  </si>
  <si>
    <t>M29</t>
  </si>
  <si>
    <t>3A4</t>
  </si>
  <si>
    <t>I16.1</t>
  </si>
  <si>
    <t>M30</t>
  </si>
  <si>
    <t>I16.2</t>
  </si>
  <si>
    <t>M31</t>
  </si>
  <si>
    <t>I16.3</t>
  </si>
  <si>
    <t>M32</t>
  </si>
  <si>
    <t>I16.4</t>
  </si>
  <si>
    <t>D5</t>
  </si>
  <si>
    <t>I16.5</t>
  </si>
  <si>
    <t>M33</t>
  </si>
  <si>
    <t>I16.6</t>
  </si>
  <si>
    <t>M34</t>
  </si>
  <si>
    <t>I16.7</t>
  </si>
  <si>
    <t>M35</t>
  </si>
  <si>
    <t>I17.0</t>
  </si>
  <si>
    <t>M36</t>
  </si>
  <si>
    <t>I17.1</t>
  </si>
  <si>
    <t>2002_1_HL</t>
  </si>
  <si>
    <t>P01仓上料位</t>
  </si>
  <si>
    <t>High Level</t>
  </si>
  <si>
    <t>I17.2</t>
  </si>
  <si>
    <t>2002_2_HL</t>
  </si>
  <si>
    <t>P02仓上料位</t>
  </si>
  <si>
    <t>I17.3</t>
  </si>
  <si>
    <t>2002_3_HL</t>
  </si>
  <si>
    <t>P03仓上料位</t>
  </si>
  <si>
    <t>I17.4</t>
  </si>
  <si>
    <t>2002_4_HL</t>
  </si>
  <si>
    <t>P04仓上料位</t>
  </si>
  <si>
    <t>I17.5</t>
  </si>
  <si>
    <t>2004_1_LL</t>
  </si>
  <si>
    <t>P01仓下料位</t>
  </si>
  <si>
    <t>Low Level</t>
  </si>
  <si>
    <t>I17.6</t>
  </si>
  <si>
    <t>2004_2_LL</t>
  </si>
  <si>
    <t>P02仓下料位</t>
  </si>
  <si>
    <t>I17.7</t>
  </si>
  <si>
    <t>2004_3_LL</t>
  </si>
  <si>
    <t>P03仓下料位</t>
  </si>
  <si>
    <t>I18.0</t>
  </si>
  <si>
    <t>2004_4_LL</t>
  </si>
  <si>
    <t>P04仓下料位</t>
  </si>
  <si>
    <t>3A5</t>
  </si>
  <si>
    <t>I18.1</t>
  </si>
  <si>
    <t>2102_1_LL</t>
  </si>
  <si>
    <t>M01仓下料位</t>
  </si>
  <si>
    <t>I18.2</t>
  </si>
  <si>
    <t>2102_2_LL</t>
  </si>
  <si>
    <t>M02仓下料位</t>
  </si>
  <si>
    <t>I18.3</t>
  </si>
  <si>
    <t>2102_3_LL</t>
  </si>
  <si>
    <t>M03仓下料位</t>
  </si>
  <si>
    <t>I18.4</t>
  </si>
  <si>
    <t>2102_4_LL</t>
  </si>
  <si>
    <t>M04仓下料位</t>
  </si>
  <si>
    <t>I18.5</t>
  </si>
  <si>
    <t>2102_5_LL</t>
  </si>
  <si>
    <t>M05仓下料位</t>
  </si>
  <si>
    <t>I18.6</t>
  </si>
  <si>
    <t>2102_6_LL</t>
  </si>
  <si>
    <t>M06仓下料位</t>
  </si>
  <si>
    <t>I18.7</t>
  </si>
  <si>
    <t>2102_7_LL</t>
  </si>
  <si>
    <t>M07仓下料位</t>
  </si>
  <si>
    <t>I19.0</t>
  </si>
  <si>
    <t>2102_8_LL</t>
  </si>
  <si>
    <t>M08仓下料位</t>
  </si>
  <si>
    <t>I19.1</t>
  </si>
  <si>
    <t>2102_9_LL</t>
  </si>
  <si>
    <t>M09仓下料位</t>
  </si>
  <si>
    <t>I19.2</t>
  </si>
  <si>
    <t>2102_10_LL</t>
  </si>
  <si>
    <t>M10仓下料位</t>
  </si>
  <si>
    <t>I19.3</t>
  </si>
  <si>
    <t>2102_11_LL</t>
  </si>
  <si>
    <t>M11仓下料位</t>
  </si>
  <si>
    <t>I19.4</t>
  </si>
  <si>
    <t>2102_12_LL</t>
  </si>
  <si>
    <t>M12仓下料位</t>
  </si>
  <si>
    <t>I19.5</t>
  </si>
  <si>
    <t>2102_13_LL</t>
  </si>
  <si>
    <t>M13仓下料位</t>
  </si>
  <si>
    <t>I19.6</t>
  </si>
  <si>
    <t>2102_14_LL</t>
  </si>
  <si>
    <t>M14仓下料位</t>
  </si>
  <si>
    <t>I19.7</t>
  </si>
  <si>
    <t>2102_15_LL</t>
  </si>
  <si>
    <t>M15仓下料位</t>
  </si>
  <si>
    <t>I20.0</t>
  </si>
  <si>
    <t>2102_16_LL</t>
  </si>
  <si>
    <t>M16仓下料位</t>
  </si>
  <si>
    <t>3A6</t>
  </si>
  <si>
    <t>I20.1</t>
  </si>
  <si>
    <t>2102_17_LL</t>
  </si>
  <si>
    <t>M17仓下料位</t>
  </si>
  <si>
    <t>I20.2</t>
  </si>
  <si>
    <t>2102_18_LL</t>
  </si>
  <si>
    <t>M18仓下料位</t>
  </si>
  <si>
    <t>I20.3</t>
  </si>
  <si>
    <t>2102_19_LL</t>
  </si>
  <si>
    <t>M19仓下料位</t>
  </si>
  <si>
    <t>I20.4</t>
  </si>
  <si>
    <t>2102_20_LL</t>
  </si>
  <si>
    <t>M20仓下料位</t>
  </si>
  <si>
    <t>I20.5</t>
  </si>
  <si>
    <t>2102_21_LL</t>
  </si>
  <si>
    <t>M21仓下料位</t>
  </si>
  <si>
    <t>I20.6</t>
  </si>
  <si>
    <t>2102_22_LL</t>
  </si>
  <si>
    <t>M22仓下料位</t>
  </si>
  <si>
    <t>I20.7</t>
  </si>
  <si>
    <t>2102_23_LL</t>
  </si>
  <si>
    <t>M23仓下料位</t>
  </si>
  <si>
    <t>I21.0</t>
  </si>
  <si>
    <t>2102_24_LL</t>
  </si>
  <si>
    <t>M24仓下料位</t>
  </si>
  <si>
    <t>I21.1</t>
  </si>
  <si>
    <t>2102_25_LL</t>
  </si>
  <si>
    <t>M25仓下料位</t>
  </si>
  <si>
    <t>I21.2</t>
  </si>
  <si>
    <t>2102_26_LL</t>
  </si>
  <si>
    <t>M26仓下料位</t>
  </si>
  <si>
    <t>I21.3</t>
  </si>
  <si>
    <t>2102_27_LL</t>
  </si>
  <si>
    <t>M27仓下料位</t>
  </si>
  <si>
    <t>I21.4</t>
  </si>
  <si>
    <t>2102_28_LL</t>
  </si>
  <si>
    <t>M28仓下料位</t>
  </si>
  <si>
    <t>I21.5</t>
  </si>
  <si>
    <t>2102_29_LL</t>
  </si>
  <si>
    <t>M29仓下料位</t>
  </si>
  <si>
    <t>I21.6</t>
  </si>
  <si>
    <t>2102_30_LL</t>
  </si>
  <si>
    <t>M30仓下料位</t>
  </si>
  <si>
    <t>I21.7</t>
  </si>
  <si>
    <t>2102_31_LL</t>
  </si>
  <si>
    <t>M31仓下料位</t>
  </si>
  <si>
    <t>I22.0</t>
  </si>
  <si>
    <t>2102_32_LL</t>
  </si>
  <si>
    <t>M32仓下料位</t>
  </si>
  <si>
    <t>3A7</t>
  </si>
  <si>
    <t>I22.1</t>
  </si>
  <si>
    <t>2102_33_LL</t>
  </si>
  <si>
    <t>M33仓下料位</t>
  </si>
  <si>
    <t>I22.2</t>
  </si>
  <si>
    <t>2102_34_LL</t>
  </si>
  <si>
    <t>M34仓下料位</t>
  </si>
  <si>
    <t>I22.3</t>
  </si>
  <si>
    <t>2102_35_LL</t>
  </si>
  <si>
    <t>M35仓下料位</t>
  </si>
  <si>
    <t>I22.4</t>
  </si>
  <si>
    <t>2102_36_LL</t>
  </si>
  <si>
    <t>M36仓下料位</t>
  </si>
  <si>
    <t>I22.5</t>
  </si>
  <si>
    <t>2025_LL</t>
  </si>
  <si>
    <t>下料位</t>
  </si>
  <si>
    <t>I22.6</t>
  </si>
  <si>
    <t>2031_LL</t>
  </si>
  <si>
    <t>I22.7</t>
  </si>
  <si>
    <t>3011_LL</t>
  </si>
  <si>
    <t>I23.0</t>
  </si>
  <si>
    <t>4003_1_LL</t>
  </si>
  <si>
    <t>I23.1</t>
  </si>
  <si>
    <t>4003_2_LL</t>
  </si>
  <si>
    <t>I23.2</t>
  </si>
  <si>
    <t>4103_LL</t>
  </si>
  <si>
    <t>I23.3</t>
  </si>
  <si>
    <t>I23.4</t>
  </si>
  <si>
    <t>I23.5</t>
  </si>
  <si>
    <t>I23.6</t>
  </si>
  <si>
    <t>I23.7</t>
  </si>
  <si>
    <t>I24.0</t>
  </si>
  <si>
    <t>3A8</t>
  </si>
  <si>
    <t>I24.1</t>
  </si>
  <si>
    <t>I24.2</t>
  </si>
  <si>
    <t>I24.3</t>
  </si>
  <si>
    <t>I24.4</t>
  </si>
  <si>
    <t>I24.5</t>
  </si>
  <si>
    <t>I24.6</t>
  </si>
  <si>
    <t>I24.7</t>
  </si>
  <si>
    <t>I25.0</t>
  </si>
  <si>
    <t>I25.1</t>
  </si>
  <si>
    <t>I25.2</t>
  </si>
  <si>
    <t>I25.3</t>
  </si>
  <si>
    <t>I25.4</t>
  </si>
  <si>
    <t>I25.5</t>
  </si>
  <si>
    <t>I25.6</t>
  </si>
  <si>
    <t>I25.7</t>
  </si>
  <si>
    <t>Q14.0</t>
  </si>
  <si>
    <t>开机</t>
  </si>
  <si>
    <t>3A9</t>
  </si>
  <si>
    <t>Q14.1</t>
  </si>
  <si>
    <t>Q14.2</t>
  </si>
  <si>
    <t>Q14.3</t>
  </si>
  <si>
    <t>Q14.4</t>
  </si>
  <si>
    <t>Q14.5</t>
  </si>
  <si>
    <t>Q14.6</t>
  </si>
  <si>
    <t>Q14.7</t>
  </si>
  <si>
    <t>Q15.0</t>
  </si>
  <si>
    <t>Q15.1</t>
  </si>
  <si>
    <t>Q15.2</t>
  </si>
  <si>
    <t>Q15.3</t>
  </si>
  <si>
    <t>Q15.4</t>
  </si>
  <si>
    <t>Q15.5</t>
  </si>
  <si>
    <t>Q15.6</t>
  </si>
  <si>
    <t>Q15.7</t>
  </si>
  <si>
    <t>Q16.0</t>
  </si>
  <si>
    <t>3A10</t>
  </si>
  <si>
    <t>Q16.1</t>
  </si>
  <si>
    <t>Q16.2</t>
  </si>
  <si>
    <t>Q16.3</t>
  </si>
  <si>
    <t>Q16.4</t>
  </si>
  <si>
    <t>Q16.5</t>
  </si>
  <si>
    <t>Q16.6</t>
  </si>
  <si>
    <t>Q16.7</t>
  </si>
  <si>
    <t>Q17.0</t>
  </si>
  <si>
    <t>Q17.1</t>
  </si>
  <si>
    <t>Q17.2</t>
  </si>
  <si>
    <t>Q17.3</t>
  </si>
  <si>
    <t>Q17.4</t>
  </si>
  <si>
    <t>Q17.5</t>
  </si>
  <si>
    <t>Q17.6</t>
  </si>
  <si>
    <t>Q17.7</t>
  </si>
  <si>
    <t>Q18.0</t>
  </si>
  <si>
    <t>3A11</t>
  </si>
  <si>
    <t>Q18.1</t>
  </si>
  <si>
    <t>Q18.2</t>
  </si>
  <si>
    <t>Q18.3</t>
  </si>
  <si>
    <t>Q18.4</t>
  </si>
  <si>
    <t>2005_AH1</t>
  </si>
  <si>
    <t>P01仓气锤</t>
  </si>
  <si>
    <t>Q18.5</t>
  </si>
  <si>
    <t>2005_AH2</t>
  </si>
  <si>
    <t>P02仓气锤</t>
  </si>
  <si>
    <t>Q18.6</t>
  </si>
  <si>
    <t>2005_AH3</t>
  </si>
  <si>
    <t>P03仓气锤</t>
  </si>
  <si>
    <t>Q18.7</t>
  </si>
  <si>
    <t>2005_AH4</t>
  </si>
  <si>
    <t>P04仓气锤</t>
  </si>
  <si>
    <t>Q19.0</t>
  </si>
  <si>
    <t>2026_AH1</t>
  </si>
  <si>
    <t>Q19.1</t>
  </si>
  <si>
    <t>2030_AH1</t>
  </si>
  <si>
    <t>Q19.2</t>
  </si>
  <si>
    <t>2030_AH2</t>
  </si>
  <si>
    <t>Q19.3</t>
  </si>
  <si>
    <t>3010_AH1</t>
  </si>
  <si>
    <t>Q19.4</t>
  </si>
  <si>
    <t>3010_AH2</t>
  </si>
  <si>
    <t>Q19.5</t>
  </si>
  <si>
    <t>4002_AH1</t>
  </si>
  <si>
    <t>Q19.6</t>
  </si>
  <si>
    <t>Q19.7</t>
  </si>
  <si>
    <t>4102_AH1</t>
  </si>
  <si>
    <t>Q20.0</t>
  </si>
  <si>
    <t>2104_1_ZD</t>
  </si>
  <si>
    <t>M01仓下振动器</t>
  </si>
  <si>
    <t>Vibrator</t>
  </si>
  <si>
    <t>3A12</t>
  </si>
  <si>
    <t>Q20.1</t>
  </si>
  <si>
    <t>2104_2_ZD</t>
  </si>
  <si>
    <t>M02仓下振动器</t>
  </si>
  <si>
    <t>Q20.2</t>
  </si>
  <si>
    <t>2104_3_ZD</t>
  </si>
  <si>
    <t>M03仓下振动器</t>
  </si>
  <si>
    <t>Q20.3</t>
  </si>
  <si>
    <t>2104_4_ZD</t>
  </si>
  <si>
    <t>M04仓下振动器</t>
  </si>
  <si>
    <t>Q20.4</t>
  </si>
  <si>
    <t>2104_5_ZD</t>
  </si>
  <si>
    <t>M05仓下振动器</t>
  </si>
  <si>
    <t>Q20.5</t>
  </si>
  <si>
    <t>2104_6_ZD</t>
  </si>
  <si>
    <t>M06仓下振动器</t>
  </si>
  <si>
    <t>Q20.6</t>
  </si>
  <si>
    <t>2104_7_ZD</t>
  </si>
  <si>
    <t>M07仓下振动器</t>
  </si>
  <si>
    <t>Q20.7</t>
  </si>
  <si>
    <t>2104_8_ZD</t>
  </si>
  <si>
    <t>M08仓下振动器</t>
  </si>
  <si>
    <t>Q21.0</t>
  </si>
  <si>
    <t>2104_9_ZD</t>
  </si>
  <si>
    <t>M09仓下振动器</t>
  </si>
  <si>
    <t>Q21.1</t>
  </si>
  <si>
    <t>2104_10_ZD</t>
  </si>
  <si>
    <t>M10仓下振动器</t>
  </si>
  <si>
    <t>Q21.2</t>
  </si>
  <si>
    <t>2104_11_ZD</t>
  </si>
  <si>
    <t>M11仓下振动器</t>
  </si>
  <si>
    <t>Q21.3</t>
  </si>
  <si>
    <t>2104_12_ZD</t>
  </si>
  <si>
    <t>M12仓下振动器</t>
  </si>
  <si>
    <t>Q21.4</t>
  </si>
  <si>
    <t>2104_13_ZD</t>
  </si>
  <si>
    <t>M13仓下振动器</t>
  </si>
  <si>
    <t>Q21.5</t>
  </si>
  <si>
    <t>2104_14_ZD</t>
  </si>
  <si>
    <t>M14仓下振动器</t>
  </si>
  <si>
    <t>Q21.6</t>
  </si>
  <si>
    <t>2104_15_ZD</t>
  </si>
  <si>
    <t>M15仓下振动器</t>
  </si>
  <si>
    <t>Q21.7</t>
  </si>
  <si>
    <t>2104_16_ZD</t>
  </si>
  <si>
    <t>M16仓下振动器</t>
  </si>
  <si>
    <t>Q22.0</t>
  </si>
  <si>
    <t>2104_17_ZD</t>
  </si>
  <si>
    <t>M17仓下振动器</t>
  </si>
  <si>
    <t>3A13</t>
  </si>
  <si>
    <t>Q22.1</t>
  </si>
  <si>
    <t>2104_18_ZD</t>
  </si>
  <si>
    <t>M18仓下振动器</t>
  </si>
  <si>
    <t>Q22.2</t>
  </si>
  <si>
    <t>2104_19_ZD</t>
  </si>
  <si>
    <t>M19仓下振动器</t>
  </si>
  <si>
    <t>Q22.3</t>
  </si>
  <si>
    <t>2104_20_ZD</t>
  </si>
  <si>
    <t>M20仓下振动器</t>
  </si>
  <si>
    <t>Q22.4</t>
  </si>
  <si>
    <t>2104_21_ZD</t>
  </si>
  <si>
    <t>M21仓下振动器</t>
  </si>
  <si>
    <t>Q22.5</t>
  </si>
  <si>
    <t>2104_22_ZD</t>
  </si>
  <si>
    <t>M22仓下振动器</t>
  </si>
  <si>
    <t>Q22.6</t>
  </si>
  <si>
    <t>2104_23_ZD</t>
  </si>
  <si>
    <t>M23仓下振动器</t>
  </si>
  <si>
    <t>Q22.7</t>
  </si>
  <si>
    <t>2104_24_ZD</t>
  </si>
  <si>
    <t>M24仓下振动器</t>
  </si>
  <si>
    <t>Q23.0</t>
  </si>
  <si>
    <t>2104_25_ZD</t>
  </si>
  <si>
    <t>M25仓下振动器</t>
  </si>
  <si>
    <t>Q23.1</t>
  </si>
  <si>
    <t>2104_26_ZD</t>
  </si>
  <si>
    <t>M26仓下振动器</t>
  </si>
  <si>
    <t>Q23.2</t>
  </si>
  <si>
    <t>2104_27_ZD</t>
  </si>
  <si>
    <t>M27仓下振动器</t>
  </si>
  <si>
    <t>Q23.3</t>
  </si>
  <si>
    <t>2104_28_ZD</t>
  </si>
  <si>
    <t>M28仓下振动器</t>
  </si>
  <si>
    <t>Q23.4</t>
  </si>
  <si>
    <t>2104_29_ZD</t>
  </si>
  <si>
    <t>M29仓下振动器</t>
  </si>
  <si>
    <t>Q23.5</t>
  </si>
  <si>
    <t>2104_30_ZD</t>
  </si>
  <si>
    <t>M30仓下振动器</t>
  </si>
  <si>
    <t>Q23.6</t>
  </si>
  <si>
    <t>2104_31_ZD</t>
  </si>
  <si>
    <t>M31仓下振动器</t>
  </si>
  <si>
    <t>Q23.7</t>
  </si>
  <si>
    <t>2104_32_ZD</t>
  </si>
  <si>
    <t>M32仓下振动器</t>
  </si>
  <si>
    <t>Q24.0</t>
  </si>
  <si>
    <t>2104_33_ZD</t>
  </si>
  <si>
    <t>M33仓下振动器</t>
  </si>
  <si>
    <t>3A14</t>
  </si>
  <si>
    <t>Q24.1</t>
  </si>
  <si>
    <t>2104_34_ZD</t>
  </si>
  <si>
    <t>M34仓下振动器</t>
  </si>
  <si>
    <t>Q24.2</t>
  </si>
  <si>
    <t>2104_35_ZD</t>
  </si>
  <si>
    <t>M35仓下振动器</t>
  </si>
  <si>
    <t>Q24.3</t>
  </si>
  <si>
    <t>2104_36_ZD</t>
  </si>
  <si>
    <t>M36仓下振动器</t>
  </si>
  <si>
    <t>Q24.4</t>
  </si>
  <si>
    <t>Q24.5</t>
  </si>
  <si>
    <t>Q24.6</t>
  </si>
  <si>
    <t>Q24.7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</si>
  <si>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</si>
  <si>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</si>
  <si>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</si>
  <si>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</si>
  <si>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</si>
  <si>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</si>
  <si>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</si>
  <si>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</si>
  <si>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I26.0</t>
  </si>
  <si>
    <t>电源信号进PLC</t>
  </si>
  <si>
    <t>Control power</t>
  </si>
  <si>
    <t>4A2</t>
  </si>
  <si>
    <t>I26.1</t>
  </si>
  <si>
    <t>Y2015</t>
  </si>
  <si>
    <t>气动三通</t>
  </si>
  <si>
    <t>左通到位</t>
  </si>
  <si>
    <t>2-Way pneumatic</t>
  </si>
  <si>
    <t>Left</t>
  </si>
  <si>
    <t>I26.2</t>
  </si>
  <si>
    <t>右通到位</t>
  </si>
  <si>
    <t>Right</t>
  </si>
  <si>
    <t>I26.3</t>
  </si>
  <si>
    <t>Y3013</t>
  </si>
  <si>
    <t>I26.4</t>
  </si>
  <si>
    <t>I26.5</t>
  </si>
  <si>
    <t>Y3107</t>
  </si>
  <si>
    <t>I26.6</t>
  </si>
  <si>
    <t>I26.7</t>
  </si>
  <si>
    <t>V2008_1</t>
  </si>
  <si>
    <t>气动蝶阀</t>
  </si>
  <si>
    <t>Pneumatic Gate</t>
  </si>
  <si>
    <t>I27.0</t>
  </si>
  <si>
    <t>I27.1</t>
  </si>
  <si>
    <t>V2008_2</t>
  </si>
  <si>
    <t>I27.2</t>
  </si>
  <si>
    <t>I27.3</t>
  </si>
  <si>
    <t>V2010</t>
  </si>
  <si>
    <t>I27.4</t>
  </si>
  <si>
    <t>I27.5</t>
  </si>
  <si>
    <t>V2013</t>
  </si>
  <si>
    <t>I27.6</t>
  </si>
  <si>
    <t>I27.7</t>
  </si>
  <si>
    <t>V2014</t>
  </si>
  <si>
    <t>I28.0</t>
  </si>
  <si>
    <t>4A3</t>
  </si>
  <si>
    <t>I28.1</t>
  </si>
  <si>
    <t>V2027</t>
  </si>
  <si>
    <t>I28.2</t>
  </si>
  <si>
    <t>I28.3</t>
  </si>
  <si>
    <t>V2104_1</t>
  </si>
  <si>
    <t>I28.4</t>
  </si>
  <si>
    <t>I28.5</t>
  </si>
  <si>
    <t>V2104_2</t>
  </si>
  <si>
    <t>I28.6</t>
  </si>
  <si>
    <t>I28.7</t>
  </si>
  <si>
    <t>V2104_3</t>
  </si>
  <si>
    <t>I29.0</t>
  </si>
  <si>
    <t>I29.1</t>
  </si>
  <si>
    <t>V2104_4</t>
  </si>
  <si>
    <t>I29.2</t>
  </si>
  <si>
    <t>I29.3</t>
  </si>
  <si>
    <t>V2104_5</t>
  </si>
  <si>
    <t>I29.4</t>
  </si>
  <si>
    <t>I29.5</t>
  </si>
  <si>
    <t>V2104_6</t>
  </si>
  <si>
    <t>I29.6</t>
  </si>
  <si>
    <t>I29.7</t>
  </si>
  <si>
    <t>V2104_7</t>
  </si>
  <si>
    <t>I30.0</t>
  </si>
  <si>
    <t>4A4</t>
  </si>
  <si>
    <t>I30.1</t>
  </si>
  <si>
    <t>V2202</t>
  </si>
  <si>
    <t>I30.2</t>
  </si>
  <si>
    <t>I30.3</t>
  </si>
  <si>
    <t>V2203</t>
  </si>
  <si>
    <t>I30.4</t>
  </si>
  <si>
    <t>I30.5</t>
  </si>
  <si>
    <t>V2204</t>
  </si>
  <si>
    <t>I30.6</t>
  </si>
  <si>
    <t>I30.7</t>
  </si>
  <si>
    <t>V2302</t>
  </si>
  <si>
    <t>I31.0</t>
  </si>
  <si>
    <t>I31.1</t>
  </si>
  <si>
    <t>V2302A</t>
  </si>
  <si>
    <t>I31.2</t>
  </si>
  <si>
    <t>I31.3</t>
  </si>
  <si>
    <t>V2303</t>
  </si>
  <si>
    <t>I31.4</t>
  </si>
  <si>
    <t>I31.5</t>
  </si>
  <si>
    <t>V2304</t>
  </si>
  <si>
    <t>I31.6</t>
  </si>
  <si>
    <t>I31.7</t>
  </si>
  <si>
    <t>V2402</t>
  </si>
  <si>
    <t>I32.0</t>
  </si>
  <si>
    <t>4A5</t>
  </si>
  <si>
    <t>I32.1</t>
  </si>
  <si>
    <t>V2403</t>
  </si>
  <si>
    <t>I32.2</t>
  </si>
  <si>
    <t>I32.3</t>
  </si>
  <si>
    <t>V2404</t>
  </si>
  <si>
    <t>I32.4</t>
  </si>
  <si>
    <t>I32.5</t>
  </si>
  <si>
    <t>V2502</t>
  </si>
  <si>
    <t>I32.6</t>
  </si>
  <si>
    <t>I32.7</t>
  </si>
  <si>
    <t>V2503</t>
  </si>
  <si>
    <t>I33.0</t>
  </si>
  <si>
    <t>I33.1</t>
  </si>
  <si>
    <t>V2504</t>
  </si>
  <si>
    <t>I33.2</t>
  </si>
  <si>
    <t>I33.3</t>
  </si>
  <si>
    <t>V2602</t>
  </si>
  <si>
    <t>I33.4</t>
  </si>
  <si>
    <t>I33.5</t>
  </si>
  <si>
    <t>V2603</t>
  </si>
  <si>
    <t>I33.6</t>
  </si>
  <si>
    <t>I33.7</t>
  </si>
  <si>
    <t>V2604</t>
  </si>
  <si>
    <t>I34.0</t>
  </si>
  <si>
    <t>4A6</t>
  </si>
  <si>
    <t>I34.1</t>
  </si>
  <si>
    <t>V3106</t>
  </si>
  <si>
    <t>I34.2</t>
  </si>
  <si>
    <t>I34.3</t>
  </si>
  <si>
    <t>V3108</t>
  </si>
  <si>
    <t>I34.4</t>
  </si>
  <si>
    <t>I34.5</t>
  </si>
  <si>
    <t>V3006</t>
  </si>
  <si>
    <t>I34.6</t>
  </si>
  <si>
    <t>I34.7</t>
  </si>
  <si>
    <t>V3007</t>
  </si>
  <si>
    <t>I35.0</t>
  </si>
  <si>
    <t>I35.1</t>
  </si>
  <si>
    <t>2104_1</t>
  </si>
  <si>
    <t>M01仓下截止门</t>
  </si>
  <si>
    <t>Cut off door</t>
  </si>
  <si>
    <t>I35.2</t>
  </si>
  <si>
    <t>2104_2</t>
  </si>
  <si>
    <t>M02仓下截止门</t>
  </si>
  <si>
    <t>I35.3</t>
  </si>
  <si>
    <t>2104_3</t>
  </si>
  <si>
    <t>M03仓下截止门</t>
  </si>
  <si>
    <t>I35.4</t>
  </si>
  <si>
    <t>2104_4</t>
  </si>
  <si>
    <t>M04仓下截止门</t>
  </si>
  <si>
    <t>I35.5</t>
  </si>
  <si>
    <t>2104_5</t>
  </si>
  <si>
    <t>M05仓下截止门</t>
  </si>
  <si>
    <t>I35.6</t>
  </si>
  <si>
    <t>2104_6</t>
  </si>
  <si>
    <t>M06仓下截止门</t>
  </si>
  <si>
    <t>I35.7</t>
  </si>
  <si>
    <t>2104_7</t>
  </si>
  <si>
    <t>M07仓下截止门</t>
  </si>
  <si>
    <t>I36.0</t>
  </si>
  <si>
    <t>2104_8</t>
  </si>
  <si>
    <t>M08仓下截止门</t>
  </si>
  <si>
    <t>4A7</t>
  </si>
  <si>
    <t>I36.1</t>
  </si>
  <si>
    <t>2104_9</t>
  </si>
  <si>
    <t>M09仓下截止门</t>
  </si>
  <si>
    <t>I36.2</t>
  </si>
  <si>
    <t>2104_10</t>
  </si>
  <si>
    <t>M10仓下截止门</t>
  </si>
  <si>
    <t>I36.3</t>
  </si>
  <si>
    <t>2104_11</t>
  </si>
  <si>
    <t>M18仓下截止门</t>
  </si>
  <si>
    <t>I36.4</t>
  </si>
  <si>
    <t>2104_12</t>
  </si>
  <si>
    <t>M19仓下截止门</t>
  </si>
  <si>
    <t>I36.5</t>
  </si>
  <si>
    <t>2104_13</t>
  </si>
  <si>
    <t>M20仓下截止门</t>
  </si>
  <si>
    <t>I36.6</t>
  </si>
  <si>
    <t>2104_14</t>
  </si>
  <si>
    <t>M21仓下截止门</t>
  </si>
  <si>
    <t>I36.7</t>
  </si>
  <si>
    <t>2104_15</t>
  </si>
  <si>
    <t>M22仓下截止门</t>
  </si>
  <si>
    <t>I37.0</t>
  </si>
  <si>
    <t>2104_16</t>
  </si>
  <si>
    <t>M23仓下截止门</t>
  </si>
  <si>
    <t>I37.1</t>
  </si>
  <si>
    <t>2104_17</t>
  </si>
  <si>
    <t>M24仓下截止门</t>
  </si>
  <si>
    <t>I37.2</t>
  </si>
  <si>
    <t>2104_18</t>
  </si>
  <si>
    <t>M25仓下截止门</t>
  </si>
  <si>
    <t>I37.3</t>
  </si>
  <si>
    <t>2104_19</t>
  </si>
  <si>
    <t>M26仓下截止门</t>
  </si>
  <si>
    <t>I37.4</t>
  </si>
  <si>
    <t>2104_20</t>
  </si>
  <si>
    <t>M27仓下截止门</t>
  </si>
  <si>
    <t>I37.5</t>
  </si>
  <si>
    <t>2104_21</t>
  </si>
  <si>
    <t>M28仓下截止门</t>
  </si>
  <si>
    <t>I37.6</t>
  </si>
  <si>
    <t>2104_22</t>
  </si>
  <si>
    <t>M29仓下截止门</t>
  </si>
  <si>
    <t>I37.7</t>
  </si>
  <si>
    <t>2104_23</t>
  </si>
  <si>
    <t>M30仓下截止门</t>
  </si>
  <si>
    <t>I38.0</t>
  </si>
  <si>
    <t>2104_24</t>
  </si>
  <si>
    <t>M31仓下截止门</t>
  </si>
  <si>
    <t>4A8</t>
  </si>
  <si>
    <t>I38.1</t>
  </si>
  <si>
    <t>2104_25</t>
  </si>
  <si>
    <t>M32仓下截止门</t>
  </si>
  <si>
    <t>I38.2</t>
  </si>
  <si>
    <t>2104_26</t>
  </si>
  <si>
    <t>M33仓下截止门</t>
  </si>
  <si>
    <t>I38.3</t>
  </si>
  <si>
    <t>2104_27</t>
  </si>
  <si>
    <t>M34仓下截止门</t>
  </si>
  <si>
    <t>I38.4</t>
  </si>
  <si>
    <t>2104_28</t>
  </si>
  <si>
    <t>M35仓下截止门</t>
  </si>
  <si>
    <t>I38.5</t>
  </si>
  <si>
    <t>2104_29</t>
  </si>
  <si>
    <t>M36仓下截止门</t>
  </si>
  <si>
    <t>I38.6</t>
  </si>
  <si>
    <t>测速</t>
  </si>
  <si>
    <t>Speed</t>
  </si>
  <si>
    <t>I38.7</t>
  </si>
  <si>
    <t>I39.0</t>
  </si>
  <si>
    <t>堵料</t>
  </si>
  <si>
    <t>Plug-up sensor</t>
  </si>
  <si>
    <t>I39.1</t>
  </si>
  <si>
    <t>上跑偏</t>
  </si>
  <si>
    <t>High Belt alignment</t>
  </si>
  <si>
    <t>I39.2</t>
  </si>
  <si>
    <t>下跑偏</t>
  </si>
  <si>
    <t>Low Belt alignment</t>
  </si>
  <si>
    <t>I39.3</t>
  </si>
  <si>
    <t>I39.4</t>
  </si>
  <si>
    <t>I39.5</t>
  </si>
  <si>
    <t>YDPB1</t>
  </si>
  <si>
    <t>投料口</t>
  </si>
  <si>
    <t>开始添加</t>
  </si>
  <si>
    <t>Add response</t>
  </si>
  <si>
    <t>I39.6</t>
  </si>
  <si>
    <t>添加完成</t>
  </si>
  <si>
    <t>Add finish</t>
  </si>
  <si>
    <t>I39.7</t>
  </si>
  <si>
    <t>YMIB1</t>
  </si>
  <si>
    <t>小料口</t>
  </si>
  <si>
    <t>I40.0</t>
  </si>
  <si>
    <t>YMIB2</t>
  </si>
  <si>
    <t>4A9</t>
  </si>
  <si>
    <t>I40.1</t>
  </si>
  <si>
    <t>YMIB3</t>
  </si>
  <si>
    <t>I40.2</t>
  </si>
  <si>
    <t>至P01仓</t>
  </si>
  <si>
    <t>TO P01</t>
  </si>
  <si>
    <t>I40.3</t>
  </si>
  <si>
    <t>至P02仓</t>
  </si>
  <si>
    <t>TO P02</t>
  </si>
  <si>
    <t>I40.4</t>
  </si>
  <si>
    <t>至P03仓</t>
  </si>
  <si>
    <t>TO P03</t>
  </si>
  <si>
    <t>I40.5</t>
  </si>
  <si>
    <t>至P04仓</t>
  </si>
  <si>
    <t>TO P04</t>
  </si>
  <si>
    <t>I40.6</t>
  </si>
  <si>
    <t>至M05仓</t>
  </si>
  <si>
    <t>TO M05</t>
  </si>
  <si>
    <t>I40.7</t>
  </si>
  <si>
    <t>至M06仓</t>
  </si>
  <si>
    <t>TO M06</t>
  </si>
  <si>
    <t>I41.0</t>
  </si>
  <si>
    <t>至M07仓</t>
  </si>
  <si>
    <t>TO M07</t>
  </si>
  <si>
    <t>I41.1</t>
  </si>
  <si>
    <t>至M08仓</t>
  </si>
  <si>
    <t>TO M08</t>
  </si>
  <si>
    <t>I41.2</t>
  </si>
  <si>
    <t>至M09仓</t>
  </si>
  <si>
    <t>TO M09</t>
  </si>
  <si>
    <t>I41.3</t>
  </si>
  <si>
    <t>至M10仓</t>
  </si>
  <si>
    <t>TO M10</t>
  </si>
  <si>
    <t>I41.4</t>
  </si>
  <si>
    <t>至M18仓</t>
  </si>
  <si>
    <t>TO M18</t>
  </si>
  <si>
    <t>I41.5</t>
  </si>
  <si>
    <t>至M19仓</t>
  </si>
  <si>
    <t>TO M19</t>
  </si>
  <si>
    <t>I41.6</t>
  </si>
  <si>
    <t>1#小料口</t>
  </si>
  <si>
    <t>到位信号</t>
  </si>
  <si>
    <t>投料口门锁到位信号</t>
  </si>
  <si>
    <t>5层</t>
  </si>
  <si>
    <t>I41.7</t>
  </si>
  <si>
    <t>3#小料口</t>
  </si>
  <si>
    <t>9层</t>
  </si>
  <si>
    <t>I42.0</t>
  </si>
  <si>
    <t>4A10</t>
  </si>
  <si>
    <t>I42.1</t>
  </si>
  <si>
    <t>I42.2</t>
  </si>
  <si>
    <t>I42.3</t>
  </si>
  <si>
    <t>I42.4</t>
  </si>
  <si>
    <t>I42.5</t>
  </si>
  <si>
    <t>I42.6</t>
  </si>
  <si>
    <t>I42.7</t>
  </si>
  <si>
    <t>I43.0</t>
  </si>
  <si>
    <t>I43.1</t>
  </si>
  <si>
    <t>I43.2</t>
  </si>
  <si>
    <t>I43.3</t>
  </si>
  <si>
    <t>I43.4</t>
  </si>
  <si>
    <t>I43.5</t>
  </si>
  <si>
    <t>I43.6</t>
  </si>
  <si>
    <t>I43.7</t>
  </si>
  <si>
    <t>Q26.0</t>
  </si>
  <si>
    <t>左通</t>
  </si>
  <si>
    <t>4A11</t>
  </si>
  <si>
    <t>Q26.1</t>
  </si>
  <si>
    <t>右通</t>
  </si>
  <si>
    <t>Q26.2</t>
  </si>
  <si>
    <t>Q26.3</t>
  </si>
  <si>
    <t>Q26.4</t>
  </si>
  <si>
    <t>Q26.5</t>
  </si>
  <si>
    <t>Q26.6</t>
  </si>
  <si>
    <t>Open</t>
  </si>
  <si>
    <t>Q26.7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</si>
  <si>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</si>
  <si>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</si>
  <si>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</si>
  <si>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</si>
  <si>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</si>
  <si>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</si>
  <si>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</si>
  <si>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</si>
  <si>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</si>
  <si>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4A12</t>
  </si>
  <si>
    <t>Q28.1</t>
  </si>
  <si>
    <t>Q28.2</t>
  </si>
  <si>
    <t>Q28.3</t>
  </si>
  <si>
    <t>Q28.4</t>
  </si>
  <si>
    <t>Q28.5</t>
  </si>
  <si>
    <t>Q28.6</t>
  </si>
  <si>
    <t>Q28.7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</si>
  <si>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</si>
  <si>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</si>
  <si>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</si>
  <si>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</si>
  <si>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</si>
  <si>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</si>
  <si>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</si>
  <si>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</si>
  <si>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Q30.0</t>
  </si>
  <si>
    <t>4A13</t>
  </si>
  <si>
    <t>Q30.1</t>
  </si>
  <si>
    <t>Q30.2</t>
  </si>
  <si>
    <t>Q30.3</t>
  </si>
  <si>
    <t>Q30.4</t>
  </si>
  <si>
    <t>Q30.5</t>
  </si>
  <si>
    <t>Q30.6</t>
  </si>
  <si>
    <t>Q30.7</t>
  </si>
  <si>
    <t>2101_1_MQ</t>
  </si>
  <si>
    <t>M05仓顶脉冲阀</t>
  </si>
  <si>
    <t>Pulse valve</t>
  </si>
  <si>
    <t>Q31.0</t>
  </si>
  <si>
    <t>2101_2_MQ</t>
  </si>
  <si>
    <t>M06仓顶脉冲阀</t>
  </si>
  <si>
    <t>Q31.1</t>
  </si>
  <si>
    <t>2101_3_MQ</t>
  </si>
  <si>
    <t>M07仓顶脉冲阀</t>
  </si>
  <si>
    <t>Q31.2</t>
  </si>
  <si>
    <t>2101_4_MQ</t>
  </si>
  <si>
    <t>M08仓顶脉冲阀</t>
  </si>
  <si>
    <t>Q31.3</t>
  </si>
  <si>
    <t>2101_5_MQ</t>
  </si>
  <si>
    <t>M09仓顶脉冲阀</t>
  </si>
  <si>
    <t>Q31.4</t>
  </si>
  <si>
    <t>2101_6_MQ</t>
  </si>
  <si>
    <t>M10仓顶脉冲阀</t>
  </si>
  <si>
    <t>Q31.5</t>
  </si>
  <si>
    <t>2101_7_MQ</t>
  </si>
  <si>
    <t>M18仓顶脉冲阀</t>
  </si>
  <si>
    <t>Q31.6</t>
  </si>
  <si>
    <t>2101_8_MQ</t>
  </si>
  <si>
    <t>M19仓顶脉冲阀</t>
  </si>
  <si>
    <t>Q31.7</t>
  </si>
  <si>
    <t>2101_1_FM</t>
  </si>
  <si>
    <t>M05仓顶风门阀</t>
  </si>
  <si>
    <t>Air valve</t>
  </si>
  <si>
    <t>Q32.0</t>
  </si>
  <si>
    <t>2101_2_FM</t>
  </si>
  <si>
    <t>M06仓顶风门阀</t>
  </si>
  <si>
    <t>4A14</t>
  </si>
  <si>
    <t>Q32.1</t>
  </si>
  <si>
    <t>2101_3_FM</t>
  </si>
  <si>
    <t>M07仓顶风门阀</t>
  </si>
  <si>
    <t>Q32.2</t>
  </si>
  <si>
    <t>2101_4_FM</t>
  </si>
  <si>
    <t>M08仓顶风门阀</t>
  </si>
  <si>
    <t>Q32.3</t>
  </si>
  <si>
    <t>2101_5_FM</t>
  </si>
  <si>
    <t>M09仓顶风门阀</t>
  </si>
  <si>
    <t>Q32.4</t>
  </si>
  <si>
    <t>2101_6_FM</t>
  </si>
  <si>
    <t>M10仓顶风门阀</t>
  </si>
  <si>
    <t>Q32.5</t>
  </si>
  <si>
    <t>2101_7_FM</t>
  </si>
  <si>
    <t>M18仓顶风门阀</t>
  </si>
  <si>
    <t>Q32.6</t>
  </si>
  <si>
    <t>2101_8_FM</t>
  </si>
  <si>
    <t>M19仓顶风门阀</t>
  </si>
  <si>
    <t>Q32.7</t>
  </si>
  <si>
    <t>2104_1_JZ</t>
  </si>
  <si>
    <t>Q33.0</t>
  </si>
  <si>
    <t>2104_2_JZ</t>
  </si>
  <si>
    <t>Q33.1</t>
  </si>
  <si>
    <t>2104_3_JZ</t>
  </si>
  <si>
    <t>Q33.2</t>
  </si>
  <si>
    <t>2104_4_JZ</t>
  </si>
  <si>
    <t>Q33.3</t>
  </si>
  <si>
    <t>2104_5_JZ</t>
  </si>
  <si>
    <t>Q33.4</t>
  </si>
  <si>
    <t>2104_6_JZ</t>
  </si>
  <si>
    <t>Q33.5</t>
  </si>
  <si>
    <t>2104_7_JZ</t>
  </si>
  <si>
    <t>Q33.6</t>
  </si>
  <si>
    <t>2104_8_JZ</t>
  </si>
  <si>
    <t>Q33.7</t>
  </si>
  <si>
    <t>2104_9_JZ</t>
  </si>
  <si>
    <t>Q34.0</t>
  </si>
  <si>
    <t>2104_10_JZ</t>
  </si>
  <si>
    <t>4A15</t>
  </si>
  <si>
    <t>Q34.1</t>
  </si>
  <si>
    <t>2104_11_JZ</t>
  </si>
  <si>
    <t>Q34.2</t>
  </si>
  <si>
    <t>2104_12_JZ</t>
  </si>
  <si>
    <t>Q34.3</t>
  </si>
  <si>
    <t>2104_13_JZ</t>
  </si>
  <si>
    <t>Q34.4</t>
  </si>
  <si>
    <t>2104_14_JZ</t>
  </si>
  <si>
    <t>Q34.5</t>
  </si>
  <si>
    <t>2104_15_JZ</t>
  </si>
  <si>
    <t>Q34.6</t>
  </si>
  <si>
    <t>2104_16_JZ</t>
  </si>
  <si>
    <t>Q34.7</t>
  </si>
  <si>
    <t>2104_17_JZ</t>
  </si>
  <si>
    <t>Q35.0</t>
  </si>
  <si>
    <t>2104_18_JZ</t>
  </si>
  <si>
    <t>Q35.1</t>
  </si>
  <si>
    <t>2104_19_JZ</t>
  </si>
  <si>
    <t>Q35.2</t>
  </si>
  <si>
    <t>2104_20_JZ</t>
  </si>
  <si>
    <t>Q35.3</t>
  </si>
  <si>
    <t>2104_21_JZ</t>
  </si>
  <si>
    <t>Q35.4</t>
  </si>
  <si>
    <t>2104_22_JZ</t>
  </si>
  <si>
    <t>Q35.5</t>
  </si>
  <si>
    <t>2104_23_JZ</t>
  </si>
  <si>
    <t>Q35.6</t>
  </si>
  <si>
    <t>2104_24_JZ</t>
  </si>
  <si>
    <t>Q35.7</t>
  </si>
  <si>
    <t>2104_25_JZ</t>
  </si>
  <si>
    <t>Q36.0</t>
  </si>
  <si>
    <t>2104_26_JZ</t>
  </si>
  <si>
    <t>4A16</t>
  </si>
  <si>
    <t>Q36.1</t>
  </si>
  <si>
    <t>2104_27_JZ</t>
  </si>
  <si>
    <t>Q36.2</t>
  </si>
  <si>
    <t>2104_28_JZ</t>
  </si>
  <si>
    <t>Q36.3</t>
  </si>
  <si>
    <t>2104_29_JZ</t>
  </si>
  <si>
    <t>Q36.4</t>
  </si>
  <si>
    <t>跑偏开关电源</t>
  </si>
  <si>
    <t xml:space="preserve">Belt alignment </t>
  </si>
  <si>
    <t>Power</t>
  </si>
  <si>
    <t>Q36.5</t>
  </si>
  <si>
    <t>系统报警</t>
  </si>
  <si>
    <t>System Alarm</t>
  </si>
  <si>
    <t>Q36.6</t>
  </si>
  <si>
    <t>Notification add</t>
  </si>
  <si>
    <t>Q36.7</t>
  </si>
  <si>
    <t>Q37.0</t>
  </si>
  <si>
    <t>2#小料口</t>
  </si>
  <si>
    <t>Q37.1</t>
  </si>
  <si>
    <t>Q37.2</t>
  </si>
  <si>
    <t>锁开门</t>
  </si>
  <si>
    <t>Q37.3</t>
  </si>
  <si>
    <t>Q37.4</t>
  </si>
  <si>
    <t>Q37.5</t>
  </si>
  <si>
    <t>Q37.6</t>
  </si>
  <si>
    <t>Q37.7</t>
  </si>
  <si>
    <t>Q38.0</t>
  </si>
  <si>
    <t>4A17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</si>
  <si>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</si>
  <si>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</si>
  <si>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</si>
  <si>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</si>
  <si>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</si>
  <si>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</si>
  <si>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</si>
  <si>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</si>
  <si>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</si>
  <si>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</si>
  <si>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</si>
  <si>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</si>
  <si>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</si>
  <si>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</si>
  <si>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</si>
  <si>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PLC</t>
  </si>
  <si>
    <t xml:space="preserve">主CPU </t>
  </si>
  <si>
    <t>2A1</t>
  </si>
  <si>
    <t>SLOT1</t>
  </si>
  <si>
    <t>SLOT2</t>
  </si>
  <si>
    <t>SLOT3</t>
  </si>
  <si>
    <t>SLOT4</t>
  </si>
  <si>
    <t>SLOT5</t>
  </si>
  <si>
    <t>SLOT6</t>
  </si>
  <si>
    <t>SLOT7</t>
  </si>
  <si>
    <t>SL0T8</t>
  </si>
  <si>
    <t>SL0T9</t>
  </si>
  <si>
    <t>SL0T10</t>
  </si>
  <si>
    <t>SL0T11</t>
  </si>
  <si>
    <t>SL0T12</t>
  </si>
  <si>
    <t>SL0T13</t>
  </si>
  <si>
    <t>SL0T14</t>
  </si>
  <si>
    <t>SL0T15</t>
  </si>
  <si>
    <t>6ES7155-6AA00-0BN0</t>
  </si>
  <si>
    <t>6ES7193-6BP00-0DA0</t>
  </si>
  <si>
    <t>6ES7193-6BP00-0BA0</t>
  </si>
  <si>
    <r>
      <rPr>
        <sz val="11"/>
        <color indexed="8"/>
        <rFont val="华文细黑"/>
        <charset val="134"/>
      </rPr>
      <t>IB 0</t>
    </r>
    <r>
      <rPr>
        <sz val="11"/>
        <color indexed="8"/>
        <rFont val="华文细黑"/>
        <charset val="134"/>
      </rPr>
      <t>-</t>
    </r>
    <r>
      <rPr>
        <sz val="11"/>
        <color indexed="8"/>
        <rFont val="华文细黑"/>
        <charset val="134"/>
      </rPr>
      <t>1</t>
    </r>
  </si>
  <si>
    <t>IB 2-3</t>
  </si>
  <si>
    <t>IB 4-5</t>
  </si>
  <si>
    <t>IB 6-7</t>
  </si>
  <si>
    <t>IB 8-9</t>
  </si>
  <si>
    <t>IB 10-11</t>
  </si>
  <si>
    <r>
      <rPr>
        <sz val="11"/>
        <color indexed="10"/>
        <rFont val="华文细黑"/>
        <charset val="134"/>
      </rPr>
      <t xml:space="preserve">QB </t>
    </r>
    <r>
      <rPr>
        <sz val="11"/>
        <color indexed="10"/>
        <rFont val="华文细黑"/>
        <charset val="134"/>
      </rPr>
      <t>0-1</t>
    </r>
  </si>
  <si>
    <r>
      <rPr>
        <sz val="11"/>
        <color indexed="10"/>
        <rFont val="华文细黑"/>
        <charset val="134"/>
      </rPr>
      <t>QB</t>
    </r>
    <r>
      <rPr>
        <sz val="11"/>
        <color indexed="10"/>
        <rFont val="华文细黑"/>
        <charset val="134"/>
      </rPr>
      <t xml:space="preserve"> 2-3</t>
    </r>
  </si>
  <si>
    <r>
      <rPr>
        <sz val="11"/>
        <color indexed="10"/>
        <rFont val="华文细黑"/>
        <charset val="134"/>
      </rPr>
      <t xml:space="preserve">QB </t>
    </r>
    <r>
      <rPr>
        <sz val="11"/>
        <color indexed="10"/>
        <rFont val="华文细黑"/>
        <charset val="134"/>
      </rPr>
      <t>4-5</t>
    </r>
  </si>
  <si>
    <r>
      <rPr>
        <sz val="11"/>
        <color indexed="10"/>
        <rFont val="华文细黑"/>
        <charset val="134"/>
      </rPr>
      <t>QB</t>
    </r>
    <r>
      <rPr>
        <sz val="11"/>
        <color indexed="10"/>
        <rFont val="华文细黑"/>
        <charset val="134"/>
      </rPr>
      <t xml:space="preserve"> 6-7</t>
    </r>
  </si>
  <si>
    <t>QB 8-9</t>
  </si>
  <si>
    <t>QB 10-11</t>
  </si>
  <si>
    <t>QB 12-13</t>
  </si>
  <si>
    <t>3A1</t>
  </si>
  <si>
    <t>SLOT8</t>
  </si>
  <si>
    <t>SLOT9</t>
  </si>
  <si>
    <t>SLOT10</t>
  </si>
  <si>
    <t>SLOT11</t>
  </si>
  <si>
    <t>SLOT12</t>
  </si>
  <si>
    <t>SLOT13</t>
  </si>
  <si>
    <t>SLOT14</t>
  </si>
  <si>
    <t>IB 12-13</t>
  </si>
  <si>
    <t>IB 14-15</t>
  </si>
  <si>
    <t>IB 16-17</t>
  </si>
  <si>
    <t>IB 18-19</t>
  </si>
  <si>
    <t>IB 20-21</t>
  </si>
  <si>
    <t>IB 22-23</t>
  </si>
  <si>
    <t>IB 24-25</t>
  </si>
  <si>
    <t>QB 14-15</t>
  </si>
  <si>
    <t>QB 16-17</t>
  </si>
  <si>
    <t>QB 18-19</t>
  </si>
  <si>
    <t>QB 20-21</t>
  </si>
  <si>
    <t>QB 22-23</t>
  </si>
  <si>
    <t>QB 24-25</t>
  </si>
  <si>
    <t>4A1</t>
  </si>
  <si>
    <t>SLOT15</t>
  </si>
  <si>
    <t>SLOT16</t>
  </si>
  <si>
    <t>SLOT17</t>
  </si>
  <si>
    <t>IB 26-27</t>
  </si>
  <si>
    <t>IB 28-29</t>
  </si>
  <si>
    <t>IB 30-31</t>
  </si>
  <si>
    <t>IB 32-33</t>
  </si>
  <si>
    <t>IB 34-35</t>
  </si>
  <si>
    <t>IB 36-37</t>
  </si>
  <si>
    <t>IB 38-39</t>
  </si>
  <si>
    <t>IB 40-41</t>
  </si>
  <si>
    <t>IB 42-43</t>
  </si>
  <si>
    <t>QB 26-27</t>
  </si>
  <si>
    <t>QB 28-29</t>
  </si>
  <si>
    <t>QB 30-31</t>
  </si>
  <si>
    <t>QB 32-33</t>
  </si>
  <si>
    <t>QB 34-35</t>
  </si>
  <si>
    <t>QB 36-37</t>
  </si>
  <si>
    <t>QB 38-39</t>
  </si>
  <si>
    <t>计算机、PLC相关硬件清单：</t>
  </si>
  <si>
    <t>编码</t>
  </si>
  <si>
    <t>SAP描述</t>
  </si>
  <si>
    <t>名称</t>
  </si>
  <si>
    <t>数量</t>
  </si>
  <si>
    <t>单位</t>
  </si>
  <si>
    <t>说明</t>
  </si>
  <si>
    <t>CPU_6ES7-511-1AK01-0AB0_西门子</t>
  </si>
  <si>
    <t>块</t>
  </si>
  <si>
    <t>存储卡_6ES7-954-8LC02-0AA0_西门子 </t>
  </si>
  <si>
    <t>MMC卡</t>
  </si>
  <si>
    <t>称重仪表_GMT-P1_24VDC_杰曼</t>
  </si>
  <si>
    <t>DK0000876</t>
  </si>
  <si>
    <t>交换机_RIS3008-8T_锐格思</t>
  </si>
  <si>
    <t>DK0000877</t>
  </si>
  <si>
    <t>交换机_RIS3016-16T_锐格思</t>
  </si>
  <si>
    <t>只</t>
  </si>
  <si>
    <t>DK0000875</t>
  </si>
  <si>
    <t>交换机_RIS3008-5T_锐格思</t>
  </si>
  <si>
    <t>电脑_T5820-W2102/16G/256G_SSD+1T/P620显卡_双网卡_戴尔</t>
  </si>
  <si>
    <t>台</t>
  </si>
  <si>
    <t>弧形显示器</t>
  </si>
  <si>
    <t>显示器</t>
  </si>
  <si>
    <t>DK0001657</t>
  </si>
  <si>
    <t>激光打印机_HP1106_惠普</t>
  </si>
  <si>
    <t>UPS_C2K-2KVA_含电池_山特</t>
  </si>
  <si>
    <t>LED显示屏_以太网BX-5MK1_176-264VAC/47-63Hz_单基…</t>
  </si>
  <si>
    <t>工控机_TPC6000-C1852W-T-J1900/4G/SSD128G_诺达佳</t>
  </si>
  <si>
    <t>DK0002011</t>
  </si>
  <si>
    <t>条码打印机_GX430T_以太网_斑马</t>
  </si>
  <si>
    <t>DK0001509</t>
  </si>
  <si>
    <t>标签纸_100×50_2.5管芯_斑马</t>
  </si>
  <si>
    <t>DK0001526</t>
  </si>
  <si>
    <t>蜡基碳带_110mm×74m_小卷心_通用</t>
  </si>
  <si>
    <t>扫描枪_DS8178_斑马_二维无线</t>
  </si>
  <si>
    <t>DK0000032</t>
  </si>
  <si>
    <t>安普网线 219413-2_屏蔽</t>
  </si>
  <si>
    <t>安普网线</t>
  </si>
  <si>
    <t>米</t>
  </si>
  <si>
    <t>水晶头_BON-Cat6-8P8C-STP_超六类屏蔽_台湾东霖</t>
  </si>
  <si>
    <t>个</t>
  </si>
  <si>
    <t>分布式I/O接口模块_6ES7155-6AA00-0BN0_西门子  W*H:50MM*117MM  191g</t>
  </si>
  <si>
    <t>安装基板_6ES7193-6BP00-0DA0_ET200SP_西门子   W*H:15MM*117MM  40g</t>
  </si>
  <si>
    <t>电源基座，最多可带3个输出，输入不限</t>
  </si>
  <si>
    <t>安装基板_6ES7193-6BP00-0BA0_ET200SP_西门子    W*H:15MM*117MM  40g</t>
  </si>
  <si>
    <t>数字量输入模块_6ES7131-6BH00-0BA0_ET200SP-DI16x24VDC-ST_西门子</t>
  </si>
  <si>
    <t>数字量输出模块_6ES7132-6BH00-0BA0_ET200SP-DQ16x24VDC/0.5A-ST_西门子</t>
  </si>
  <si>
    <t>模拟量输入模块_6ES7134-6GD00-0BA1_AI4×I-2/4线制_西门子</t>
  </si>
  <si>
    <t>Q980001606</t>
  </si>
  <si>
    <t>继电器端子_41F-1Z-C2-1-DC24V_宏发</t>
  </si>
  <si>
    <t>关风器</t>
    <phoneticPr fontId="68" type="noConversion"/>
  </si>
  <si>
    <t>风机</t>
    <phoneticPr fontId="68" type="noConversion"/>
  </si>
  <si>
    <t>新增</t>
    <phoneticPr fontId="68" type="noConversion"/>
  </si>
  <si>
    <t>脉冲电源</t>
    <phoneticPr fontId="68" type="noConversion"/>
  </si>
  <si>
    <t>气密封</t>
    <phoneticPr fontId="68" type="noConversion"/>
  </si>
</sst>
</file>

<file path=xl/styles.xml><?xml version="1.0" encoding="utf-8"?>
<styleSheet xmlns="http://schemas.openxmlformats.org/spreadsheetml/2006/main">
  <numFmts count="2">
    <numFmt numFmtId="177" formatCode="0;[Red]0"/>
    <numFmt numFmtId="180" formatCode="0.00_ "/>
  </numFmts>
  <fonts count="69">
    <font>
      <sz val="11"/>
      <color indexed="8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3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62"/>
      <name val="宋体"/>
      <charset val="134"/>
    </font>
    <font>
      <i/>
      <sz val="11"/>
      <color indexed="23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5"/>
      <color indexed="62"/>
      <name val="宋体"/>
      <charset val="134"/>
    </font>
    <font>
      <b/>
      <sz val="18"/>
      <color indexed="62"/>
      <name val="宋体"/>
      <charset val="134"/>
    </font>
    <font>
      <sz val="12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0"/>
      <name val="Arial"/>
      <family val="2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Times New Roman"/>
      <family val="1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0"/>
      <color indexed="8"/>
      <name val="华文细黑"/>
      <charset val="134"/>
    </font>
    <font>
      <b/>
      <sz val="10"/>
      <name val="华文细黑"/>
      <charset val="134"/>
    </font>
    <font>
      <sz val="10"/>
      <name val="华文细黑"/>
      <charset val="134"/>
    </font>
    <font>
      <sz val="10.5"/>
      <color indexed="59"/>
      <name val="华文细黑"/>
      <charset val="134"/>
    </font>
    <font>
      <sz val="11"/>
      <color indexed="8"/>
      <name val="华文细黑"/>
      <charset val="134"/>
    </font>
    <font>
      <b/>
      <sz val="11"/>
      <color indexed="8"/>
      <name val="华文细黑"/>
      <charset val="134"/>
    </font>
    <font>
      <sz val="10.5"/>
      <name val="Arial"/>
      <family val="2"/>
    </font>
    <font>
      <sz val="11"/>
      <name val="宋体"/>
      <charset val="134"/>
    </font>
    <font>
      <sz val="9"/>
      <name val="Arial"/>
      <family val="2"/>
    </font>
    <font>
      <sz val="11"/>
      <color indexed="10"/>
      <name val="华文细黑"/>
      <charset val="134"/>
    </font>
    <font>
      <sz val="10"/>
      <color indexed="8"/>
      <name val="宋体"/>
      <charset val="134"/>
    </font>
    <font>
      <b/>
      <sz val="10"/>
      <color indexed="8"/>
      <name val="华文细黑"/>
      <charset val="134"/>
    </font>
    <font>
      <sz val="10"/>
      <color indexed="59"/>
      <name val="华文细黑"/>
      <charset val="134"/>
    </font>
    <font>
      <sz val="12"/>
      <color indexed="10"/>
      <name val="宋体"/>
      <charset val="134"/>
    </font>
    <font>
      <sz val="10"/>
      <color indexed="10"/>
      <name val="华文细黑"/>
      <charset val="134"/>
    </font>
    <font>
      <b/>
      <sz val="10"/>
      <color indexed="59"/>
      <name val="华文细黑"/>
      <charset val="134"/>
    </font>
    <font>
      <sz val="10"/>
      <name val="Times New Roman"/>
      <family val="1"/>
    </font>
    <font>
      <b/>
      <sz val="10.5"/>
      <name val="Arial"/>
      <family val="2"/>
    </font>
    <font>
      <b/>
      <sz val="10.5"/>
      <color indexed="12"/>
      <name val="宋体"/>
      <charset val="134"/>
    </font>
    <font>
      <b/>
      <sz val="10.5"/>
      <color indexed="12"/>
      <name val="Arial"/>
      <family val="2"/>
    </font>
    <font>
      <b/>
      <sz val="10.5"/>
      <color indexed="8"/>
      <name val="宋体"/>
      <charset val="134"/>
    </font>
    <font>
      <b/>
      <sz val="10.5"/>
      <color indexed="8"/>
      <name val="Arial"/>
      <family val="2"/>
    </font>
    <font>
      <b/>
      <sz val="10.5"/>
      <name val="宋体"/>
      <charset val="134"/>
    </font>
    <font>
      <sz val="10.5"/>
      <color indexed="8"/>
      <name val="Arial"/>
      <family val="2"/>
    </font>
    <font>
      <sz val="10.5"/>
      <name val="宋体"/>
      <charset val="134"/>
    </font>
    <font>
      <sz val="10.5"/>
      <color indexed="10"/>
      <name val="宋体"/>
      <charset val="134"/>
    </font>
    <font>
      <sz val="14"/>
      <name val="Arial"/>
      <family val="2"/>
    </font>
    <font>
      <sz val="12"/>
      <name val="Arial"/>
      <family val="2"/>
    </font>
    <font>
      <sz val="14"/>
      <name val="宋体"/>
      <charset val="134"/>
    </font>
    <font>
      <b/>
      <sz val="10.5"/>
      <color indexed="10"/>
      <name val="Arial"/>
      <family val="2"/>
    </font>
    <font>
      <sz val="9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</borders>
  <cellStyleXfs count="6751">
    <xf numFmtId="0" fontId="0" fillId="0" borderId="0">
      <alignment vertical="center"/>
    </xf>
    <xf numFmtId="0" fontId="13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17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5" fillId="0" borderId="2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7" fillId="3" borderId="1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3" borderId="15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0" fillId="20" borderId="21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7" fillId="12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4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7" fillId="12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5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5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" fillId="11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18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1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3" fillId="0" borderId="19" applyNumberFormat="0" applyFill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9" fillId="0" borderId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8" fillId="0" borderId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5" fillId="0" borderId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5" fillId="0" borderId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5" fillId="0" borderId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9" borderId="0">
      <alignment vertical="center"/>
    </xf>
    <xf numFmtId="0" fontId="3" fillId="9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>
      <alignment vertical="center"/>
    </xf>
    <xf numFmtId="0" fontId="15" fillId="0" borderId="0">
      <alignment vertical="center"/>
    </xf>
    <xf numFmtId="0" fontId="3" fillId="9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8" fillId="0" borderId="24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6" fillId="7" borderId="15" applyNumberFormat="0" applyAlignment="0" applyProtection="0">
      <alignment vertical="center"/>
    </xf>
    <xf numFmtId="0" fontId="18" fillId="0" borderId="0">
      <alignment vertical="center"/>
    </xf>
    <xf numFmtId="0" fontId="6" fillId="7" borderId="15" applyNumberFormat="0" applyAlignment="0" applyProtection="0">
      <alignment vertical="center"/>
    </xf>
    <xf numFmtId="0" fontId="18" fillId="0" borderId="0">
      <alignment vertical="center"/>
    </xf>
    <xf numFmtId="0" fontId="6" fillId="7" borderId="15" applyNumberFormat="0" applyAlignment="0" applyProtection="0">
      <alignment vertical="center"/>
    </xf>
    <xf numFmtId="0" fontId="19" fillId="0" borderId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6" fillId="7" borderId="15" applyNumberForma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5" fillId="0" borderId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5" fillId="0" borderId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4" fillId="0" borderId="13" applyNumberFormat="0" applyFill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>
      <alignment vertical="center"/>
    </xf>
    <xf numFmtId="0" fontId="19" fillId="17" borderId="20" applyNumberFormat="0" applyFont="0" applyAlignment="0" applyProtection="0">
      <alignment vertical="center"/>
    </xf>
    <xf numFmtId="0" fontId="17" fillId="12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>
      <alignment vertical="center"/>
    </xf>
    <xf numFmtId="0" fontId="17" fillId="12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0" fillId="3" borderId="15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19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7" fillId="3" borderId="16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6" fillId="7" borderId="15" applyNumberFormat="0" applyAlignment="0" applyProtection="0">
      <alignment vertical="center"/>
    </xf>
    <xf numFmtId="0" fontId="34" fillId="0" borderId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  <xf numFmtId="0" fontId="19" fillId="17" borderId="20" applyNumberFormat="0" applyFont="0" applyAlignment="0" applyProtection="0">
      <alignment vertical="center"/>
    </xf>
  </cellStyleXfs>
  <cellXfs count="183">
    <xf numFmtId="0" fontId="0" fillId="0" borderId="0" xfId="0">
      <alignment vertical="center"/>
    </xf>
    <xf numFmtId="0" fontId="38" fillId="0" borderId="0" xfId="0" applyFont="1" applyFill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9" fillId="0" borderId="0" xfId="4747" applyFont="1" applyAlignment="1"/>
    <xf numFmtId="0" fontId="39" fillId="0" borderId="0" xfId="4747" applyFont="1" applyAlignment="1">
      <alignment horizontal="left"/>
    </xf>
    <xf numFmtId="0" fontId="40" fillId="0" borderId="0" xfId="4747" applyFont="1" applyAlignment="1"/>
    <xf numFmtId="0" fontId="40" fillId="0" borderId="0" xfId="4747" applyFont="1" applyAlignment="1">
      <alignment horizontal="center"/>
    </xf>
    <xf numFmtId="0" fontId="40" fillId="0" borderId="1" xfId="4747" applyFont="1" applyBorder="1" applyAlignment="1">
      <alignment horizontal="center"/>
    </xf>
    <xf numFmtId="0" fontId="40" fillId="0" borderId="1" xfId="4747" applyFont="1" applyBorder="1" applyAlignment="1">
      <alignment horizontal="left"/>
    </xf>
    <xf numFmtId="0" fontId="40" fillId="0" borderId="1" xfId="4747" applyFont="1" applyBorder="1" applyAlignment="1"/>
    <xf numFmtId="0" fontId="38" fillId="0" borderId="1" xfId="4747" applyFont="1" applyBorder="1" applyAlignment="1">
      <alignment horizontal="center" vertical="center"/>
    </xf>
    <xf numFmtId="0" fontId="38" fillId="0" borderId="1" xfId="4747" applyFont="1" applyBorder="1" applyAlignment="1"/>
    <xf numFmtId="0" fontId="40" fillId="0" borderId="1" xfId="4747" applyFont="1" applyFill="1" applyBorder="1" applyAlignment="1">
      <alignment horizontal="left" vertical="center"/>
    </xf>
    <xf numFmtId="0" fontId="38" fillId="0" borderId="1" xfId="4747" applyFont="1" applyFill="1" applyBorder="1" applyAlignment="1">
      <alignment horizontal="left" vertical="center"/>
    </xf>
    <xf numFmtId="0" fontId="38" fillId="0" borderId="1" xfId="4747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38" fillId="0" borderId="1" xfId="0" applyFont="1" applyFill="1" applyBorder="1" applyAlignment="1"/>
    <xf numFmtId="0" fontId="38" fillId="0" borderId="1" xfId="4747" applyFont="1" applyFill="1" applyBorder="1" applyAlignment="1"/>
    <xf numFmtId="0" fontId="40" fillId="2" borderId="1" xfId="4747" applyFont="1" applyFill="1" applyBorder="1" applyAlignment="1">
      <alignment horizontal="left" vertical="center"/>
    </xf>
    <xf numFmtId="0" fontId="38" fillId="2" borderId="1" xfId="4747" applyFont="1" applyFill="1" applyBorder="1" applyAlignment="1">
      <alignment horizontal="left" vertical="center"/>
    </xf>
    <xf numFmtId="0" fontId="38" fillId="2" borderId="1" xfId="84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/>
    </xf>
    <xf numFmtId="0" fontId="40" fillId="0" borderId="1" xfId="4747" applyFont="1" applyBorder="1" applyAlignment="1">
      <alignment horizontal="left" vertical="center"/>
    </xf>
    <xf numFmtId="0" fontId="40" fillId="0" borderId="1" xfId="0" applyFont="1" applyFill="1" applyBorder="1" applyAlignment="1"/>
    <xf numFmtId="0" fontId="40" fillId="0" borderId="1" xfId="4747" applyFont="1" applyFill="1" applyBorder="1" applyAlignment="1">
      <alignment horizontal="center" vertical="center"/>
    </xf>
    <xf numFmtId="0" fontId="38" fillId="2" borderId="1" xfId="4747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/>
    </xf>
    <xf numFmtId="0" fontId="38" fillId="0" borderId="1" xfId="84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/>
    </xf>
    <xf numFmtId="0" fontId="40" fillId="0" borderId="1" xfId="4747" applyFont="1" applyFill="1" applyBorder="1" applyAlignment="1"/>
    <xf numFmtId="0" fontId="40" fillId="3" borderId="1" xfId="0" applyFont="1" applyFill="1" applyBorder="1" applyAlignment="1">
      <alignment horizontal="center"/>
    </xf>
    <xf numFmtId="0" fontId="40" fillId="3" borderId="1" xfId="0" applyFont="1" applyFill="1" applyBorder="1" applyAlignment="1"/>
    <xf numFmtId="0" fontId="40" fillId="0" borderId="1" xfId="840" applyFont="1" applyBorder="1" applyAlignment="1">
      <alignment horizontal="left" vertical="center"/>
    </xf>
    <xf numFmtId="0" fontId="40" fillId="0" borderId="1" xfId="840" applyFont="1" applyBorder="1" applyAlignment="1">
      <alignment vertical="center"/>
    </xf>
    <xf numFmtId="0" fontId="40" fillId="3" borderId="1" xfId="840" applyFont="1" applyFill="1" applyBorder="1" applyAlignment="1"/>
    <xf numFmtId="0" fontId="38" fillId="0" borderId="1" xfId="840" applyFont="1" applyBorder="1" applyAlignment="1">
      <alignment horizontal="center" vertical="center"/>
    </xf>
    <xf numFmtId="0" fontId="41" fillId="3" borderId="0" xfId="4443" applyFont="1" applyFill="1" applyAlignment="1">
      <alignment vertical="center"/>
    </xf>
    <xf numFmtId="0" fontId="42" fillId="0" borderId="0" xfId="0" applyFont="1" applyAlignmen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0" xfId="0" applyFont="1" applyBorder="1" applyAlignment="1"/>
    <xf numFmtId="0" fontId="44" fillId="3" borderId="0" xfId="4747" applyFont="1" applyFill="1" applyAlignment="1"/>
    <xf numFmtId="0" fontId="45" fillId="4" borderId="0" xfId="4747" applyFont="1" applyFill="1" applyAlignment="1"/>
    <xf numFmtId="0" fontId="45" fillId="3" borderId="0" xfId="4747" applyFont="1" applyFill="1" applyAlignment="1"/>
    <xf numFmtId="0" fontId="46" fillId="3" borderId="0" xfId="4747" applyFont="1" applyFill="1" applyAlignment="1">
      <alignment horizontal="center"/>
    </xf>
    <xf numFmtId="0" fontId="44" fillId="3" borderId="1" xfId="4747" applyFont="1" applyFill="1" applyBorder="1" applyAlignment="1"/>
    <xf numFmtId="0" fontId="44" fillId="3" borderId="3" xfId="4747" applyFont="1" applyFill="1" applyBorder="1" applyAlignment="1"/>
    <xf numFmtId="0" fontId="44" fillId="3" borderId="4" xfId="4747" applyFont="1" applyFill="1" applyBorder="1" applyAlignment="1"/>
    <xf numFmtId="0" fontId="25" fillId="0" borderId="0" xfId="0" applyFont="1" applyAlignment="1">
      <alignment vertical="center"/>
    </xf>
    <xf numFmtId="0" fontId="44" fillId="3" borderId="5" xfId="4747" applyFont="1" applyFill="1" applyBorder="1" applyAlignment="1"/>
    <xf numFmtId="0" fontId="42" fillId="0" borderId="0" xfId="0" applyFont="1" applyAlignment="1">
      <alignment horizontal="center" vertical="center"/>
    </xf>
    <xf numFmtId="0" fontId="46" fillId="0" borderId="0" xfId="4747" applyFont="1" applyFill="1" applyAlignment="1">
      <alignment horizontal="center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8" fillId="0" borderId="0" xfId="0" applyFont="1">
      <alignment vertical="center"/>
    </xf>
    <xf numFmtId="58" fontId="44" fillId="0" borderId="0" xfId="4747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58" fontId="44" fillId="3" borderId="0" xfId="4747" applyNumberFormat="1" applyFont="1" applyFill="1" applyAlignment="1">
      <alignment horizontal="center" vertical="center"/>
    </xf>
    <xf numFmtId="0" fontId="38" fillId="2" borderId="0" xfId="0" applyFont="1" applyFill="1">
      <alignment vertical="center"/>
    </xf>
    <xf numFmtId="0" fontId="38" fillId="3" borderId="0" xfId="0" applyFont="1" applyFill="1">
      <alignment vertical="center"/>
    </xf>
    <xf numFmtId="0" fontId="38" fillId="3" borderId="0" xfId="0" applyFont="1" applyFill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80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38" fillId="2" borderId="1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right" vertical="center"/>
    </xf>
    <xf numFmtId="0" fontId="50" fillId="2" borderId="1" xfId="0" applyFont="1" applyFill="1" applyBorder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38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 vertical="center"/>
    </xf>
    <xf numFmtId="0" fontId="38" fillId="3" borderId="1" xfId="0" applyFont="1" applyFill="1" applyBorder="1">
      <alignment vertical="center"/>
    </xf>
    <xf numFmtId="0" fontId="15" fillId="2" borderId="1" xfId="0" applyFont="1" applyFill="1" applyBorder="1" applyAlignment="1">
      <alignment vertical="center"/>
    </xf>
    <xf numFmtId="0" fontId="51" fillId="2" borderId="1" xfId="0" applyFont="1" applyFill="1" applyBorder="1" applyAlignme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52" fillId="3" borderId="0" xfId="0" applyFont="1" applyFill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52" fillId="3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vertical="center"/>
    </xf>
    <xf numFmtId="0" fontId="0" fillId="3" borderId="5" xfId="0" applyFill="1" applyBorder="1" applyAlignment="1">
      <alignment horizontal="center"/>
    </xf>
    <xf numFmtId="0" fontId="50" fillId="3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0" xfId="0" applyFont="1" applyFill="1">
      <alignment vertical="center"/>
    </xf>
    <xf numFmtId="0" fontId="50" fillId="3" borderId="0" xfId="0" applyFont="1" applyFill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50" fillId="3" borderId="0" xfId="0" applyFont="1" applyFill="1" applyAlignment="1">
      <alignment vertical="center"/>
    </xf>
    <xf numFmtId="0" fontId="50" fillId="3" borderId="0" xfId="0" applyFont="1" applyFill="1" applyAlignment="1">
      <alignment horizontal="right" vertical="center"/>
    </xf>
    <xf numFmtId="0" fontId="50" fillId="3" borderId="1" xfId="0" applyFont="1" applyFill="1" applyBorder="1">
      <alignment vertical="center"/>
    </xf>
    <xf numFmtId="0" fontId="51" fillId="3" borderId="1" xfId="0" applyFont="1" applyFill="1" applyBorder="1" applyAlignment="1">
      <alignment vertical="center"/>
    </xf>
    <xf numFmtId="0" fontId="40" fillId="0" borderId="0" xfId="0" applyFont="1" applyFill="1">
      <alignment vertical="center"/>
    </xf>
    <xf numFmtId="0" fontId="38" fillId="0" borderId="0" xfId="0" applyFont="1" applyFill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38" fillId="0" borderId="0" xfId="0" applyFont="1" applyFill="1" applyAlignment="1">
      <alignment vertical="center"/>
    </xf>
    <xf numFmtId="0" fontId="38" fillId="0" borderId="0" xfId="0" applyFont="1" applyFill="1" applyAlignment="1">
      <alignment horizontal="right" vertical="center"/>
    </xf>
    <xf numFmtId="0" fontId="38" fillId="0" borderId="7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0" fillId="0" borderId="1" xfId="0" applyFont="1" applyFill="1" applyBorder="1">
      <alignment vertical="center"/>
    </xf>
    <xf numFmtId="0" fontId="38" fillId="0" borderId="1" xfId="0" applyFont="1" applyFill="1" applyBorder="1">
      <alignment vertical="center"/>
    </xf>
    <xf numFmtId="0" fontId="49" fillId="0" borderId="0" xfId="0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54" fillId="3" borderId="0" xfId="273" applyFont="1" applyFill="1" applyAlignment="1">
      <alignment horizontal="left"/>
    </xf>
    <xf numFmtId="0" fontId="55" fillId="0" borderId="0" xfId="0" applyFont="1" applyAlignment="1">
      <alignment vertical="center"/>
    </xf>
    <xf numFmtId="0" fontId="56" fillId="0" borderId="8" xfId="0" applyFont="1" applyBorder="1" applyAlignment="1">
      <alignment vertical="center"/>
    </xf>
    <xf numFmtId="0" fontId="57" fillId="0" borderId="8" xfId="0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44" fillId="0" borderId="9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vertical="center"/>
    </xf>
    <xf numFmtId="0" fontId="55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44" fillId="4" borderId="0" xfId="0" applyFont="1" applyFill="1" applyAlignment="1">
      <alignment vertical="center"/>
    </xf>
    <xf numFmtId="0" fontId="64" fillId="4" borderId="0" xfId="0" applyFont="1" applyFill="1" applyAlignment="1">
      <alignment horizontal="center" vertical="center"/>
    </xf>
    <xf numFmtId="0" fontId="64" fillId="4" borderId="0" xfId="0" applyFont="1" applyFill="1" applyAlignment="1">
      <alignment vertical="center"/>
    </xf>
    <xf numFmtId="0" fontId="64" fillId="4" borderId="0" xfId="0" applyFont="1" applyFill="1" applyAlignment="1">
      <alignment horizontal="left" vertical="center"/>
    </xf>
    <xf numFmtId="177" fontId="44" fillId="0" borderId="1" xfId="0" applyNumberFormat="1" applyFont="1" applyBorder="1" applyAlignment="1">
      <alignment horizontal="center" vertical="center"/>
    </xf>
    <xf numFmtId="31" fontId="65" fillId="0" borderId="1" xfId="0" applyNumberFormat="1" applyFont="1" applyBorder="1" applyAlignment="1">
      <alignment horizontal="center" vertical="center"/>
    </xf>
    <xf numFmtId="31" fontId="65" fillId="0" borderId="1" xfId="0" applyNumberFormat="1" applyFont="1" applyFill="1" applyBorder="1" applyAlignment="1">
      <alignment vertical="center"/>
    </xf>
    <xf numFmtId="0" fontId="61" fillId="0" borderId="0" xfId="0" applyFont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67" fillId="0" borderId="8" xfId="0" applyFont="1" applyBorder="1" applyAlignment="1">
      <alignment horizontal="center" vertical="center"/>
    </xf>
    <xf numFmtId="0" fontId="58" fillId="0" borderId="8" xfId="0" applyFont="1" applyBorder="1" applyAlignment="1">
      <alignment horizontal="left" vertical="center"/>
    </xf>
    <xf numFmtId="0" fontId="59" fillId="0" borderId="8" xfId="0" applyFont="1" applyBorder="1" applyAlignment="1">
      <alignment horizontal="left" vertical="center"/>
    </xf>
    <xf numFmtId="0" fontId="59" fillId="0" borderId="8" xfId="0" applyFont="1" applyBorder="1" applyAlignment="1">
      <alignment horizontal="center" vertical="center"/>
    </xf>
    <xf numFmtId="14" fontId="59" fillId="0" borderId="8" xfId="0" applyNumberFormat="1" applyFont="1" applyBorder="1" applyAlignment="1">
      <alignment horizontal="center" vertical="center"/>
    </xf>
    <xf numFmtId="0" fontId="58" fillId="0" borderId="10" xfId="0" applyFont="1" applyBorder="1" applyAlignment="1">
      <alignment horizontal="left" vertical="center"/>
    </xf>
    <xf numFmtId="0" fontId="59" fillId="0" borderId="10" xfId="0" applyFont="1" applyBorder="1" applyAlignment="1">
      <alignment horizontal="left" vertical="center"/>
    </xf>
    <xf numFmtId="0" fontId="59" fillId="0" borderId="10" xfId="0" applyFont="1" applyBorder="1" applyAlignment="1">
      <alignment horizontal="center" vertical="center"/>
    </xf>
    <xf numFmtId="0" fontId="66" fillId="0" borderId="6" xfId="0" applyFont="1" applyBorder="1" applyAlignment="1">
      <alignment vertical="center"/>
    </xf>
    <xf numFmtId="0" fontId="64" fillId="0" borderId="10" xfId="0" applyFont="1" applyBorder="1" applyAlignment="1">
      <alignment vertical="center"/>
    </xf>
    <xf numFmtId="0" fontId="64" fillId="0" borderId="11" xfId="0" applyFont="1" applyBorder="1" applyAlignment="1">
      <alignment vertical="center"/>
    </xf>
    <xf numFmtId="0" fontId="64" fillId="0" borderId="6" xfId="0" applyFont="1" applyBorder="1" applyAlignment="1">
      <alignment vertical="center"/>
    </xf>
    <xf numFmtId="0" fontId="38" fillId="0" borderId="7" xfId="0" applyFont="1" applyFill="1" applyBorder="1" applyAlignment="1">
      <alignment horizontal="left" vertical="center" wrapText="1"/>
    </xf>
    <xf numFmtId="0" fontId="40" fillId="0" borderId="8" xfId="0" applyFont="1" applyFill="1" applyBorder="1" applyAlignment="1">
      <alignment horizontal="left" vertical="center"/>
    </xf>
    <xf numFmtId="0" fontId="43" fillId="0" borderId="2" xfId="0" applyFont="1" applyBorder="1" applyAlignment="1">
      <alignment horizontal="center" vertical="center" wrapText="1"/>
    </xf>
    <xf numFmtId="0" fontId="44" fillId="2" borderId="3" xfId="4747" applyFont="1" applyFill="1" applyBorder="1" applyAlignment="1">
      <alignment horizontal="center" vertical="center" textRotation="255" shrinkToFit="1"/>
    </xf>
    <xf numFmtId="0" fontId="44" fillId="2" borderId="4" xfId="4747" applyFont="1" applyFill="1" applyBorder="1" applyAlignment="1">
      <alignment horizontal="center" vertical="center" textRotation="255" shrinkToFit="1"/>
    </xf>
    <xf numFmtId="0" fontId="44" fillId="2" borderId="5" xfId="4747" applyFont="1" applyFill="1" applyBorder="1" applyAlignment="1">
      <alignment horizontal="center" vertical="center" textRotation="255" shrinkToFit="1"/>
    </xf>
    <xf numFmtId="0" fontId="44" fillId="5" borderId="3" xfId="4747" applyFont="1" applyFill="1" applyBorder="1" applyAlignment="1">
      <alignment horizontal="center" vertical="center" textRotation="255" shrinkToFit="1"/>
    </xf>
    <xf numFmtId="0" fontId="44" fillId="5" borderId="4" xfId="4747" applyFont="1" applyFill="1" applyBorder="1" applyAlignment="1">
      <alignment horizontal="center" vertical="center" textRotation="255" shrinkToFit="1"/>
    </xf>
    <xf numFmtId="0" fontId="44" fillId="5" borderId="5" xfId="4747" applyFont="1" applyFill="1" applyBorder="1" applyAlignment="1">
      <alignment horizontal="center" vertical="center" textRotation="255" shrinkToFit="1"/>
    </xf>
    <xf numFmtId="0" fontId="44" fillId="0" borderId="3" xfId="4747" applyFont="1" applyFill="1" applyBorder="1" applyAlignment="1">
      <alignment horizontal="center" vertical="center" textRotation="255" shrinkToFit="1"/>
    </xf>
    <xf numFmtId="0" fontId="44" fillId="0" borderId="4" xfId="4747" applyFont="1" applyFill="1" applyBorder="1" applyAlignment="1">
      <alignment horizontal="center" vertical="center" textRotation="255" shrinkToFit="1"/>
    </xf>
    <xf numFmtId="0" fontId="44" fillId="0" borderId="5" xfId="4747" applyFont="1" applyFill="1" applyBorder="1" applyAlignment="1">
      <alignment horizontal="center" vertical="center" textRotation="255" shrinkToFit="1"/>
    </xf>
    <xf numFmtId="0" fontId="44" fillId="3" borderId="3" xfId="4747" applyFont="1" applyFill="1" applyBorder="1" applyAlignment="1">
      <alignment horizontal="center" vertical="center" textRotation="255" shrinkToFit="1"/>
    </xf>
    <xf numFmtId="0" fontId="44" fillId="3" borderId="4" xfId="4747" applyFont="1" applyFill="1" applyBorder="1" applyAlignment="1">
      <alignment horizontal="center" vertical="center" textRotation="255" shrinkToFit="1"/>
    </xf>
    <xf numFmtId="0" fontId="44" fillId="3" borderId="5" xfId="4747" applyFont="1" applyFill="1" applyBorder="1" applyAlignment="1">
      <alignment horizontal="center" vertical="center" textRotation="255" shrinkToFit="1"/>
    </xf>
    <xf numFmtId="0" fontId="40" fillId="27" borderId="1" xfId="0" applyFont="1" applyFill="1" applyBorder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38" fillId="27" borderId="6" xfId="0" applyFont="1" applyFill="1" applyBorder="1" applyAlignment="1">
      <alignment horizontal="center" vertical="center"/>
    </xf>
    <xf numFmtId="0" fontId="38" fillId="27" borderId="1" xfId="0" applyFont="1" applyFill="1" applyBorder="1">
      <alignment vertical="center"/>
    </xf>
    <xf numFmtId="0" fontId="52" fillId="27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</cellXfs>
  <cellStyles count="6751">
    <cellStyle name="_x000d_&#10;JournalTemplate=C:\COMFO\CTALK\JOURSTD.TPL_x000d_&#10;LbStateAddress=3 3 0 251 1 89 2 311_x000d_&#10;LbStateJou" xfId="273"/>
    <cellStyle name="_x000d_&#10;JournalTemplate=C:\COMFO\CTALK\JOURSTD.TPL_x000d_&#10;LbStateAddress=3 3 0 251 1 89 2 311_x000d_&#10;LbStateJou 2" xfId="274"/>
    <cellStyle name="0,0_x005f_x000d_&#10;NA_x005f_x000d_&#10;" xfId="189"/>
    <cellStyle name="20% - 强调文字颜色 1" xfId="161"/>
    <cellStyle name="20% - 强调文字颜色 1 10" xfId="277"/>
    <cellStyle name="20% - 强调文字颜色 1 10 2" xfId="283"/>
    <cellStyle name="20% - 强调文字颜色 1 10 2 2" xfId="286"/>
    <cellStyle name="20% - 强调文字颜色 1 10 2 3" xfId="12"/>
    <cellStyle name="20% - 强调文字颜色 1 10 3" xfId="289"/>
    <cellStyle name="20% - 强调文字颜色 1 10 4" xfId="250"/>
    <cellStyle name="20% - 强调文字颜色 1 11" xfId="58"/>
    <cellStyle name="20% - 强调文字颜色 1 11 2" xfId="246"/>
    <cellStyle name="20% - 强调文字颜色 1 11 2 2" xfId="254"/>
    <cellStyle name="20% - 强调文字颜色 1 11 2 3" xfId="266"/>
    <cellStyle name="20% - 强调文字颜色 1 11 3" xfId="294"/>
    <cellStyle name="20% - 强调文字颜色 1 11 4" xfId="74"/>
    <cellStyle name="20% - 强调文字颜色 1 12" xfId="304"/>
    <cellStyle name="20% - 强调文字颜色 1 12 2" xfId="313"/>
    <cellStyle name="20% - 强调文字颜色 1 12 2 2" xfId="318"/>
    <cellStyle name="20% - 强调文字颜色 1 12 2 3" xfId="323"/>
    <cellStyle name="20% - 强调文字颜色 1 12 3" xfId="331"/>
    <cellStyle name="20% - 强调文字颜色 1 12 4" xfId="335"/>
    <cellStyle name="20% - 强调文字颜色 1 13" xfId="341"/>
    <cellStyle name="20% - 强调文字颜色 1 13 2" xfId="23"/>
    <cellStyle name="20% - 强调文字颜色 1 13 2 2" xfId="345"/>
    <cellStyle name="20% - 强调文字颜色 1 13 2 3" xfId="355"/>
    <cellStyle name="20% - 强调文字颜色 1 13 3" xfId="363"/>
    <cellStyle name="20% - 强调文字颜色 1 13 4" xfId="375"/>
    <cellStyle name="20% - 强调文字颜色 1 14" xfId="390"/>
    <cellStyle name="20% - 强调文字颜色 1 14 2" xfId="395"/>
    <cellStyle name="20% - 强调文字颜色 1 14 2 2" xfId="400"/>
    <cellStyle name="20% - 强调文字颜色 1 14 2 3" xfId="405"/>
    <cellStyle name="20% - 强调文字颜色 1 14 3" xfId="411"/>
    <cellStyle name="20% - 强调文字颜色 1 14 4" xfId="423"/>
    <cellStyle name="20% - 强调文字颜色 1 15" xfId="436"/>
    <cellStyle name="20% - 强调文字颜色 1 15 2" xfId="448"/>
    <cellStyle name="20% - 强调文字颜色 1 15 2 2" xfId="51"/>
    <cellStyle name="20% - 强调文字颜色 1 15 2 3" xfId="89"/>
    <cellStyle name="20% - 强调文字颜色 1 15 3" xfId="458"/>
    <cellStyle name="20% - 强调文字颜色 1 15 4" xfId="460"/>
    <cellStyle name="20% - 强调文字颜色 1 16" xfId="474"/>
    <cellStyle name="20% - 强调文字颜色 1 16 2" xfId="476"/>
    <cellStyle name="20% - 强调文字颜色 1 16 2 2" xfId="482"/>
    <cellStyle name="20% - 强调文字颜色 1 16 2 3" xfId="504"/>
    <cellStyle name="20% - 强调文字颜色 1 16 3" xfId="508"/>
    <cellStyle name="20% - 强调文字颜色 1 16 4" xfId="519"/>
    <cellStyle name="20% - 强调文字颜色 1 17" xfId="523"/>
    <cellStyle name="20% - 强调文字颜色 1 17 2" xfId="540"/>
    <cellStyle name="20% - 强调文字颜色 1 17 2 2" xfId="550"/>
    <cellStyle name="20% - 强调文字颜色 1 17 2 3" xfId="557"/>
    <cellStyle name="20% - 强调文字颜色 1 17 3" xfId="563"/>
    <cellStyle name="20% - 强调文字颜色 1 17 4" xfId="570"/>
    <cellStyle name="20% - 强调文字颜色 1 18" xfId="576"/>
    <cellStyle name="20% - 强调文字颜色 1 18 2" xfId="582"/>
    <cellStyle name="20% - 强调文字颜色 1 18 2 2" xfId="597"/>
    <cellStyle name="20% - 强调文字颜色 1 18 2 3" xfId="603"/>
    <cellStyle name="20% - 强调文字颜色 1 18 3" xfId="608"/>
    <cellStyle name="20% - 强调文字颜色 1 18 4" xfId="613"/>
    <cellStyle name="20% - 强调文字颜色 1 19" xfId="620"/>
    <cellStyle name="20% - 强调文字颜色 1 19 2" xfId="627"/>
    <cellStyle name="20% - 强调文字颜色 1 19 2 2" xfId="635"/>
    <cellStyle name="20% - 强调文字颜色 1 19 2 3" xfId="640"/>
    <cellStyle name="20% - 强调文字颜色 1 19 3" xfId="644"/>
    <cellStyle name="20% - 强调文字颜色 1 19 4" xfId="648"/>
    <cellStyle name="20% - 强调文字颜色 1 2" xfId="649"/>
    <cellStyle name="20% - 强调文字颜色 1 2 2" xfId="650"/>
    <cellStyle name="20% - 强调文字颜色 1 2 3" xfId="651"/>
    <cellStyle name="20% - 强调文字颜色 1 20" xfId="437"/>
    <cellStyle name="20% - 强调文字颜色 1 20 2" xfId="449"/>
    <cellStyle name="20% - 强调文字颜色 1 20 2 2" xfId="50"/>
    <cellStyle name="20% - 强调文字颜色 1 20 2 3" xfId="90"/>
    <cellStyle name="20% - 强调文字颜色 1 20 3" xfId="459"/>
    <cellStyle name="20% - 强调文字颜色 1 20 4" xfId="461"/>
    <cellStyle name="20% - 强调文字颜色 1 21" xfId="475"/>
    <cellStyle name="20% - 强调文字颜色 1 21 2" xfId="477"/>
    <cellStyle name="20% - 强调文字颜色 1 21 2 2" xfId="483"/>
    <cellStyle name="20% - 强调文字颜色 1 21 2 3" xfId="503"/>
    <cellStyle name="20% - 强调文字颜色 1 21 3" xfId="509"/>
    <cellStyle name="20% - 强调文字颜色 1 21 4" xfId="518"/>
    <cellStyle name="20% - 强调文字颜色 1 22" xfId="522"/>
    <cellStyle name="20% - 强调文字颜色 1 22 2" xfId="539"/>
    <cellStyle name="20% - 强调文字颜色 1 22 2 2" xfId="549"/>
    <cellStyle name="20% - 强调文字颜色 1 22 2 3" xfId="556"/>
    <cellStyle name="20% - 强调文字颜色 1 22 3" xfId="562"/>
    <cellStyle name="20% - 强调文字颜色 1 22 4" xfId="569"/>
    <cellStyle name="20% - 强调文字颜色 1 23" xfId="575"/>
    <cellStyle name="20% - 强调文字颜色 1 23 2" xfId="581"/>
    <cellStyle name="20% - 强调文字颜色 1 23 2 2" xfId="596"/>
    <cellStyle name="20% - 强调文字颜色 1 23 2 3" xfId="602"/>
    <cellStyle name="20% - 强调文字颜色 1 23 3" xfId="607"/>
    <cellStyle name="20% - 强调文字颜色 1 23 4" xfId="612"/>
    <cellStyle name="20% - 强调文字颜色 1 24" xfId="619"/>
    <cellStyle name="20% - 强调文字颜色 1 24 2" xfId="626"/>
    <cellStyle name="20% - 强调文字颜色 1 24 2 2" xfId="634"/>
    <cellStyle name="20% - 强调文字颜色 1 24 2 3" xfId="639"/>
    <cellStyle name="20% - 强调文字颜色 1 24 3" xfId="643"/>
    <cellStyle name="20% - 强调文字颜色 1 24 4" xfId="647"/>
    <cellStyle name="20% - 强调文字颜色 1 25" xfId="667"/>
    <cellStyle name="20% - 强调文字颜色 1 25 2" xfId="673"/>
    <cellStyle name="20% - 强调文字颜色 1 25 2 2" xfId="682"/>
    <cellStyle name="20% - 强调文字颜色 1 25 2 3" xfId="686"/>
    <cellStyle name="20% - 强调文字颜色 1 25 3" xfId="689"/>
    <cellStyle name="20% - 强调文字颜色 1 25 4" xfId="692"/>
    <cellStyle name="20% - 强调文字颜色 1 26" xfId="703"/>
    <cellStyle name="20% - 强调文字颜色 1 26 2" xfId="709"/>
    <cellStyle name="20% - 强调文字颜色 1 26 2 2" xfId="717"/>
    <cellStyle name="20% - 强调文字颜色 1 26 2 3" xfId="722"/>
    <cellStyle name="20% - 强调文字颜色 1 26 3" xfId="731"/>
    <cellStyle name="20% - 强调文字颜色 1 26 4" xfId="736"/>
    <cellStyle name="20% - 强调文字颜色 1 27" xfId="746"/>
    <cellStyle name="20% - 强调文字颜色 1 27 2" xfId="752"/>
    <cellStyle name="20% - 强调文字颜色 1 27 2 2" xfId="760"/>
    <cellStyle name="20% - 强调文字颜色 1 27 2 3" xfId="764"/>
    <cellStyle name="20% - 强调文字颜色 1 27 3" xfId="769"/>
    <cellStyle name="20% - 强调文字颜色 1 27 4" xfId="772"/>
    <cellStyle name="20% - 强调文字颜色 1 28" xfId="778"/>
    <cellStyle name="20% - 强调文字颜色 1 28 2" xfId="784"/>
    <cellStyle name="20% - 强调文字颜色 1 28 2 2" xfId="790"/>
    <cellStyle name="20% - 强调文字颜色 1 28 2 3" xfId="793"/>
    <cellStyle name="20% - 强调文字颜色 1 28 3" xfId="280"/>
    <cellStyle name="20% - 强调文字颜色 1 28 4" xfId="55"/>
    <cellStyle name="20% - 强调文字颜色 1 29" xfId="798"/>
    <cellStyle name="20% - 强调文字颜色 1 29 2" xfId="801"/>
    <cellStyle name="20% - 强调文字颜色 1 29 3" xfId="804"/>
    <cellStyle name="20% - 强调文字颜色 1 3" xfId="317"/>
    <cellStyle name="20% - 强调文字颜色 1 3 2" xfId="811"/>
    <cellStyle name="20% - 强调文字颜色 1 3 3" xfId="818"/>
    <cellStyle name="20% - 强调文字颜色 1 30" xfId="666"/>
    <cellStyle name="20% - 强调文字颜色 1 30 2" xfId="672"/>
    <cellStyle name="20% - 强调文字颜色 1 31" xfId="702"/>
    <cellStyle name="20% - 强调文字颜色 1 31 2" xfId="708"/>
    <cellStyle name="20% - 强调文字颜色 1 32" xfId="745"/>
    <cellStyle name="20% - 强调文字颜色 1 32 2" xfId="751"/>
    <cellStyle name="20% - 强调文字颜色 1 33" xfId="777"/>
    <cellStyle name="20% - 强调文字颜色 1 33 2" xfId="783"/>
    <cellStyle name="20% - 强调文字颜色 1 34" xfId="797"/>
    <cellStyle name="20% - 强调文字颜色 1 34 2" xfId="800"/>
    <cellStyle name="20% - 强调文字颜色 1 35" xfId="821"/>
    <cellStyle name="20% - 强调文字颜色 1 36" xfId="826"/>
    <cellStyle name="20% - 强调文字颜色 1 37" xfId="829"/>
    <cellStyle name="20% - 强调文字颜色 1 4" xfId="321"/>
    <cellStyle name="20% - 强调文字颜色 1 4 2" xfId="838"/>
    <cellStyle name="20% - 强调文字颜色 1 4 3" xfId="115"/>
    <cellStyle name="20% - 强调文字颜色 1 5" xfId="839"/>
    <cellStyle name="20% - 强调文字颜色 1 5 2" xfId="841"/>
    <cellStyle name="20% - 强调文字颜色 1 5 3" xfId="842"/>
    <cellStyle name="20% - 强调文字颜色 1 6" xfId="845"/>
    <cellStyle name="20% - 强调文字颜色 1 6 2" xfId="846"/>
    <cellStyle name="20% - 强调文字颜色 1 6 3" xfId="847"/>
    <cellStyle name="20% - 强调文字颜色 1 7" xfId="848"/>
    <cellStyle name="20% - 强调文字颜色 1 7 2" xfId="849"/>
    <cellStyle name="20% - 强调文字颜色 1 7 3" xfId="856"/>
    <cellStyle name="20% - 强调文字颜色 1 8" xfId="858"/>
    <cellStyle name="20% - 强调文字颜色 1 8 2" xfId="862"/>
    <cellStyle name="20% - 强调文字颜色 1 8 3" xfId="864"/>
    <cellStyle name="20% - 强调文字颜色 1 9" xfId="865"/>
    <cellStyle name="20% - 强调文字颜色 1 9 2" xfId="870"/>
    <cellStyle name="20% - 强调文字颜色 1 9 2 2" xfId="220"/>
    <cellStyle name="20% - 强调文字颜色 1 9 2 3" xfId="234"/>
    <cellStyle name="20% - 强调文字颜色 1 9 3" xfId="872"/>
    <cellStyle name="20% - 强调文字颜色 1 9 4" xfId="5"/>
    <cellStyle name="20% - 强调文字颜色 2" xfId="168"/>
    <cellStyle name="20% - 强调文字颜色 2 10" xfId="881"/>
    <cellStyle name="20% - 强调文字颜色 2 10 2" xfId="885"/>
    <cellStyle name="20% - 强调文字颜色 2 10 2 2" xfId="831"/>
    <cellStyle name="20% - 强调文字颜色 2 10 2 3" xfId="891"/>
    <cellStyle name="20% - 强调文字颜色 2 10 3" xfId="894"/>
    <cellStyle name="20% - 强调文字颜色 2 10 4" xfId="897"/>
    <cellStyle name="20% - 强调文字颜色 2 11" xfId="902"/>
    <cellStyle name="20% - 强调文字颜色 2 11 2" xfId="909"/>
    <cellStyle name="20% - 强调文字颜色 2 11 2 2" xfId="923"/>
    <cellStyle name="20% - 强调文字颜色 2 11 2 3" xfId="937"/>
    <cellStyle name="20% - 强调文字颜色 2 11 3" xfId="943"/>
    <cellStyle name="20% - 强调文字颜色 2 11 4" xfId="948"/>
    <cellStyle name="20% - 强调文字颜色 2 12" xfId="953"/>
    <cellStyle name="20% - 强调文字颜色 2 12 2" xfId="956"/>
    <cellStyle name="20% - 强调文字颜色 2 12 2 2" xfId="959"/>
    <cellStyle name="20% - 强调文字颜色 2 12 2 3" xfId="964"/>
    <cellStyle name="20% - 强调文字颜色 2 12 3" xfId="967"/>
    <cellStyle name="20% - 强调文字颜色 2 12 4" xfId="971"/>
    <cellStyle name="20% - 强调文字颜色 2 13" xfId="977"/>
    <cellStyle name="20% - 强调文字颜色 2 13 2" xfId="981"/>
    <cellStyle name="20% - 强调文字颜色 2 13 2 2" xfId="985"/>
    <cellStyle name="20% - 强调文字颜色 2 13 2 3" xfId="991"/>
    <cellStyle name="20% - 强调文字颜色 2 13 3" xfId="995"/>
    <cellStyle name="20% - 强调文字颜色 2 13 4" xfId="999"/>
    <cellStyle name="20% - 强调文字颜色 2 14" xfId="1006"/>
    <cellStyle name="20% - 强调文字颜色 2 14 2" xfId="1011"/>
    <cellStyle name="20% - 强调文字颜色 2 14 2 2" xfId="1024"/>
    <cellStyle name="20% - 强调文字颜色 2 14 2 3" xfId="1032"/>
    <cellStyle name="20% - 强调文字颜色 2 14 3" xfId="1037"/>
    <cellStyle name="20% - 强调文字颜色 2 14 4" xfId="257"/>
    <cellStyle name="20% - 强调文字颜色 2 15" xfId="911"/>
    <cellStyle name="20% - 强调文字颜色 2 15 2" xfId="1045"/>
    <cellStyle name="20% - 强调文字颜色 2 15 2 2" xfId="1051"/>
    <cellStyle name="20% - 强调文字颜色 2 15 2 3" xfId="1057"/>
    <cellStyle name="20% - 强调文字颜色 2 15 3" xfId="1061"/>
    <cellStyle name="20% - 强调文字颜色 2 15 4" xfId="1066"/>
    <cellStyle name="20% - 强调文字颜色 2 16" xfId="931"/>
    <cellStyle name="20% - 强调文字颜色 2 16 2" xfId="21"/>
    <cellStyle name="20% - 强调文字颜色 2 16 2 2" xfId="1072"/>
    <cellStyle name="20% - 强调文字颜色 2 16 2 3" xfId="1078"/>
    <cellStyle name="20% - 强调文字颜色 2 16 3" xfId="1084"/>
    <cellStyle name="20% - 强调文字颜色 2 16 4" xfId="1093"/>
    <cellStyle name="20% - 强调文字颜色 2 17" xfId="1099"/>
    <cellStyle name="20% - 强调文字颜色 2 17 2" xfId="1106"/>
    <cellStyle name="20% - 强调文字颜色 2 17 2 2" xfId="1112"/>
    <cellStyle name="20% - 强调文字颜色 2 17 2 3" xfId="837"/>
    <cellStyle name="20% - 强调文字颜色 2 17 3" xfId="1119"/>
    <cellStyle name="20% - 强调文字颜色 2 17 4" xfId="1127"/>
    <cellStyle name="20% - 强调文字颜色 2 18" xfId="1134"/>
    <cellStyle name="20% - 强调文字颜色 2 18 2" xfId="1141"/>
    <cellStyle name="20% - 强调文字颜色 2 18 2 2" xfId="1148"/>
    <cellStyle name="20% - 强调文字颜色 2 18 2 3" xfId="96"/>
    <cellStyle name="20% - 强调文字颜色 2 18 3" xfId="1155"/>
    <cellStyle name="20% - 强调文字颜色 2 18 4" xfId="1162"/>
    <cellStyle name="20% - 强调文字颜色 2 19" xfId="1167"/>
    <cellStyle name="20% - 强调文字颜色 2 19 2" xfId="1174"/>
    <cellStyle name="20% - 强调文字颜色 2 19 2 2" xfId="659"/>
    <cellStyle name="20% - 强调文字颜色 2 19 2 3" xfId="697"/>
    <cellStyle name="20% - 强调文字颜色 2 19 3" xfId="1180"/>
    <cellStyle name="20% - 强调文字颜色 2 19 4" xfId="1186"/>
    <cellStyle name="20% - 强调文字颜色 2 2" xfId="1190"/>
    <cellStyle name="20% - 强调文字颜色 2 2 2" xfId="1191"/>
    <cellStyle name="20% - 强调文字颜色 2 2 3" xfId="534"/>
    <cellStyle name="20% - 强调文字颜色 2 2 4" xfId="564"/>
    <cellStyle name="20% - 强调文字颜色 2 20" xfId="910"/>
    <cellStyle name="20% - 强调文字颜色 2 20 2" xfId="1044"/>
    <cellStyle name="20% - 强调文字颜色 2 20 2 2" xfId="1050"/>
    <cellStyle name="20% - 强调文字颜色 2 20 2 3" xfId="1056"/>
    <cellStyle name="20% - 强调文字颜色 2 20 3" xfId="1060"/>
    <cellStyle name="20% - 强调文字颜色 2 20 4" xfId="1067"/>
    <cellStyle name="20% - 强调文字颜色 2 21" xfId="930"/>
    <cellStyle name="20% - 强调文字颜色 2 21 2" xfId="20"/>
    <cellStyle name="20% - 强调文字颜色 2 21 2 2" xfId="1073"/>
    <cellStyle name="20% - 强调文字颜色 2 21 2 3" xfId="1079"/>
    <cellStyle name="20% - 强调文字颜色 2 21 3" xfId="1085"/>
    <cellStyle name="20% - 强调文字颜色 2 21 4" xfId="1094"/>
    <cellStyle name="20% - 强调文字颜色 2 22" xfId="1100"/>
    <cellStyle name="20% - 强调文字颜色 2 22 2" xfId="1107"/>
    <cellStyle name="20% - 强调文字颜色 2 22 2 2" xfId="1113"/>
    <cellStyle name="20% - 强调文字颜色 2 22 2 3" xfId="836"/>
    <cellStyle name="20% - 强调文字颜色 2 22 3" xfId="1120"/>
    <cellStyle name="20% - 强调文字颜色 2 22 4" xfId="1128"/>
    <cellStyle name="20% - 强调文字颜色 2 23" xfId="1135"/>
    <cellStyle name="20% - 强调文字颜色 2 23 2" xfId="1142"/>
    <cellStyle name="20% - 强调文字颜色 2 23 2 2" xfId="1149"/>
    <cellStyle name="20% - 强调文字颜色 2 23 2 3" xfId="97"/>
    <cellStyle name="20% - 强调文字颜色 2 23 3" xfId="1156"/>
    <cellStyle name="20% - 强调文字颜色 2 23 4" xfId="1163"/>
    <cellStyle name="20% - 强调文字颜色 2 24" xfId="1168"/>
    <cellStyle name="20% - 强调文字颜色 2 24 2" xfId="1175"/>
    <cellStyle name="20% - 强调文字颜色 2 24 2 2" xfId="658"/>
    <cellStyle name="20% - 强调文字颜色 2 24 2 3" xfId="696"/>
    <cellStyle name="20% - 强调文字颜色 2 24 3" xfId="1181"/>
    <cellStyle name="20% - 强调文字颜色 2 24 4" xfId="1187"/>
    <cellStyle name="20% - 强调文字颜色 2 25" xfId="155"/>
    <cellStyle name="20% - 强调文字颜色 2 25 2" xfId="1193"/>
    <cellStyle name="20% - 强调文字颜色 2 25 2 2" xfId="1200"/>
    <cellStyle name="20% - 强调文字颜色 2 25 2 3" xfId="7"/>
    <cellStyle name="20% - 强调文字颜色 2 25 3" xfId="1205"/>
    <cellStyle name="20% - 强调文字颜色 2 25 4" xfId="1209"/>
    <cellStyle name="20% - 强调文字颜色 2 26" xfId="124"/>
    <cellStyle name="20% - 强调文字颜色 2 26 2" xfId="298"/>
    <cellStyle name="20% - 强调文字颜色 2 26 2 2" xfId="308"/>
    <cellStyle name="20% - 强调文字颜色 2 26 2 3" xfId="328"/>
    <cellStyle name="20% - 强调文字颜色 2 26 3" xfId="338"/>
    <cellStyle name="20% - 强调文字颜色 2 26 4" xfId="387"/>
    <cellStyle name="20% - 强调文字颜色 2 27" xfId="181"/>
    <cellStyle name="20% - 强调文字颜色 2 27 2" xfId="1212"/>
    <cellStyle name="20% - 强调文字颜色 2 27 2 2" xfId="1219"/>
    <cellStyle name="20% - 强调文字颜色 2 27 2 3" xfId="1225"/>
    <cellStyle name="20% - 强调文字颜色 2 27 3" xfId="1227"/>
    <cellStyle name="20% - 强调文字颜色 2 27 4" xfId="1231"/>
    <cellStyle name="20% - 强调文字颜色 2 28" xfId="195"/>
    <cellStyle name="20% - 强调文字颜色 2 28 2" xfId="1234"/>
    <cellStyle name="20% - 强调文字颜色 2 28 2 2" xfId="725"/>
    <cellStyle name="20% - 强调文字颜色 2 28 2 3" xfId="732"/>
    <cellStyle name="20% - 强调文字颜色 2 28 3" xfId="1239"/>
    <cellStyle name="20% - 强调文字颜色 2 28 4" xfId="1241"/>
    <cellStyle name="20% - 强调文字颜色 2 29" xfId="225"/>
    <cellStyle name="20% - 强调文字颜色 2 29 2" xfId="1242"/>
    <cellStyle name="20% - 强调文字颜色 2 29 3" xfId="1245"/>
    <cellStyle name="20% - 强调文字颜色 2 3" xfId="1247"/>
    <cellStyle name="20% - 强调文字颜色 2 3 2" xfId="1248"/>
    <cellStyle name="20% - 强调文字颜色 2 3 3" xfId="589"/>
    <cellStyle name="20% - 强调文字颜色 2 30" xfId="156"/>
    <cellStyle name="20% - 强调文字颜色 2 30 2" xfId="1194"/>
    <cellStyle name="20% - 强调文字颜色 2 31" xfId="125"/>
    <cellStyle name="20% - 强调文字颜色 2 31 2" xfId="299"/>
    <cellStyle name="20% - 强调文字颜色 2 32" xfId="182"/>
    <cellStyle name="20% - 强调文字颜色 2 32 2" xfId="1213"/>
    <cellStyle name="20% - 强调文字颜色 2 33" xfId="196"/>
    <cellStyle name="20% - 强调文字颜色 2 33 2" xfId="1235"/>
    <cellStyle name="20% - 强调文字颜色 2 34" xfId="226"/>
    <cellStyle name="20% - 强调文字颜色 2 34 2" xfId="1243"/>
    <cellStyle name="20% - 强调文字颜色 2 35" xfId="239"/>
    <cellStyle name="20% - 强调文字颜色 2 36" xfId="1249"/>
    <cellStyle name="20% - 强调文字颜色 2 37" xfId="1251"/>
    <cellStyle name="20% - 强调文字颜色 2 4" xfId="1252"/>
    <cellStyle name="20% - 强调文字颜色 2 4 2" xfId="98"/>
    <cellStyle name="20% - 强调文字颜色 2 4 3" xfId="628"/>
    <cellStyle name="20% - 强调文字颜色 2 5" xfId="1253"/>
    <cellStyle name="20% - 强调文字颜色 2 5 2" xfId="1254"/>
    <cellStyle name="20% - 强调文字颜色 2 5 3" xfId="674"/>
    <cellStyle name="20% - 强调文字颜色 2 6" xfId="1255"/>
    <cellStyle name="20% - 强调文字颜色 2 6 2" xfId="868"/>
    <cellStyle name="20% - 强调文字颜色 2 6 3" xfId="710"/>
    <cellStyle name="20% - 强调文字颜色 2 7" xfId="1256"/>
    <cellStyle name="20% - 强调文字颜色 2 7 2" xfId="1264"/>
    <cellStyle name="20% - 强调文字颜色 2 7 3" xfId="753"/>
    <cellStyle name="20% - 强调文字颜色 2 8" xfId="1265"/>
    <cellStyle name="20% - 强调文字颜色 2 8 2" xfId="1273"/>
    <cellStyle name="20% - 强调文字颜色 2 8 3" xfId="785"/>
    <cellStyle name="20% - 强调文字颜色 2 9" xfId="1257"/>
    <cellStyle name="20% - 强调文字颜色 2 9 2" xfId="1274"/>
    <cellStyle name="20% - 强调文字颜色 2 9 2 2" xfId="1275"/>
    <cellStyle name="20% - 强调文字颜色 2 9 2 3" xfId="1282"/>
    <cellStyle name="20% - 强调文字颜色 2 9 3" xfId="802"/>
    <cellStyle name="20% - 强调文字颜色 2 9 4" xfId="810"/>
    <cellStyle name="20% - 强调文字颜色 3" xfId="22"/>
    <cellStyle name="20% - 强调文字颜色 3 10" xfId="1279"/>
    <cellStyle name="20% - 强调文字颜色 3 10 2" xfId="1283"/>
    <cellStyle name="20% - 强调文字颜色 3 10 2 2" xfId="132"/>
    <cellStyle name="20% - 强调文字颜色 3 10 2 3" xfId="1291"/>
    <cellStyle name="20% - 强调文字颜色 3 10 3" xfId="1298"/>
    <cellStyle name="20% - 强调文字颜色 3 10 4" xfId="1304"/>
    <cellStyle name="20% - 强调文字颜色 3 11" xfId="1312"/>
    <cellStyle name="20% - 强调文字颜色 3 11 2" xfId="1315"/>
    <cellStyle name="20% - 强调文字颜色 3 11 2 2" xfId="41"/>
    <cellStyle name="20% - 强调文字颜色 3 11 2 3" xfId="1318"/>
    <cellStyle name="20% - 强调文字颜色 3 11 3" xfId="138"/>
    <cellStyle name="20% - 强调文字颜色 3 11 4" xfId="1288"/>
    <cellStyle name="20% - 强调文字颜色 3 12" xfId="1324"/>
    <cellStyle name="20% - 强调文字颜色 3 12 2" xfId="270"/>
    <cellStyle name="20% - 强调文字颜色 3 12 2 2" xfId="1332"/>
    <cellStyle name="20% - 强调文字颜色 3 12 2 3" xfId="1336"/>
    <cellStyle name="20% - 强调文字颜色 3 12 3" xfId="1342"/>
    <cellStyle name="20% - 强调文字颜色 3 12 4" xfId="1347"/>
    <cellStyle name="20% - 强调文字颜色 3 13" xfId="1350"/>
    <cellStyle name="20% - 强调文字颜色 3 13 2" xfId="1354"/>
    <cellStyle name="20% - 强调文字颜色 3 13 2 2" xfId="1358"/>
    <cellStyle name="20% - 强调文字颜色 3 13 2 3" xfId="1363"/>
    <cellStyle name="20% - 强调文字颜色 3 13 3" xfId="1370"/>
    <cellStyle name="20% - 强调文字颜色 3 13 4" xfId="1376"/>
    <cellStyle name="20% - 强调文字颜色 3 14" xfId="1380"/>
    <cellStyle name="20% - 强调文字颜色 3 14 2" xfId="1391"/>
    <cellStyle name="20% - 强调文字颜色 3 14 2 2" xfId="1410"/>
    <cellStyle name="20% - 强调文字颜色 3 14 2 3" xfId="1427"/>
    <cellStyle name="20% - 强调文字颜色 3 14 3" xfId="1437"/>
    <cellStyle name="20% - 强调文字颜色 3 14 4" xfId="498"/>
    <cellStyle name="20% - 强调文字颜色 3 15" xfId="1440"/>
    <cellStyle name="20% - 强调文字颜色 3 15 2" xfId="1446"/>
    <cellStyle name="20% - 强调文字颜色 3 15 2 2" xfId="1453"/>
    <cellStyle name="20% - 强调文字颜色 3 15 2 3" xfId="855"/>
    <cellStyle name="20% - 强调文字颜色 3 15 3" xfId="1459"/>
    <cellStyle name="20% - 强调文字颜色 3 15 4" xfId="1468"/>
    <cellStyle name="20% - 强调文字颜色 3 16" xfId="1475"/>
    <cellStyle name="20% - 强调文字颜色 3 16 2" xfId="1483"/>
    <cellStyle name="20% - 强调文字颜色 3 16 2 2" xfId="1266"/>
    <cellStyle name="20% - 强调文字颜色 3 16 2 3" xfId="1258"/>
    <cellStyle name="20% - 强调文字颜色 3 16 3" xfId="1491"/>
    <cellStyle name="20% - 强调文字颜色 3 16 4" xfId="1501"/>
    <cellStyle name="20% - 强调文字颜色 3 17" xfId="1507"/>
    <cellStyle name="20% - 强调文字颜色 3 17 2" xfId="1515"/>
    <cellStyle name="20% - 强调文字颜色 3 17 2 2" xfId="1521"/>
    <cellStyle name="20% - 强调文字颜色 3 17 2 3" xfId="1527"/>
    <cellStyle name="20% - 强调文字颜色 3 17 3" xfId="1533"/>
    <cellStyle name="20% - 强调文字颜色 3 17 4" xfId="1017"/>
    <cellStyle name="20% - 强调文字颜色 3 18" xfId="1394"/>
    <cellStyle name="20% - 强调文字颜色 3 18 2" xfId="1539"/>
    <cellStyle name="20% - 强调文字颜色 3 18 2 2" xfId="217"/>
    <cellStyle name="20% - 强调文字颜色 3 18 2 3" xfId="151"/>
    <cellStyle name="20% - 强调文字颜色 3 18 3" xfId="163"/>
    <cellStyle name="20% - 强调文字颜色 3 18 4" xfId="172"/>
    <cellStyle name="20% - 强调文字颜色 3 19" xfId="1414"/>
    <cellStyle name="20% - 强调文字颜色 3 19 2" xfId="432"/>
    <cellStyle name="20% - 强调文字颜色 3 19 2 2" xfId="444"/>
    <cellStyle name="20% - 强调文字颜色 3 19 2 3" xfId="455"/>
    <cellStyle name="20% - 强调文字颜色 3 19 3" xfId="471"/>
    <cellStyle name="20% - 强调文字颜色 3 19 4" xfId="526"/>
    <cellStyle name="20% - 强调文字颜色 3 2" xfId="1545"/>
    <cellStyle name="20% - 强调文字颜色 3 2 2" xfId="1546"/>
    <cellStyle name="20% - 强调文字颜色 3 2 3" xfId="1549"/>
    <cellStyle name="20% - 强调文字颜色 3 2 4" xfId="1550"/>
    <cellStyle name="20% - 强调文字颜色 3 20" xfId="1441"/>
    <cellStyle name="20% - 强调文字颜色 3 20 2" xfId="1447"/>
    <cellStyle name="20% - 强调文字颜色 3 20 2 2" xfId="1454"/>
    <cellStyle name="20% - 强调文字颜色 3 20 2 3" xfId="854"/>
    <cellStyle name="20% - 强调文字颜色 3 20 3" xfId="1460"/>
    <cellStyle name="20% - 强调文字颜色 3 20 4" xfId="1469"/>
    <cellStyle name="20% - 强调文字颜色 3 21" xfId="1476"/>
    <cellStyle name="20% - 强调文字颜色 3 21 2" xfId="1484"/>
    <cellStyle name="20% - 强调文字颜色 3 21 2 2" xfId="1267"/>
    <cellStyle name="20% - 强调文字颜色 3 21 2 3" xfId="1259"/>
    <cellStyle name="20% - 强调文字颜色 3 21 3" xfId="1492"/>
    <cellStyle name="20% - 强调文字颜色 3 21 4" xfId="1502"/>
    <cellStyle name="20% - 强调文字颜色 3 22" xfId="1508"/>
    <cellStyle name="20% - 强调文字颜色 3 22 2" xfId="1516"/>
    <cellStyle name="20% - 强调文字颜色 3 22 2 2" xfId="1522"/>
    <cellStyle name="20% - 强调文字颜色 3 22 2 3" xfId="1528"/>
    <cellStyle name="20% - 强调文字颜色 3 22 3" xfId="1534"/>
    <cellStyle name="20% - 强调文字颜色 3 22 4" xfId="1016"/>
    <cellStyle name="20% - 强调文字颜色 3 23" xfId="1395"/>
    <cellStyle name="20% - 强调文字颜色 3 23 2" xfId="1540"/>
    <cellStyle name="20% - 强调文字颜色 3 23 2 2" xfId="218"/>
    <cellStyle name="20% - 强调文字颜色 3 23 2 3" xfId="152"/>
    <cellStyle name="20% - 强调文字颜色 3 23 3" xfId="164"/>
    <cellStyle name="20% - 强调文字颜色 3 23 4" xfId="173"/>
    <cellStyle name="20% - 强调文字颜色 3 24" xfId="1415"/>
    <cellStyle name="20% - 强调文字颜色 3 24 2" xfId="433"/>
    <cellStyle name="20% - 强调文字颜色 3 24 2 2" xfId="445"/>
    <cellStyle name="20% - 强调文字颜色 3 24 2 3" xfId="456"/>
    <cellStyle name="20% - 强调文字颜色 3 24 3" xfId="472"/>
    <cellStyle name="20% - 强调文字颜色 3 24 4" xfId="525"/>
    <cellStyle name="20% - 强调文字颜色 3 25" xfId="1551"/>
    <cellStyle name="20% - 强调文字颜色 3 25 2" xfId="1557"/>
    <cellStyle name="20% - 强调文字颜色 3 25 2 2" xfId="876"/>
    <cellStyle name="20% - 强调文字颜色 3 25 2 3" xfId="1563"/>
    <cellStyle name="20% - 强调文字颜色 3 25 3" xfId="1568"/>
    <cellStyle name="20% - 强调文字颜色 3 25 4" xfId="1329"/>
    <cellStyle name="20% - 强调文字颜色 3 26" xfId="33"/>
    <cellStyle name="20% - 强调文字颜色 3 26 2" xfId="349"/>
    <cellStyle name="20% - 强调文字颜色 3 26 2 2" xfId="808"/>
    <cellStyle name="20% - 强调文字颜色 3 26 2 3" xfId="1571"/>
    <cellStyle name="20% - 强调文字颜色 3 26 3" xfId="360"/>
    <cellStyle name="20% - 强调文字颜色 3 26 4" xfId="1575"/>
    <cellStyle name="20% - 强调文字颜色 3 27" xfId="368"/>
    <cellStyle name="20% - 强调文字颜色 3 27 2" xfId="1578"/>
    <cellStyle name="20% - 强调文字颜色 3 27 2 2" xfId="202"/>
    <cellStyle name="20% - 强调文字颜色 3 27 2 3" xfId="229"/>
    <cellStyle name="20% - 强调文字颜色 3 27 3" xfId="1586"/>
    <cellStyle name="20% - 强调文字颜色 3 27 4" xfId="1592"/>
    <cellStyle name="20% - 强调文字颜色 3 28" xfId="379"/>
    <cellStyle name="20% - 强调文字颜色 3 28 2" xfId="1596"/>
    <cellStyle name="20% - 强调文字颜色 3 28 2 2" xfId="1311"/>
    <cellStyle name="20% - 强调文字颜色 3 28 2 3" xfId="1327"/>
    <cellStyle name="20% - 强调文字颜色 3 28 3" xfId="1601"/>
    <cellStyle name="20% - 强调文字颜色 3 28 4" xfId="1603"/>
    <cellStyle name="20% - 强调文字颜色 3 29" xfId="906"/>
    <cellStyle name="20% - 强调文字颜色 3 29 2" xfId="914"/>
    <cellStyle name="20% - 强调文字颜色 3 29 3" xfId="924"/>
    <cellStyle name="20% - 强调文字颜色 3 3" xfId="145"/>
    <cellStyle name="20% - 强调文字颜色 3 3 2" xfId="244"/>
    <cellStyle name="20% - 强调文字颜色 3 3 3" xfId="1607"/>
    <cellStyle name="20% - 强调文字颜色 3 30" xfId="1552"/>
    <cellStyle name="20% - 强调文字颜色 3 30 2" xfId="1558"/>
    <cellStyle name="20% - 强调文字颜色 3 31" xfId="32"/>
    <cellStyle name="20% - 强调文字颜色 3 31 2" xfId="350"/>
    <cellStyle name="20% - 强调文字颜色 3 32" xfId="369"/>
    <cellStyle name="20% - 强调文字颜色 3 32 2" xfId="1579"/>
    <cellStyle name="20% - 强调文字颜色 3 33" xfId="380"/>
    <cellStyle name="20% - 强调文字颜色 3 33 2" xfId="1597"/>
    <cellStyle name="20% - 强调文字颜色 3 34" xfId="905"/>
    <cellStyle name="20% - 强调文字颜色 3 34 2" xfId="913"/>
    <cellStyle name="20% - 强调文字颜色 3 35" xfId="940"/>
    <cellStyle name="20% - 强调文字颜色 3 36" xfId="945"/>
    <cellStyle name="20% - 强调文字颜色 3 37" xfId="1619"/>
    <cellStyle name="20% - 强调文字颜色 3 4" xfId="1620"/>
    <cellStyle name="20% - 强调文字颜色 3 4 2" xfId="695"/>
    <cellStyle name="20% - 强调文字颜色 3 4 3" xfId="737"/>
    <cellStyle name="20% - 强调文字颜色 3 5" xfId="1623"/>
    <cellStyle name="20% - 强调文字颜色 3 5 2" xfId="1624"/>
    <cellStyle name="20% - 强调文字颜色 3 5 3" xfId="1629"/>
    <cellStyle name="20% - 强调文字颜色 3 6" xfId="542"/>
    <cellStyle name="20% - 强调文字颜色 3 6 2" xfId="1630"/>
    <cellStyle name="20% - 强调文字颜色 3 6 3" xfId="1633"/>
    <cellStyle name="20% - 强调文字颜色 3 7" xfId="551"/>
    <cellStyle name="20% - 强调文字颜色 3 7 2" xfId="1634"/>
    <cellStyle name="20% - 强调文字颜色 3 7 3" xfId="1637"/>
    <cellStyle name="20% - 强调文字颜色 3 8" xfId="1638"/>
    <cellStyle name="20% - 强调文字颜色 3 8 2" xfId="1639"/>
    <cellStyle name="20% - 强调文字颜色 3 8 3" xfId="1642"/>
    <cellStyle name="20% - 强调文字颜色 3 9" xfId="1644"/>
    <cellStyle name="20% - 强调文字颜色 3 9 2" xfId="1646"/>
    <cellStyle name="20% - 强调文字颜色 3 9 2 2" xfId="1648"/>
    <cellStyle name="20% - 强调文字颜色 3 9 2 3" xfId="1651"/>
    <cellStyle name="20% - 强调文字颜色 3 9 3" xfId="1655"/>
    <cellStyle name="20% - 强调文字颜色 3 9 4" xfId="207"/>
    <cellStyle name="20% - 强调文字颜色 4" xfId="210"/>
    <cellStyle name="20% - 强调文字颜色 4 10" xfId="1656"/>
    <cellStyle name="20% - 强调文字颜色 4 10 2" xfId="1659"/>
    <cellStyle name="20% - 强调文字颜色 4 10 2 2" xfId="1662"/>
    <cellStyle name="20% - 强调文字颜色 4 10 2 3" xfId="598"/>
    <cellStyle name="20% - 强调文字颜色 4 10 3" xfId="1666"/>
    <cellStyle name="20% - 强调文字颜色 4 10 4" xfId="1671"/>
    <cellStyle name="20% - 强调文字颜色 4 11" xfId="1674"/>
    <cellStyle name="20% - 强调文字颜色 4 11 2" xfId="1677"/>
    <cellStyle name="20% - 强调文字颜色 4 11 2 2" xfId="1680"/>
    <cellStyle name="20% - 强调文字颜色 4 11 2 3" xfId="636"/>
    <cellStyle name="20% - 强调文字颜色 4 11 3" xfId="59"/>
    <cellStyle name="20% - 强调文字颜色 4 11 4" xfId="1685"/>
    <cellStyle name="20% - 强调文字颜色 4 12" xfId="1688"/>
    <cellStyle name="20% - 强调文字颜色 4 12 2" xfId="1691"/>
    <cellStyle name="20% - 强调文字颜色 4 12 2 2" xfId="1694"/>
    <cellStyle name="20% - 强调文字颜色 4 12 2 3" xfId="683"/>
    <cellStyle name="20% - 强调文字颜色 4 12 3" xfId="1697"/>
    <cellStyle name="20% - 强调文字颜色 4 12 4" xfId="1702"/>
    <cellStyle name="20% - 强调文字颜色 4 13" xfId="1705"/>
    <cellStyle name="20% - 强调文字颜色 4 13 2" xfId="1709"/>
    <cellStyle name="20% - 强调文字颜色 4 13 2 2" xfId="1713"/>
    <cellStyle name="20% - 强调文字颜色 4 13 2 3" xfId="718"/>
    <cellStyle name="20% - 强调文字颜色 4 13 3" xfId="1717"/>
    <cellStyle name="20% - 强调文字颜色 4 13 4" xfId="1723"/>
    <cellStyle name="20% - 强调文字颜色 4 14" xfId="1727"/>
    <cellStyle name="20% - 强调文字颜色 4 14 2" xfId="1732"/>
    <cellStyle name="20% - 强调文字颜色 4 14 2 2" xfId="1739"/>
    <cellStyle name="20% - 强调文字颜色 4 14 2 3" xfId="761"/>
    <cellStyle name="20% - 强调文字颜色 4 14 3" xfId="1744"/>
    <cellStyle name="20% - 强调文字颜色 4 14 4" xfId="1751"/>
    <cellStyle name="20% - 强调文字颜色 4 15" xfId="1757"/>
    <cellStyle name="20% - 强调文字颜色 4 15 2" xfId="1763"/>
    <cellStyle name="20% - 强调文字颜色 4 15 2 2" xfId="1769"/>
    <cellStyle name="20% - 强调文字颜色 4 15 2 3" xfId="791"/>
    <cellStyle name="20% - 强调文字颜色 4 15 3" xfId="1775"/>
    <cellStyle name="20% - 强调文字颜色 4 15 4" xfId="1785"/>
    <cellStyle name="20% - 强调文字颜色 4 16" xfId="113"/>
    <cellStyle name="20% - 强调文字颜色 4 16 2" xfId="1793"/>
    <cellStyle name="20% - 强调文字颜色 4 16 2 2" xfId="816"/>
    <cellStyle name="20% - 强调文字颜色 4 16 2 3" xfId="1802"/>
    <cellStyle name="20% - 强调文字颜色 4 16 3" xfId="1808"/>
    <cellStyle name="20% - 强调文字颜色 4 16 4" xfId="1817"/>
    <cellStyle name="20% - 强调文字颜色 4 17" xfId="1823"/>
    <cellStyle name="20% - 强调文字颜色 4 17 2" xfId="1830"/>
    <cellStyle name="20% - 强调文字颜色 4 17 2 2" xfId="587"/>
    <cellStyle name="20% - 强调文字颜色 4 17 2 3" xfId="1836"/>
    <cellStyle name="20% - 强调文字颜色 4 17 3" xfId="1842"/>
    <cellStyle name="20% - 强调文字颜色 4 17 4" xfId="1850"/>
    <cellStyle name="20% - 强调文字颜色 4 18" xfId="1856"/>
    <cellStyle name="20% - 强调文字颜色 4 18 2" xfId="1866"/>
    <cellStyle name="20% - 强调文字颜色 4 18 2 2" xfId="1609"/>
    <cellStyle name="20% - 强调文字颜色 4 18 2 3" xfId="1872"/>
    <cellStyle name="20% - 强调文字颜色 4 18 3" xfId="1880"/>
    <cellStyle name="20% - 强调文字颜色 4 18 4" xfId="1889"/>
    <cellStyle name="20% - 强调文字颜色 4 19" xfId="1894"/>
    <cellStyle name="20% - 强调文字颜色 4 19 2" xfId="1900"/>
    <cellStyle name="20% - 强调文字颜色 4 19 2 2" xfId="1906"/>
    <cellStyle name="20% - 强调文字颜色 4 19 2 3" xfId="1912"/>
    <cellStyle name="20% - 强调文字颜色 4 19 3" xfId="1916"/>
    <cellStyle name="20% - 强调文字颜色 4 19 4" xfId="1923"/>
    <cellStyle name="20% - 强调文字颜色 4 2" xfId="824"/>
    <cellStyle name="20% - 强调文字颜色 4 2 2" xfId="1926"/>
    <cellStyle name="20% - 强调文字颜色 4 2 3" xfId="1927"/>
    <cellStyle name="20% - 强调文字颜色 4 20" xfId="1756"/>
    <cellStyle name="20% - 强调文字颜色 4 20 2" xfId="1762"/>
    <cellStyle name="20% - 强调文字颜色 4 20 2 2" xfId="1768"/>
    <cellStyle name="20% - 强调文字颜色 4 20 2 3" xfId="792"/>
    <cellStyle name="20% - 强调文字颜色 4 20 3" xfId="1774"/>
    <cellStyle name="20% - 强调文字颜色 4 20 4" xfId="1784"/>
    <cellStyle name="20% - 强调文字颜色 4 21" xfId="114"/>
    <cellStyle name="20% - 强调文字颜色 4 21 2" xfId="1792"/>
    <cellStyle name="20% - 强调文字颜色 4 21 2 2" xfId="817"/>
    <cellStyle name="20% - 强调文字颜色 4 21 2 3" xfId="1801"/>
    <cellStyle name="20% - 强调文字颜色 4 21 3" xfId="1807"/>
    <cellStyle name="20% - 强调文字颜色 4 21 4" xfId="1816"/>
    <cellStyle name="20% - 强调文字颜色 4 22" xfId="1822"/>
    <cellStyle name="20% - 强调文字颜色 4 22 2" xfId="1829"/>
    <cellStyle name="20% - 强调文字颜色 4 22 2 2" xfId="588"/>
    <cellStyle name="20% - 强调文字颜色 4 22 2 3" xfId="1835"/>
    <cellStyle name="20% - 强调文字颜色 4 22 3" xfId="1841"/>
    <cellStyle name="20% - 强调文字颜色 4 22 4" xfId="1849"/>
    <cellStyle name="20% - 强调文字颜色 4 23" xfId="1855"/>
    <cellStyle name="20% - 强调文字颜色 4 23 2" xfId="1865"/>
    <cellStyle name="20% - 强调文字颜色 4 23 2 2" xfId="1608"/>
    <cellStyle name="20% - 强调文字颜色 4 23 2 3" xfId="1871"/>
    <cellStyle name="20% - 强调文字颜色 4 23 3" xfId="1879"/>
    <cellStyle name="20% - 强调文字颜色 4 23 4" xfId="1888"/>
    <cellStyle name="20% - 强调文字颜色 4 24" xfId="1893"/>
    <cellStyle name="20% - 强调文字颜色 4 24 2" xfId="1899"/>
    <cellStyle name="20% - 强调文字颜色 4 24 2 2" xfId="1905"/>
    <cellStyle name="20% - 强调文字颜色 4 24 2 3" xfId="1911"/>
    <cellStyle name="20% - 强调文字颜色 4 24 3" xfId="1915"/>
    <cellStyle name="20% - 强调文字颜色 4 24 4" xfId="1922"/>
    <cellStyle name="20% - 强调文字颜色 4 25" xfId="1929"/>
    <cellStyle name="20% - 强调文字颜色 4 25 2" xfId="1935"/>
    <cellStyle name="20% - 强调文字颜色 4 25 2 2" xfId="1940"/>
    <cellStyle name="20% - 强调文字颜色 4 25 2 3" xfId="1945"/>
    <cellStyle name="20% - 强调文字颜色 4 25 3" xfId="1948"/>
    <cellStyle name="20% - 强调文字颜色 4 25 4" xfId="1952"/>
    <cellStyle name="20% - 强调文字颜色 4 26" xfId="1956"/>
    <cellStyle name="20% - 强调文字颜色 4 26 2" xfId="1962"/>
    <cellStyle name="20% - 强调文字颜色 4 26 2 2" xfId="1967"/>
    <cellStyle name="20% - 强调文字颜色 4 26 2 3" xfId="1972"/>
    <cellStyle name="20% - 强调文字颜色 4 26 3" xfId="1975"/>
    <cellStyle name="20% - 强调文字颜色 4 26 4" xfId="1979"/>
    <cellStyle name="20% - 强调文字颜色 4 27" xfId="1984"/>
    <cellStyle name="20% - 强调文字颜色 4 27 2" xfId="1990"/>
    <cellStyle name="20% - 强调文字颜色 4 27 2 2" xfId="1995"/>
    <cellStyle name="20% - 强调文字颜色 4 27 2 3" xfId="1998"/>
    <cellStyle name="20% - 强调文字颜色 4 27 3" xfId="2000"/>
    <cellStyle name="20% - 强调文字颜色 4 27 4" xfId="2004"/>
    <cellStyle name="20% - 强调文字颜色 4 28" xfId="2008"/>
    <cellStyle name="20% - 强调文字颜色 4 28 2" xfId="2013"/>
    <cellStyle name="20% - 强调文字颜色 4 28 2 2" xfId="2017"/>
    <cellStyle name="20% - 强调文字颜色 4 28 2 3" xfId="2018"/>
    <cellStyle name="20% - 强调文字颜色 4 28 3" xfId="2019"/>
    <cellStyle name="20% - 强调文字颜色 4 28 4" xfId="2021"/>
    <cellStyle name="20% - 强调文字颜色 4 29" xfId="2023"/>
    <cellStyle name="20% - 强调文字颜色 4 29 2" xfId="2027"/>
    <cellStyle name="20% - 强调文字颜色 4 29 3" xfId="2029"/>
    <cellStyle name="20% - 强调文字颜色 4 3" xfId="827"/>
    <cellStyle name="20% - 强调文字颜色 4 3 2" xfId="2031"/>
    <cellStyle name="20% - 强调文字颜色 4 3 3" xfId="1907"/>
    <cellStyle name="20% - 强调文字颜色 4 30" xfId="1928"/>
    <cellStyle name="20% - 强调文字颜色 4 30 2" xfId="1934"/>
    <cellStyle name="20% - 强调文字颜色 4 31" xfId="1955"/>
    <cellStyle name="20% - 强调文字颜色 4 31 2" xfId="1961"/>
    <cellStyle name="20% - 强调文字颜色 4 32" xfId="1983"/>
    <cellStyle name="20% - 强调文字颜色 4 32 2" xfId="1989"/>
    <cellStyle name="20% - 强调文字颜色 4 33" xfId="2007"/>
    <cellStyle name="20% - 强调文字颜色 4 33 2" xfId="2012"/>
    <cellStyle name="20% - 强调文字颜色 4 34" xfId="2022"/>
    <cellStyle name="20% - 强调文字颜色 4 34 2" xfId="2026"/>
    <cellStyle name="20% - 强调文字颜色 4 35" xfId="2032"/>
    <cellStyle name="20% - 强调文字颜色 4 36" xfId="2036"/>
    <cellStyle name="20% - 强调文字颜色 4 37" xfId="2040"/>
    <cellStyle name="20% - 强调文字颜色 4 4" xfId="886"/>
    <cellStyle name="20% - 强调文字颜色 4 4 2" xfId="6"/>
    <cellStyle name="20% - 强调文字颜色 4 4 3" xfId="878"/>
    <cellStyle name="20% - 强调文字颜色 4 5" xfId="2042"/>
    <cellStyle name="20% - 强调文字颜色 4 5 2" xfId="2043"/>
    <cellStyle name="20% - 强调文字颜色 4 5 3" xfId="2046"/>
    <cellStyle name="20% - 强调文字颜色 4 6" xfId="2047"/>
    <cellStyle name="20% - 强调文字颜色 4 6 2" xfId="2048"/>
    <cellStyle name="20% - 强调文字颜色 4 6 3" xfId="2049"/>
    <cellStyle name="20% - 强调文字颜色 4 7" xfId="2050"/>
    <cellStyle name="20% - 强调文字颜色 4 7 2" xfId="2051"/>
    <cellStyle name="20% - 强调文字颜色 4 7 3" xfId="2052"/>
    <cellStyle name="20% - 强调文字颜色 4 8" xfId="2053"/>
    <cellStyle name="20% - 强调文字颜色 4 8 2" xfId="2056"/>
    <cellStyle name="20% - 强调文字颜色 4 8 3" xfId="276"/>
    <cellStyle name="20% - 强调文字颜色 4 9" xfId="2057"/>
    <cellStyle name="20% - 强调文字颜色 4 9 2" xfId="2058"/>
    <cellStyle name="20% - 强调文字颜色 4 9 2 2" xfId="2059"/>
    <cellStyle name="20% - 强调文字颜色 4 9 2 3" xfId="2062"/>
    <cellStyle name="20% - 强调文字颜色 4 9 3" xfId="1276"/>
    <cellStyle name="20% - 强调文字颜色 4 9 4" xfId="1308"/>
    <cellStyle name="20% - 强调文字颜色 5" xfId="146"/>
    <cellStyle name="20% - 强调文字颜色 5 10" xfId="2065"/>
    <cellStyle name="20% - 强调文字颜色 5 10 2" xfId="2067"/>
    <cellStyle name="20% - 强调文字颜色 5 10 2 2" xfId="2069"/>
    <cellStyle name="20% - 强调文字颜色 5 10 2 3" xfId="1147"/>
    <cellStyle name="20% - 强调文字颜色 5 10 3" xfId="2072"/>
    <cellStyle name="20% - 强调文字颜色 5 10 4" xfId="2076"/>
    <cellStyle name="20% - 强调文字颜色 5 11" xfId="2078"/>
    <cellStyle name="20% - 强调文字颜色 5 11 2" xfId="2080"/>
    <cellStyle name="20% - 强调文字颜色 5 11 2 2" xfId="2083"/>
    <cellStyle name="20% - 强调文字颜色 5 11 2 3" xfId="660"/>
    <cellStyle name="20% - 强调文字颜色 5 11 3" xfId="2085"/>
    <cellStyle name="20% - 强调文字颜色 5 11 4" xfId="2088"/>
    <cellStyle name="20% - 强调文字颜色 5 12" xfId="2093"/>
    <cellStyle name="20% - 强调文字颜色 5 12 2" xfId="2095"/>
    <cellStyle name="20% - 强调文字颜色 5 12 2 2" xfId="2097"/>
    <cellStyle name="20% - 强调文字颜色 5 12 2 3" xfId="1199"/>
    <cellStyle name="20% - 强调文字颜色 5 12 3" xfId="2099"/>
    <cellStyle name="20% - 强调文字颜色 5 12 4" xfId="2101"/>
    <cellStyle name="20% - 强调文字颜色 5 13" xfId="2105"/>
    <cellStyle name="20% - 强调文字颜色 5 13 2" xfId="2107"/>
    <cellStyle name="20% - 强调文字颜色 5 13 2 2" xfId="2113"/>
    <cellStyle name="20% - 强调文字颜色 5 13 2 3" xfId="307"/>
    <cellStyle name="20% - 强调文字颜色 5 13 3" xfId="2115"/>
    <cellStyle name="20% - 强调文字颜色 5 13 4" xfId="2117"/>
    <cellStyle name="20% - 强调文字颜色 5 14" xfId="142"/>
    <cellStyle name="20% - 强调文字颜色 5 14 2" xfId="2122"/>
    <cellStyle name="20% - 强调文字颜色 5 14 2 2" xfId="2125"/>
    <cellStyle name="20% - 强调文字颜色 5 14 2 3" xfId="1218"/>
    <cellStyle name="20% - 强调文字颜色 5 14 3" xfId="2128"/>
    <cellStyle name="20% - 强调文字颜色 5 14 4" xfId="2131"/>
    <cellStyle name="20% - 强调文字颜色 5 15" xfId="2137"/>
    <cellStyle name="20% - 强调文字颜色 5 15 2" xfId="2141"/>
    <cellStyle name="20% - 强调文字颜色 5 15 2 2" xfId="2145"/>
    <cellStyle name="20% - 强调文字颜色 5 15 2 3" xfId="726"/>
    <cellStyle name="20% - 强调文字颜色 5 15 3" xfId="2149"/>
    <cellStyle name="20% - 强调文字颜色 5 15 4" xfId="2153"/>
    <cellStyle name="20% - 强调文字颜色 5 16" xfId="2163"/>
    <cellStyle name="20% - 强调文字颜色 5 16 2" xfId="2169"/>
    <cellStyle name="20% - 强调文字颜色 5 16 2 2" xfId="2173"/>
    <cellStyle name="20% - 强调文字颜色 5 16 2 3" xfId="2178"/>
    <cellStyle name="20% - 强调文字颜色 5 16 3" xfId="2182"/>
    <cellStyle name="20% - 强调文字颜色 5 16 4" xfId="2186"/>
    <cellStyle name="20% - 强调文字颜色 5 17" xfId="2192"/>
    <cellStyle name="20% - 强调文字颜色 5 17 2" xfId="2196"/>
    <cellStyle name="20% - 强调文字颜色 5 17 2 2" xfId="2200"/>
    <cellStyle name="20% - 强调文字颜色 5 17 2 3" xfId="2204"/>
    <cellStyle name="20% - 强调文字颜色 5 17 3" xfId="2208"/>
    <cellStyle name="20% - 强调文字颜色 5 17 4" xfId="2212"/>
    <cellStyle name="20% - 强调文字颜色 5 18" xfId="2218"/>
    <cellStyle name="20% - 强调文字颜色 5 18 2" xfId="2222"/>
    <cellStyle name="20% - 强调文字颜色 5 18 2 2" xfId="418"/>
    <cellStyle name="20% - 强调文字颜色 5 18 2 3" xfId="2226"/>
    <cellStyle name="20% - 强调文字颜色 5 18 3" xfId="2230"/>
    <cellStyle name="20% - 强调文字颜色 5 18 4" xfId="2234"/>
    <cellStyle name="20% - 强调文字颜色 5 19" xfId="2242"/>
    <cellStyle name="20% - 强调文字颜色 5 19 2" xfId="2246"/>
    <cellStyle name="20% - 强调文字颜色 5 19 2 2" xfId="2249"/>
    <cellStyle name="20% - 强调文字颜色 5 19 2 3" xfId="2253"/>
    <cellStyle name="20% - 强调文字颜色 5 19 3" xfId="2257"/>
    <cellStyle name="20% - 强调文字颜色 5 19 4" xfId="2260"/>
    <cellStyle name="20% - 强调文字颜色 5 2" xfId="2265"/>
    <cellStyle name="20% - 强调文字颜色 5 2 2" xfId="2268"/>
    <cellStyle name="20% - 强调文字颜色 5 2 3" xfId="2269"/>
    <cellStyle name="20% - 强调文字颜色 5 20" xfId="2138"/>
    <cellStyle name="20% - 强调文字颜色 5 20 2" xfId="2142"/>
    <cellStyle name="20% - 强调文字颜色 5 20 2 2" xfId="2146"/>
    <cellStyle name="20% - 强调文字颜色 5 20 2 3" xfId="727"/>
    <cellStyle name="20% - 强调文字颜色 5 20 3" xfId="2150"/>
    <cellStyle name="20% - 强调文字颜色 5 20 4" xfId="2154"/>
    <cellStyle name="20% - 强调文字颜色 5 21" xfId="2164"/>
    <cellStyle name="20% - 强调文字颜色 5 21 2" xfId="2170"/>
    <cellStyle name="20% - 强调文字颜色 5 21 2 2" xfId="2174"/>
    <cellStyle name="20% - 强调文字颜色 5 21 2 3" xfId="2179"/>
    <cellStyle name="20% - 强调文字颜色 5 21 3" xfId="2183"/>
    <cellStyle name="20% - 强调文字颜色 5 21 4" xfId="2187"/>
    <cellStyle name="20% - 强调文字颜色 5 22" xfId="2193"/>
    <cellStyle name="20% - 强调文字颜色 5 22 2" xfId="2197"/>
    <cellStyle name="20% - 强调文字颜色 5 22 2 2" xfId="2201"/>
    <cellStyle name="20% - 强调文字颜色 5 22 2 3" xfId="2205"/>
    <cellStyle name="20% - 强调文字颜色 5 22 3" xfId="2209"/>
    <cellStyle name="20% - 强调文字颜色 5 22 4" xfId="2213"/>
    <cellStyle name="20% - 强调文字颜色 5 23" xfId="2219"/>
    <cellStyle name="20% - 强调文字颜色 5 23 2" xfId="2223"/>
    <cellStyle name="20% - 强调文字颜色 5 23 2 2" xfId="417"/>
    <cellStyle name="20% - 强调文字颜色 5 23 2 3" xfId="2227"/>
    <cellStyle name="20% - 强调文字颜色 5 23 3" xfId="2231"/>
    <cellStyle name="20% - 强调文字颜色 5 23 4" xfId="2235"/>
    <cellStyle name="20% - 强调文字颜色 5 24" xfId="2243"/>
    <cellStyle name="20% - 强调文字颜色 5 24 2" xfId="2247"/>
    <cellStyle name="20% - 强调文字颜色 5 24 2 2" xfId="2250"/>
    <cellStyle name="20% - 强调文字颜色 5 24 2 3" xfId="2254"/>
    <cellStyle name="20% - 强调文字颜色 5 24 3" xfId="2258"/>
    <cellStyle name="20% - 强调文字颜色 5 24 4" xfId="2261"/>
    <cellStyle name="20% - 强调文字颜色 5 25" xfId="2276"/>
    <cellStyle name="20% - 强调文字颜色 5 25 2" xfId="121"/>
    <cellStyle name="20% - 强调文字颜色 5 25 2 2" xfId="2279"/>
    <cellStyle name="20% - 强调文字颜色 5 25 2 3" xfId="2281"/>
    <cellStyle name="20% - 强调文字颜色 5 25 3" xfId="179"/>
    <cellStyle name="20% - 强调文字颜色 5 25 4" xfId="193"/>
    <cellStyle name="20% - 强调文字颜色 5 26" xfId="2285"/>
    <cellStyle name="20% - 强调文字颜色 5 26 2" xfId="2289"/>
    <cellStyle name="20% - 强调文字颜色 5 26 2 2" xfId="2292"/>
    <cellStyle name="20% - 强调文字颜色 5 26 2 3" xfId="2295"/>
    <cellStyle name="20% - 强调文字颜色 5 26 3" xfId="2297"/>
    <cellStyle name="20% - 强调文字颜色 5 26 4" xfId="2299"/>
    <cellStyle name="20% - 强调文字颜色 5 27" xfId="2303"/>
    <cellStyle name="20% - 强调文字颜色 5 27 2" xfId="2307"/>
    <cellStyle name="20% - 强调文字颜色 5 27 2 2" xfId="2310"/>
    <cellStyle name="20% - 强调文字颜色 5 27 2 3" xfId="2313"/>
    <cellStyle name="20% - 强调文字颜色 5 27 3" xfId="2315"/>
    <cellStyle name="20% - 强调文字颜色 5 27 4" xfId="2317"/>
    <cellStyle name="20% - 强调文字颜色 5 28" xfId="2322"/>
    <cellStyle name="20% - 强调文字颜色 5 28 2" xfId="2326"/>
    <cellStyle name="20% - 强调文字颜色 5 28 2 2" xfId="263"/>
    <cellStyle name="20% - 强调文字颜色 5 28 2 3" xfId="2333"/>
    <cellStyle name="20% - 强调文字颜色 5 28 3" xfId="2336"/>
    <cellStyle name="20% - 强调文字颜色 5 28 4" xfId="2340"/>
    <cellStyle name="20% - 强调文字颜色 5 29" xfId="2344"/>
    <cellStyle name="20% - 强调文字颜色 5 29 2" xfId="2346"/>
    <cellStyle name="20% - 强调文字颜色 5 29 3" xfId="2350"/>
    <cellStyle name="20% - 强调文字颜色 5 3" xfId="2354"/>
    <cellStyle name="20% - 强调文字颜色 5 3 2" xfId="2355"/>
    <cellStyle name="20% - 强调文字颜色 5 3 3" xfId="1941"/>
    <cellStyle name="20% - 强调文字颜色 5 30" xfId="2277"/>
    <cellStyle name="20% - 强调文字颜色 5 30 2" xfId="120"/>
    <cellStyle name="20% - 强调文字颜色 5 31" xfId="2286"/>
    <cellStyle name="20% - 强调文字颜色 5 31 2" xfId="2290"/>
    <cellStyle name="20% - 强调文字颜色 5 32" xfId="2304"/>
    <cellStyle name="20% - 强调文字颜色 5 32 2" xfId="2308"/>
    <cellStyle name="20% - 强调文字颜色 5 33" xfId="2323"/>
    <cellStyle name="20% - 强调文字颜色 5 33 2" xfId="2327"/>
    <cellStyle name="20% - 强调文字颜色 5 34" xfId="2345"/>
    <cellStyle name="20% - 强调文字颜色 5 34 2" xfId="2347"/>
    <cellStyle name="20% - 强调文字颜色 5 35" xfId="2357"/>
    <cellStyle name="20% - 强调文字颜色 5 36" xfId="2359"/>
    <cellStyle name="20% - 强调文字颜色 5 37" xfId="2361"/>
    <cellStyle name="20% - 强调文字颜色 5 4" xfId="2362"/>
    <cellStyle name="20% - 强调文字颜色 5 4 2" xfId="327"/>
    <cellStyle name="20% - 强调文字颜色 5 4 3" xfId="2363"/>
    <cellStyle name="20% - 强调文字颜色 5 5" xfId="2364"/>
    <cellStyle name="20% - 强调文字颜色 5 5 2" xfId="2366"/>
    <cellStyle name="20% - 强调文字颜色 5 5 3" xfId="2367"/>
    <cellStyle name="20% - 强调文字颜色 5 6" xfId="2368"/>
    <cellStyle name="20% - 强调文字颜色 5 6 2" xfId="2370"/>
    <cellStyle name="20% - 强调文字颜色 5 6 3" xfId="2371"/>
    <cellStyle name="20% - 强调文字颜色 5 7" xfId="2372"/>
    <cellStyle name="20% - 强调文字颜色 5 7 2" xfId="2373"/>
    <cellStyle name="20% - 强调文字颜色 5 7 3" xfId="2374"/>
    <cellStyle name="20% - 强调文字颜色 5 8" xfId="2375"/>
    <cellStyle name="20% - 强调文字颜色 5 8 2" xfId="2376"/>
    <cellStyle name="20% - 强调文字颜色 5 8 3" xfId="2377"/>
    <cellStyle name="20% - 强调文字颜色 5 9" xfId="2379"/>
    <cellStyle name="20% - 强调文字颜色 5 9 2" xfId="2380"/>
    <cellStyle name="20% - 强调文字颜色 5 9 2 2" xfId="2382"/>
    <cellStyle name="20% - 强调文字颜色 5 9 2 3" xfId="2383"/>
    <cellStyle name="20% - 强调文字颜色 5 9 3" xfId="2384"/>
    <cellStyle name="20% - 强调文字颜色 5 9 4" xfId="2385"/>
    <cellStyle name="20% - 强调文字颜色 6" xfId="117"/>
    <cellStyle name="20% - 强调文字颜色 6 10" xfId="2386"/>
    <cellStyle name="20% - 强调文字颜色 6 10 2" xfId="2387"/>
    <cellStyle name="20% - 强调文字颜色 6 10 2 2" xfId="2389"/>
    <cellStyle name="20% - 强调文字颜色 6 10 2 3" xfId="216"/>
    <cellStyle name="20% - 强调文字颜色 6 10 3" xfId="2391"/>
    <cellStyle name="20% - 强调文字颜色 6 10 4" xfId="2393"/>
    <cellStyle name="20% - 强调文字颜色 6 11" xfId="2395"/>
    <cellStyle name="20% - 强调文字颜色 6 11 2" xfId="2396"/>
    <cellStyle name="20% - 强调文字颜色 6 11 2 2" xfId="2398"/>
    <cellStyle name="20% - 强调文字颜色 6 11 2 3" xfId="443"/>
    <cellStyle name="20% - 强调文字颜色 6 11 3" xfId="2399"/>
    <cellStyle name="20% - 强调文字颜色 6 11 4" xfId="2403"/>
    <cellStyle name="20% - 强调文字颜色 6 12" xfId="2407"/>
    <cellStyle name="20% - 强调文字颜色 6 12 2" xfId="2408"/>
    <cellStyle name="20% - 强调文字颜色 6 12 2 2" xfId="2411"/>
    <cellStyle name="20% - 强调文字颜色 6 12 2 3" xfId="877"/>
    <cellStyle name="20% - 强调文字颜色 6 12 3" xfId="2412"/>
    <cellStyle name="20% - 强调文字颜色 6 12 4" xfId="2414"/>
    <cellStyle name="20% - 强调文字颜色 6 13" xfId="2417"/>
    <cellStyle name="20% - 强调文字颜色 6 13 2" xfId="2420"/>
    <cellStyle name="20% - 强调文字颜色 6 13 2 2" xfId="2421"/>
    <cellStyle name="20% - 强调文字颜色 6 13 2 3" xfId="809"/>
    <cellStyle name="20% - 强调文字颜色 6 13 3" xfId="2422"/>
    <cellStyle name="20% - 强调文字颜色 6 13 4" xfId="2424"/>
    <cellStyle name="20% - 强调文字颜色 6 14" xfId="2426"/>
    <cellStyle name="20% - 强调文字颜色 6 14 2" xfId="2427"/>
    <cellStyle name="20% - 强调文字颜色 6 14 2 2" xfId="2428"/>
    <cellStyle name="20% - 强调文字颜色 6 14 2 3" xfId="201"/>
    <cellStyle name="20% - 强调文字颜色 6 14 3" xfId="2429"/>
    <cellStyle name="20% - 强调文字颜色 6 14 4" xfId="2430"/>
    <cellStyle name="20% - 强调文字颜色 6 15" xfId="2431"/>
    <cellStyle name="20% - 强调文字颜色 6 15 2" xfId="2433"/>
    <cellStyle name="20% - 强调文字颜色 6 15 2 2" xfId="1278"/>
    <cellStyle name="20% - 强调文字颜色 6 15 2 3" xfId="1310"/>
    <cellStyle name="20% - 强调文字颜色 6 15 3" xfId="2435"/>
    <cellStyle name="20% - 强调文字颜色 6 15 4" xfId="2437"/>
    <cellStyle name="20% - 强调文字颜色 6 16" xfId="2439"/>
    <cellStyle name="20% - 强调文字颜色 6 16 2" xfId="2441"/>
    <cellStyle name="20% - 强调文字颜色 6 16 2 2" xfId="2444"/>
    <cellStyle name="20% - 强调文字颜色 6 16 2 3" xfId="1038"/>
    <cellStyle name="20% - 强调文字颜色 6 16 3" xfId="2446"/>
    <cellStyle name="20% - 强调文字颜色 6 16 4" xfId="2448"/>
    <cellStyle name="20% - 强调文字颜色 6 17" xfId="2450"/>
    <cellStyle name="20% - 强调文字颜色 6 17 2" xfId="2452"/>
    <cellStyle name="20% - 强调文字颜色 6 17 2 2" xfId="2454"/>
    <cellStyle name="20% - 强调文字颜色 6 17 2 3" xfId="2456"/>
    <cellStyle name="20% - 强调文字颜色 6 17 3" xfId="2458"/>
    <cellStyle name="20% - 强调文字颜色 6 17 4" xfId="2460"/>
    <cellStyle name="20% - 强调文字颜色 6 18" xfId="2462"/>
    <cellStyle name="20% - 强调文字颜色 6 18 2" xfId="2464"/>
    <cellStyle name="20% - 强调文字颜色 6 18 2 2" xfId="2466"/>
    <cellStyle name="20% - 强调文字颜色 6 18 2 3" xfId="2468"/>
    <cellStyle name="20% - 强调文字颜色 6 18 3" xfId="2470"/>
    <cellStyle name="20% - 强调文字颜色 6 18 4" xfId="2472"/>
    <cellStyle name="20% - 强调文字颜色 6 19" xfId="2475"/>
    <cellStyle name="20% - 强调文字颜色 6 19 2" xfId="2478"/>
    <cellStyle name="20% - 强调文字颜色 6 19 2 2" xfId="2480"/>
    <cellStyle name="20% - 强调文字颜色 6 19 2 3" xfId="2482"/>
    <cellStyle name="20% - 强调文字颜色 6 19 3" xfId="2485"/>
    <cellStyle name="20% - 强调文字颜色 6 19 4" xfId="2487"/>
    <cellStyle name="20% - 强调文字颜色 6 2" xfId="2489"/>
    <cellStyle name="20% - 强调文字颜色 6 2 2" xfId="2490"/>
    <cellStyle name="20% - 强调文字颜色 6 2 3" xfId="2491"/>
    <cellStyle name="20% - 强调文字颜色 6 20" xfId="2432"/>
    <cellStyle name="20% - 强调文字颜色 6 20 2" xfId="2434"/>
    <cellStyle name="20% - 强调文字颜色 6 20 2 2" xfId="1277"/>
    <cellStyle name="20% - 强调文字颜色 6 20 2 3" xfId="1309"/>
    <cellStyle name="20% - 强调文字颜色 6 20 3" xfId="2436"/>
    <cellStyle name="20% - 强调文字颜色 6 20 4" xfId="2438"/>
    <cellStyle name="20% - 强调文字颜色 6 21" xfId="2440"/>
    <cellStyle name="20% - 强调文字颜色 6 21 2" xfId="2442"/>
    <cellStyle name="20% - 强调文字颜色 6 21 2 2" xfId="2445"/>
    <cellStyle name="20% - 强调文字颜色 6 21 2 3" xfId="1039"/>
    <cellStyle name="20% - 强调文字颜色 6 21 3" xfId="2447"/>
    <cellStyle name="20% - 强调文字颜色 6 21 4" xfId="2449"/>
    <cellStyle name="20% - 强调文字颜色 6 22" xfId="2451"/>
    <cellStyle name="20% - 强调文字颜色 6 22 2" xfId="2453"/>
    <cellStyle name="20% - 强调文字颜色 6 22 2 2" xfId="2455"/>
    <cellStyle name="20% - 强调文字颜色 6 22 2 3" xfId="2457"/>
    <cellStyle name="20% - 强调文字颜色 6 22 3" xfId="2459"/>
    <cellStyle name="20% - 强调文字颜色 6 22 4" xfId="2461"/>
    <cellStyle name="20% - 强调文字颜色 6 23" xfId="2463"/>
    <cellStyle name="20% - 强调文字颜色 6 23 2" xfId="2465"/>
    <cellStyle name="20% - 强调文字颜色 6 23 2 2" xfId="2467"/>
    <cellStyle name="20% - 强调文字颜色 6 23 2 3" xfId="2469"/>
    <cellStyle name="20% - 强调文字颜色 6 23 3" xfId="2471"/>
    <cellStyle name="20% - 强调文字颜色 6 23 4" xfId="2473"/>
    <cellStyle name="20% - 强调文字颜色 6 24" xfId="2476"/>
    <cellStyle name="20% - 强调文字颜色 6 24 2" xfId="2479"/>
    <cellStyle name="20% - 强调文字颜色 6 24 2 2" xfId="2481"/>
    <cellStyle name="20% - 强调文字颜色 6 24 2 3" xfId="2483"/>
    <cellStyle name="20% - 强调文字颜色 6 24 3" xfId="2486"/>
    <cellStyle name="20% - 强调文字颜色 6 24 4" xfId="2488"/>
    <cellStyle name="20% - 强调文字颜色 6 25" xfId="2493"/>
    <cellStyle name="20% - 强调文字颜色 6 25 2" xfId="2495"/>
    <cellStyle name="20% - 强调文字颜色 6 25 2 2" xfId="2499"/>
    <cellStyle name="20% - 强调文字颜色 6 25 2 3" xfId="2500"/>
    <cellStyle name="20% - 强调文字颜色 6 25 3" xfId="2501"/>
    <cellStyle name="20% - 强调文字颜色 6 25 4" xfId="2504"/>
    <cellStyle name="20% - 强调文字颜色 6 26" xfId="2511"/>
    <cellStyle name="20% - 强调文字颜色 6 26 2" xfId="2515"/>
    <cellStyle name="20% - 强调文字颜色 6 26 2 2" xfId="2518"/>
    <cellStyle name="20% - 强调文字颜色 6 26 2 3" xfId="1452"/>
    <cellStyle name="20% - 强调文字颜色 6 26 3" xfId="2521"/>
    <cellStyle name="20% - 强调文字颜色 6 26 4" xfId="2524"/>
    <cellStyle name="20% - 强调文字颜色 6 27" xfId="2527"/>
    <cellStyle name="20% - 强调文字颜色 6 27 2" xfId="2531"/>
    <cellStyle name="20% - 强调文字颜色 6 27 2 2" xfId="2533"/>
    <cellStyle name="20% - 强调文字颜色 6 27 2 3" xfId="2534"/>
    <cellStyle name="20% - 强调文字颜色 6 27 3" xfId="2535"/>
    <cellStyle name="20% - 强调文字颜色 6 27 4" xfId="2536"/>
    <cellStyle name="20% - 强调文字颜色 6 28" xfId="2541"/>
    <cellStyle name="20% - 强调文字颜色 6 28 2" xfId="2546"/>
    <cellStyle name="20% - 强调文字颜色 6 28 2 2" xfId="2551"/>
    <cellStyle name="20% - 强调文字颜色 6 28 2 3" xfId="2553"/>
    <cellStyle name="20% - 强调文字颜色 6 28 3" xfId="2556"/>
    <cellStyle name="20% - 强调文字颜色 6 28 4" xfId="2561"/>
    <cellStyle name="20% - 强调文字颜色 6 29" xfId="2562"/>
    <cellStyle name="20% - 强调文字颜色 6 29 2" xfId="2565"/>
    <cellStyle name="20% - 强调文字颜色 6 29 3" xfId="2568"/>
    <cellStyle name="20% - 强调文字颜色 6 3" xfId="2572"/>
    <cellStyle name="20% - 强调文字颜色 6 3 2" xfId="2573"/>
    <cellStyle name="20% - 强调文字颜色 6 3 3" xfId="1968"/>
    <cellStyle name="20% - 强调文字颜色 6 30" xfId="2494"/>
    <cellStyle name="20% - 强调文字颜色 6 30 2" xfId="2496"/>
    <cellStyle name="20% - 强调文字颜色 6 31" xfId="2512"/>
    <cellStyle name="20% - 强调文字颜色 6 31 2" xfId="2516"/>
    <cellStyle name="20% - 强调文字颜色 6 32" xfId="2528"/>
    <cellStyle name="20% - 强调文字颜色 6 32 2" xfId="2532"/>
    <cellStyle name="20% - 强调文字颜色 6 33" xfId="2542"/>
    <cellStyle name="20% - 强调文字颜色 6 33 2" xfId="2547"/>
    <cellStyle name="20% - 强调文字颜色 6 34" xfId="2563"/>
    <cellStyle name="20% - 强调文字颜色 6 34 2" xfId="2566"/>
    <cellStyle name="20% - 强调文字颜色 6 35" xfId="2574"/>
    <cellStyle name="20% - 强调文字颜色 6 36" xfId="2578"/>
    <cellStyle name="20% - 强调文字颜色 6 37" xfId="921"/>
    <cellStyle name="20% - 强调文字颜色 6 4" xfId="2580"/>
    <cellStyle name="20% - 强调文字颜色 6 4 2" xfId="1224"/>
    <cellStyle name="20% - 强调文字颜色 6 4 3" xfId="2581"/>
    <cellStyle name="20% - 强调文字颜色 6 5" xfId="2582"/>
    <cellStyle name="20% - 强调文字颜色 6 5 2" xfId="2583"/>
    <cellStyle name="20% - 强调文字颜色 6 5 3" xfId="2584"/>
    <cellStyle name="20% - 强调文字颜色 6 6" xfId="2585"/>
    <cellStyle name="20% - 强调文字颜色 6 6 2" xfId="2586"/>
    <cellStyle name="20% - 强调文字颜色 6 6 3" xfId="2587"/>
    <cellStyle name="20% - 强调文字颜色 6 7" xfId="2588"/>
    <cellStyle name="20% - 强调文字颜色 6 7 2" xfId="2589"/>
    <cellStyle name="20% - 强调文字颜色 6 7 3" xfId="2590"/>
    <cellStyle name="20% - 强调文字颜色 6 8" xfId="2591"/>
    <cellStyle name="20% - 强调文字颜色 6 8 2" xfId="2592"/>
    <cellStyle name="20% - 强调文字颜色 6 8 3" xfId="2593"/>
    <cellStyle name="20% - 强调文字颜色 6 9" xfId="2594"/>
    <cellStyle name="20% - 强调文字颜色 6 9 2" xfId="2595"/>
    <cellStyle name="20% - 强调文字颜色 6 9 2 2" xfId="2596"/>
    <cellStyle name="20% - 强调文字颜色 6 9 2 3" xfId="2597"/>
    <cellStyle name="20% - 强调文字颜色 6 9 3" xfId="2598"/>
    <cellStyle name="20% - 强调文字颜色 6 9 4" xfId="2599"/>
    <cellStyle name="40% - 强调文字颜色 1" xfId="162"/>
    <cellStyle name="40% - 强调文字颜色 1 10" xfId="2601"/>
    <cellStyle name="40% - 强调文字颜色 1 10 2" xfId="2603"/>
    <cellStyle name="40% - 强调文字颜色 1 10 2 2" xfId="2606"/>
    <cellStyle name="40% - 强调文字颜色 1 10 2 3" xfId="2608"/>
    <cellStyle name="40% - 强调文字颜色 1 10 3" xfId="2610"/>
    <cellStyle name="40% - 强调文字颜色 1 10 4" xfId="2612"/>
    <cellStyle name="40% - 强调文字颜色 1 11" xfId="2614"/>
    <cellStyle name="40% - 强调文字颜色 1 11 2" xfId="2616"/>
    <cellStyle name="40% - 强调文字颜色 1 11 2 2" xfId="2622"/>
    <cellStyle name="40% - 强调文字颜色 1 11 2 3" xfId="2626"/>
    <cellStyle name="40% - 强调文字颜色 1 11 3" xfId="2628"/>
    <cellStyle name="40% - 强调文字颜色 1 11 4" xfId="2630"/>
    <cellStyle name="40% - 强调文字颜色 1 12" xfId="2632"/>
    <cellStyle name="40% - 强调文字颜色 1 12 2" xfId="2634"/>
    <cellStyle name="40% - 强调文字颜色 1 12 2 2" xfId="2638"/>
    <cellStyle name="40% - 强调文字颜色 1 12 2 3" xfId="2267"/>
    <cellStyle name="40% - 强调文字颜色 1 12 3" xfId="2640"/>
    <cellStyle name="40% - 强调文字颜色 1 12 4" xfId="2642"/>
    <cellStyle name="40% - 强调文字颜色 1 13" xfId="2644"/>
    <cellStyle name="40% - 强调文字颜色 1 13 2" xfId="2647"/>
    <cellStyle name="40% - 强调文字颜色 1 13 2 2" xfId="2651"/>
    <cellStyle name="40% - 强调文字颜色 1 13 2 3" xfId="2653"/>
    <cellStyle name="40% - 强调文字颜色 1 13 3" xfId="2656"/>
    <cellStyle name="40% - 强调文字颜色 1 13 4" xfId="2658"/>
    <cellStyle name="40% - 强调文字颜色 1 14" xfId="2661"/>
    <cellStyle name="40% - 强调文字颜色 1 14 2" xfId="2667"/>
    <cellStyle name="40% - 强调文字颜色 1 14 2 2" xfId="2559"/>
    <cellStyle name="40% - 强调文字颜色 1 14 2 3" xfId="2672"/>
    <cellStyle name="40% - 强调文字颜色 1 14 3" xfId="2676"/>
    <cellStyle name="40% - 强调文字颜色 1 14 4" xfId="2679"/>
    <cellStyle name="40% - 强调文字颜色 1 15" xfId="2682"/>
    <cellStyle name="40% - 强调文字颜色 1 15 2" xfId="2687"/>
    <cellStyle name="40% - 强调文字颜色 1 15 2 2" xfId="2694"/>
    <cellStyle name="40% - 强调文字颜色 1 15 2 3" xfId="2699"/>
    <cellStyle name="40% - 强调文字颜色 1 15 3" xfId="2703"/>
    <cellStyle name="40% - 强调文字颜色 1 15 4" xfId="2111"/>
    <cellStyle name="40% - 强调文字颜色 1 16" xfId="1386"/>
    <cellStyle name="40% - 强调文字颜色 1 16 2" xfId="1405"/>
    <cellStyle name="40% - 强调文字颜色 1 16 2 2" xfId="2709"/>
    <cellStyle name="40% - 强调文字颜色 1 16 2 3" xfId="2713"/>
    <cellStyle name="40% - 强调文字颜色 1 16 3" xfId="1421"/>
    <cellStyle name="40% - 强调文字颜色 1 16 4" xfId="2718"/>
    <cellStyle name="40% - 强调文字颜色 1 17" xfId="1432"/>
    <cellStyle name="40% - 强调文字颜色 1 17 2" xfId="2723"/>
    <cellStyle name="40% - 强调文字颜色 1 17 2 2" xfId="2731"/>
    <cellStyle name="40% - 强调文字颜色 1 17 2 3" xfId="2735"/>
    <cellStyle name="40% - 强调文字颜色 1 17 3" xfId="2739"/>
    <cellStyle name="40% - 强调文字颜色 1 17 4" xfId="2743"/>
    <cellStyle name="40% - 强调文字颜色 1 18" xfId="493"/>
    <cellStyle name="40% - 强调文字颜色 1 18 2" xfId="2750"/>
    <cellStyle name="40% - 强调文字颜色 1 18 2 2" xfId="2760"/>
    <cellStyle name="40% - 强调文字颜色 1 18 2 3" xfId="2767"/>
    <cellStyle name="40% - 强调文字颜色 1 18 3" xfId="2771"/>
    <cellStyle name="40% - 强调文字颜色 1 18 4" xfId="2775"/>
    <cellStyle name="40% - 强调文字颜色 1 19" xfId="2779"/>
    <cellStyle name="40% - 强调文字颜色 1 19 2" xfId="2786"/>
    <cellStyle name="40% - 强调文字颜色 1 19 2 2" xfId="1294"/>
    <cellStyle name="40% - 强调文字颜色 1 19 2 3" xfId="2790"/>
    <cellStyle name="40% - 强调文字颜色 1 19 3" xfId="2793"/>
    <cellStyle name="40% - 强调文字颜色 1 19 4" xfId="2796"/>
    <cellStyle name="40% - 强调文字颜色 1 2" xfId="2798"/>
    <cellStyle name="40% - 强调文字颜色 1 2 2" xfId="2799"/>
    <cellStyle name="40% - 强调文字颜色 1 2 3" xfId="2801"/>
    <cellStyle name="40% - 强调文字颜色 1 20" xfId="2683"/>
    <cellStyle name="40% - 强调文字颜色 1 20 2" xfId="2688"/>
    <cellStyle name="40% - 强调文字颜色 1 20 2 2" xfId="2695"/>
    <cellStyle name="40% - 强调文字颜色 1 20 2 3" xfId="2700"/>
    <cellStyle name="40% - 强调文字颜色 1 20 3" xfId="2704"/>
    <cellStyle name="40% - 强调文字颜色 1 20 4" xfId="2112"/>
    <cellStyle name="40% - 强调文字颜色 1 21" xfId="1385"/>
    <cellStyle name="40% - 强调文字颜色 1 21 2" xfId="1404"/>
    <cellStyle name="40% - 强调文字颜色 1 21 2 2" xfId="2710"/>
    <cellStyle name="40% - 强调文字颜色 1 21 2 3" xfId="2714"/>
    <cellStyle name="40% - 强调文字颜色 1 21 3" xfId="1420"/>
    <cellStyle name="40% - 强调文字颜色 1 21 4" xfId="2719"/>
    <cellStyle name="40% - 强调文字颜色 1 22" xfId="1431"/>
    <cellStyle name="40% - 强调文字颜色 1 22 2" xfId="2724"/>
    <cellStyle name="40% - 强调文字颜色 1 22 2 2" xfId="2732"/>
    <cellStyle name="40% - 强调文字颜色 1 22 2 3" xfId="2736"/>
    <cellStyle name="40% - 强调文字颜色 1 22 3" xfId="2740"/>
    <cellStyle name="40% - 强调文字颜色 1 22 4" xfId="2744"/>
    <cellStyle name="40% - 强调文字颜色 1 23" xfId="492"/>
    <cellStyle name="40% - 强调文字颜色 1 23 2" xfId="2751"/>
    <cellStyle name="40% - 强调文字颜色 1 23 2 2" xfId="2761"/>
    <cellStyle name="40% - 强调文字颜色 1 23 2 3" xfId="2768"/>
    <cellStyle name="40% - 强调文字颜色 1 23 3" xfId="2772"/>
    <cellStyle name="40% - 强调文字颜色 1 23 4" xfId="2776"/>
    <cellStyle name="40% - 强调文字颜色 1 24" xfId="2780"/>
    <cellStyle name="40% - 强调文字颜色 1 24 2" xfId="2787"/>
    <cellStyle name="40% - 强调文字颜色 1 24 2 2" xfId="1293"/>
    <cellStyle name="40% - 强调文字颜色 1 24 2 3" xfId="2791"/>
    <cellStyle name="40% - 强调文字颜色 1 24 3" xfId="2794"/>
    <cellStyle name="40% - 强调文字颜色 1 24 4" xfId="2797"/>
    <cellStyle name="40% - 强调文字颜色 1 25" xfId="2806"/>
    <cellStyle name="40% - 强调文字颜色 1 25 2" xfId="2811"/>
    <cellStyle name="40% - 强调文字颜色 1 25 2 2" xfId="1320"/>
    <cellStyle name="40% - 强调文字颜色 1 25 2 3" xfId="2815"/>
    <cellStyle name="40% - 强调文字颜色 1 25 3" xfId="2818"/>
    <cellStyle name="40% - 强调文字颜色 1 25 4" xfId="2820"/>
    <cellStyle name="40% - 强调文字颜色 1 26" xfId="2826"/>
    <cellStyle name="40% - 强调文字颜色 1 26 2" xfId="2830"/>
    <cellStyle name="40% - 强调文字颜色 1 26 2 2" xfId="1338"/>
    <cellStyle name="40% - 强调文字颜色 1 26 2 3" xfId="2833"/>
    <cellStyle name="40% - 强调文字颜色 1 26 3" xfId="2835"/>
    <cellStyle name="40% - 强调文字颜色 1 26 4" xfId="2837"/>
    <cellStyle name="40% - 强调文字颜色 1 27" xfId="2841"/>
    <cellStyle name="40% - 强调文字颜色 1 27 2" xfId="2845"/>
    <cellStyle name="40% - 强调文字颜色 1 27 2 2" xfId="1365"/>
    <cellStyle name="40% - 强调文字颜色 1 27 2 3" xfId="2848"/>
    <cellStyle name="40% - 强调文字颜色 1 27 3" xfId="2850"/>
    <cellStyle name="40% - 强调文字颜色 1 27 4" xfId="2852"/>
    <cellStyle name="40% - 强调文字颜色 1 28" xfId="2855"/>
    <cellStyle name="40% - 强调文字颜色 1 28 2" xfId="2859"/>
    <cellStyle name="40% - 强调文字颜色 1 28 2 2" xfId="1424"/>
    <cellStyle name="40% - 强调文字颜色 1 28 2 3" xfId="2717"/>
    <cellStyle name="40% - 强调文字颜色 1 28 3" xfId="2862"/>
    <cellStyle name="40% - 强调文字颜色 1 28 4" xfId="2863"/>
    <cellStyle name="40% - 强调文字颜色 1 29" xfId="2865"/>
    <cellStyle name="40% - 强调文字颜色 1 29 2" xfId="2867"/>
    <cellStyle name="40% - 强调文字颜色 1 29 3" xfId="2872"/>
    <cellStyle name="40% - 强调文字颜色 1 3" xfId="2877"/>
    <cellStyle name="40% - 强调文字颜色 1 3 2" xfId="2883"/>
    <cellStyle name="40% - 强调文字颜色 1 3 3" xfId="2891"/>
    <cellStyle name="40% - 强调文字颜色 1 30" xfId="2807"/>
    <cellStyle name="40% - 强调文字颜色 1 30 2" xfId="2812"/>
    <cellStyle name="40% - 强调文字颜色 1 31" xfId="2827"/>
    <cellStyle name="40% - 强调文字颜色 1 31 2" xfId="2831"/>
    <cellStyle name="40% - 强调文字颜色 1 32" xfId="2842"/>
    <cellStyle name="40% - 强调文字颜色 1 32 2" xfId="2846"/>
    <cellStyle name="40% - 强调文字颜色 1 33" xfId="2856"/>
    <cellStyle name="40% - 强调文字颜色 1 33 2" xfId="2860"/>
    <cellStyle name="40% - 强调文字颜色 1 34" xfId="2866"/>
    <cellStyle name="40% - 强调文字颜色 1 34 2" xfId="2868"/>
    <cellStyle name="40% - 强调文字颜色 1 35" xfId="2895"/>
    <cellStyle name="40% - 强调文字颜色 1 36" xfId="2897"/>
    <cellStyle name="40% - 强调文字颜色 1 37" xfId="2898"/>
    <cellStyle name="40% - 强调文字颜色 1 4" xfId="2901"/>
    <cellStyle name="40% - 强调文字颜色 1 4 2" xfId="2905"/>
    <cellStyle name="40% - 强调文字颜色 1 4 3" xfId="2909"/>
    <cellStyle name="40% - 强调文字颜色 1 5" xfId="2912"/>
    <cellStyle name="40% - 强调文字颜色 1 5 2" xfId="2916"/>
    <cellStyle name="40% - 强调文字颜色 1 5 3" xfId="2917"/>
    <cellStyle name="40% - 强调文字颜色 1 6" xfId="2922"/>
    <cellStyle name="40% - 强调文字颜色 1 6 2" xfId="13"/>
    <cellStyle name="40% - 强调文字颜色 1 6 3" xfId="2925"/>
    <cellStyle name="40% - 强调文字颜色 1 7" xfId="2926"/>
    <cellStyle name="40% - 强调文字颜色 1 7 2" xfId="2927"/>
    <cellStyle name="40% - 强调文字颜色 1 7 3" xfId="2930"/>
    <cellStyle name="40% - 强调文字颜色 1 8" xfId="2934"/>
    <cellStyle name="40% - 强调文字颜色 1 8 2" xfId="2935"/>
    <cellStyle name="40% - 强调文字颜色 1 8 3" xfId="2938"/>
    <cellStyle name="40% - 强调文字颜色 1 9" xfId="2939"/>
    <cellStyle name="40% - 强调文字颜色 1 9 2" xfId="2940"/>
    <cellStyle name="40% - 强调文字颜色 1 9 2 2" xfId="2941"/>
    <cellStyle name="40% - 强调文字颜色 1 9 2 3" xfId="1663"/>
    <cellStyle name="40% - 强调文字颜色 1 9 3" xfId="2944"/>
    <cellStyle name="40% - 强调文字颜色 1 9 4" xfId="2946"/>
    <cellStyle name="40% - 强调文字颜色 2" xfId="169"/>
    <cellStyle name="40% - 强调文字颜色 2 10" xfId="2948"/>
    <cellStyle name="40% - 强调文字颜色 2 10 2" xfId="2952"/>
    <cellStyle name="40% - 强调文字颜色 2 10 2 2" xfId="2954"/>
    <cellStyle name="40% - 强调文字颜色 2 10 2 3" xfId="2956"/>
    <cellStyle name="40% - 强调文字颜色 2 10 3" xfId="2960"/>
    <cellStyle name="40% - 强调文字颜色 2 10 4" xfId="2963"/>
    <cellStyle name="40% - 强调文字颜色 2 11" xfId="278"/>
    <cellStyle name="40% - 强调文字颜色 2 11 2" xfId="284"/>
    <cellStyle name="40% - 强调文字颜色 2 11 2 2" xfId="287"/>
    <cellStyle name="40% - 强调文字颜色 2 11 2 3" xfId="14"/>
    <cellStyle name="40% - 强调文字颜色 2 11 3" xfId="290"/>
    <cellStyle name="40% - 强调文字颜色 2 11 4" xfId="251"/>
    <cellStyle name="40% - 强调文字颜色 2 12" xfId="57"/>
    <cellStyle name="40% - 强调文字颜色 2 12 2" xfId="249"/>
    <cellStyle name="40% - 强调文字颜色 2 12 2 2" xfId="255"/>
    <cellStyle name="40% - 强调文字颜色 2 12 2 3" xfId="267"/>
    <cellStyle name="40% - 强调文字颜色 2 12 3" xfId="295"/>
    <cellStyle name="40% - 强调文字颜色 2 12 4" xfId="78"/>
    <cellStyle name="40% - 强调文字颜色 2 13" xfId="305"/>
    <cellStyle name="40% - 强调文字颜色 2 13 2" xfId="316"/>
    <cellStyle name="40% - 强调文字颜色 2 13 2 2" xfId="319"/>
    <cellStyle name="40% - 强调文字颜色 2 13 2 3" xfId="324"/>
    <cellStyle name="40% - 强调文字颜色 2 13 3" xfId="332"/>
    <cellStyle name="40% - 强调文字颜色 2 13 4" xfId="336"/>
    <cellStyle name="40% - 强调文字颜色 2 14" xfId="342"/>
    <cellStyle name="40% - 强调文字颜色 2 14 2" xfId="24"/>
    <cellStyle name="40% - 强调文字颜色 2 14 2 2" xfId="346"/>
    <cellStyle name="40% - 强调文字颜色 2 14 2 3" xfId="356"/>
    <cellStyle name="40% - 强调文字颜色 2 14 3" xfId="364"/>
    <cellStyle name="40% - 强调文字颜色 2 14 4" xfId="376"/>
    <cellStyle name="40% - 强调文字颜色 2 15" xfId="392"/>
    <cellStyle name="40% - 强调文字颜色 2 15 2" xfId="397"/>
    <cellStyle name="40% - 强调文字颜色 2 15 2 2" xfId="402"/>
    <cellStyle name="40% - 强调文字颜色 2 15 2 3" xfId="407"/>
    <cellStyle name="40% - 强调文字颜色 2 15 3" xfId="413"/>
    <cellStyle name="40% - 强调文字颜色 2 15 4" xfId="420"/>
    <cellStyle name="40% - 强调文字颜色 2 16" xfId="427"/>
    <cellStyle name="40% - 强调文字颜色 2 16 2" xfId="439"/>
    <cellStyle name="40% - 强调文字颜色 2 16 2 2" xfId="48"/>
    <cellStyle name="40% - 强调文字颜色 2 16 2 3" xfId="92"/>
    <cellStyle name="40% - 强调文字颜色 2 16 3" xfId="451"/>
    <cellStyle name="40% - 强调文字颜色 2 16 4" xfId="463"/>
    <cellStyle name="40% - 强调文字颜色 2 17" xfId="467"/>
    <cellStyle name="40% - 强调文字颜色 2 17 2" xfId="479"/>
    <cellStyle name="40% - 强调文字颜色 2 17 2 2" xfId="485"/>
    <cellStyle name="40% - 强调文字颜色 2 17 2 3" xfId="505"/>
    <cellStyle name="40% - 强调文字颜色 2 17 3" xfId="511"/>
    <cellStyle name="40% - 强调文字颜色 2 17 4" xfId="516"/>
    <cellStyle name="40% - 强调文字颜色 2 18" xfId="530"/>
    <cellStyle name="40% - 强调文字颜色 2 18 2" xfId="537"/>
    <cellStyle name="40% - 强调文字颜色 2 18 2 2" xfId="546"/>
    <cellStyle name="40% - 强调文字颜色 2 18 2 3" xfId="554"/>
    <cellStyle name="40% - 强调文字颜色 2 18 3" xfId="560"/>
    <cellStyle name="40% - 强调文字颜色 2 18 4" xfId="567"/>
    <cellStyle name="40% - 强调文字颜色 2 19" xfId="573"/>
    <cellStyle name="40% - 强调文字颜色 2 19 2" xfId="579"/>
    <cellStyle name="40% - 强调文字颜色 2 19 2 2" xfId="593"/>
    <cellStyle name="40% - 强调文字颜色 2 19 2 3" xfId="600"/>
    <cellStyle name="40% - 强调文字颜色 2 19 3" xfId="605"/>
    <cellStyle name="40% - 强调文字颜色 2 19 4" xfId="610"/>
    <cellStyle name="40% - 强调文字颜色 2 2" xfId="2964"/>
    <cellStyle name="40% - 强调文字颜色 2 2 2" xfId="2965"/>
    <cellStyle name="40% - 强调文字颜色 2 2 3" xfId="2966"/>
    <cellStyle name="40% - 强调文字颜色 2 20" xfId="391"/>
    <cellStyle name="40% - 强调文字颜色 2 20 2" xfId="396"/>
    <cellStyle name="40% - 强调文字颜色 2 20 2 2" xfId="401"/>
    <cellStyle name="40% - 强调文字颜色 2 20 2 3" xfId="406"/>
    <cellStyle name="40% - 强调文字颜色 2 20 3" xfId="412"/>
    <cellStyle name="40% - 强调文字颜色 2 20 4" xfId="419"/>
    <cellStyle name="40% - 强调文字颜色 2 21" xfId="426"/>
    <cellStyle name="40% - 强调文字颜色 2 21 2" xfId="438"/>
    <cellStyle name="40% - 强调文字颜色 2 21 2 2" xfId="49"/>
    <cellStyle name="40% - 强调文字颜色 2 21 2 3" xfId="91"/>
    <cellStyle name="40% - 强调文字颜色 2 21 3" xfId="450"/>
    <cellStyle name="40% - 强调文字颜色 2 21 4" xfId="462"/>
    <cellStyle name="40% - 强调文字颜色 2 22" xfId="466"/>
    <cellStyle name="40% - 强调文字颜色 2 22 2" xfId="478"/>
    <cellStyle name="40% - 强调文字颜色 2 22 2 2" xfId="484"/>
    <cellStyle name="40% - 强调文字颜色 2 22 2 3" xfId="506"/>
    <cellStyle name="40% - 强调文字颜色 2 22 3" xfId="510"/>
    <cellStyle name="40% - 强调文字颜色 2 22 4" xfId="517"/>
    <cellStyle name="40% - 强调文字颜色 2 23" xfId="531"/>
    <cellStyle name="40% - 强调文字颜色 2 23 2" xfId="538"/>
    <cellStyle name="40% - 强调文字颜色 2 23 2 2" xfId="547"/>
    <cellStyle name="40% - 强调文字颜色 2 23 2 3" xfId="555"/>
    <cellStyle name="40% - 强调文字颜色 2 23 3" xfId="561"/>
    <cellStyle name="40% - 强调文字颜色 2 23 4" xfId="568"/>
    <cellStyle name="40% - 强调文字颜色 2 24" xfId="574"/>
    <cellStyle name="40% - 强调文字颜色 2 24 2" xfId="580"/>
    <cellStyle name="40% - 强调文字颜色 2 24 2 2" xfId="594"/>
    <cellStyle name="40% - 强调文字颜色 2 24 2 3" xfId="601"/>
    <cellStyle name="40% - 强调文字颜色 2 24 3" xfId="606"/>
    <cellStyle name="40% - 强调文字颜色 2 24 4" xfId="611"/>
    <cellStyle name="40% - 强调文字颜色 2 25" xfId="617"/>
    <cellStyle name="40% - 强调文字颜色 2 25 2" xfId="624"/>
    <cellStyle name="40% - 强调文字颜色 2 25 2 2" xfId="632"/>
    <cellStyle name="40% - 强调文字颜色 2 25 2 3" xfId="638"/>
    <cellStyle name="40% - 强调文字颜色 2 25 3" xfId="642"/>
    <cellStyle name="40% - 强调文字颜色 2 25 4" xfId="646"/>
    <cellStyle name="40% - 强调文字颜色 2 26" xfId="664"/>
    <cellStyle name="40% - 强调文字颜色 2 26 2" xfId="670"/>
    <cellStyle name="40% - 强调文字颜色 2 26 2 2" xfId="680"/>
    <cellStyle name="40% - 强调文字颜色 2 26 2 3" xfId="685"/>
    <cellStyle name="40% - 强调文字颜色 2 26 3" xfId="688"/>
    <cellStyle name="40% - 强调文字颜色 2 26 4" xfId="691"/>
    <cellStyle name="40% - 强调文字颜色 2 27" xfId="700"/>
    <cellStyle name="40% - 强调文字颜色 2 27 2" xfId="706"/>
    <cellStyle name="40% - 强调文字颜色 2 27 2 2" xfId="715"/>
    <cellStyle name="40% - 强调文字颜色 2 27 2 3" xfId="721"/>
    <cellStyle name="40% - 强调文字颜色 2 27 3" xfId="729"/>
    <cellStyle name="40% - 强调文字颜色 2 27 4" xfId="734"/>
    <cellStyle name="40% - 强调文字颜色 2 28" xfId="743"/>
    <cellStyle name="40% - 强调文字颜色 2 28 2" xfId="749"/>
    <cellStyle name="40% - 强调文字颜色 2 28 2 2" xfId="757"/>
    <cellStyle name="40% - 强调文字颜色 2 28 2 3" xfId="763"/>
    <cellStyle name="40% - 强调文字颜色 2 28 3" xfId="767"/>
    <cellStyle name="40% - 强调文字颜色 2 28 4" xfId="770"/>
    <cellStyle name="40% - 强调文字颜色 2 29" xfId="775"/>
    <cellStyle name="40% - 强调文字颜色 2 29 2" xfId="781"/>
    <cellStyle name="40% - 强调文字颜色 2 29 3" xfId="282"/>
    <cellStyle name="40% - 强调文字颜色 2 3" xfId="2969"/>
    <cellStyle name="40% - 强调文字颜色 2 3 2" xfId="1614"/>
    <cellStyle name="40% - 强调文字颜色 2 3 3" xfId="2974"/>
    <cellStyle name="40% - 强调文字颜色 2 30" xfId="618"/>
    <cellStyle name="40% - 强调文字颜色 2 30 2" xfId="625"/>
    <cellStyle name="40% - 强调文字颜色 2 31" xfId="665"/>
    <cellStyle name="40% - 强调文字颜色 2 31 2" xfId="671"/>
    <cellStyle name="40% - 强调文字颜色 2 32" xfId="701"/>
    <cellStyle name="40% - 强调文字颜色 2 32 2" xfId="707"/>
    <cellStyle name="40% - 强调文字颜色 2 33" xfId="744"/>
    <cellStyle name="40% - 强调文字颜色 2 33 2" xfId="750"/>
    <cellStyle name="40% - 强调文字颜色 2 34" xfId="776"/>
    <cellStyle name="40% - 强调文字颜色 2 34 2" xfId="782"/>
    <cellStyle name="40% - 强调文字颜色 2 35" xfId="796"/>
    <cellStyle name="40% - 强调文字颜色 2 36" xfId="820"/>
    <cellStyle name="40% - 强调文字颜色 2 37" xfId="825"/>
    <cellStyle name="40% - 强调文字颜色 2 4" xfId="2979"/>
    <cellStyle name="40% - 强调文字颜色 2 4 2" xfId="2982"/>
    <cellStyle name="40% - 强调文字颜色 2 4 3" xfId="2983"/>
    <cellStyle name="40% - 强调文字颜色 2 5" xfId="2986"/>
    <cellStyle name="40% - 强调文字颜色 2 5 2" xfId="2989"/>
    <cellStyle name="40% - 强调文字颜色 2 5 3" xfId="135"/>
    <cellStyle name="40% - 强调文字颜色 2 6" xfId="2990"/>
    <cellStyle name="40% - 强调文字颜色 2 6 2" xfId="268"/>
    <cellStyle name="40% - 强调文字颜色 2 6 3" xfId="2992"/>
    <cellStyle name="40% - 强调文字颜色 2 7" xfId="2993"/>
    <cellStyle name="40% - 强调文字颜色 2 7 2" xfId="2994"/>
    <cellStyle name="40% - 强调文字颜色 2 7 3" xfId="2996"/>
    <cellStyle name="40% - 强调文字颜色 2 8" xfId="2999"/>
    <cellStyle name="40% - 强调文字颜色 2 8 2" xfId="2038"/>
    <cellStyle name="40% - 强调文字颜色 2 8 3" xfId="3002"/>
    <cellStyle name="40% - 强调文字颜色 2 9" xfId="3003"/>
    <cellStyle name="40% - 强调文字颜色 2 9 2" xfId="3005"/>
    <cellStyle name="40% - 强调文字颜色 2 9 2 2" xfId="3007"/>
    <cellStyle name="40% - 强调文字颜色 2 9 2 3" xfId="3008"/>
    <cellStyle name="40% - 强调文字颜色 2 9 3" xfId="3011"/>
    <cellStyle name="40% - 强调文字颜色 2 9 4" xfId="3014"/>
    <cellStyle name="40% - 强调文字颜色 3" xfId="45"/>
    <cellStyle name="40% - 强调文字颜色 3 10" xfId="3016"/>
    <cellStyle name="40% - 强调文字颜色 3 10 2" xfId="3019"/>
    <cellStyle name="40% - 强调文字颜色 3 10 2 2" xfId="3021"/>
    <cellStyle name="40% - 强调文字颜色 3 10 2 3" xfId="3025"/>
    <cellStyle name="40% - 强调文字颜色 3 10 3" xfId="3027"/>
    <cellStyle name="40% - 强调文字颜色 3 10 4" xfId="3029"/>
    <cellStyle name="40% - 强调文字颜色 3 11" xfId="880"/>
    <cellStyle name="40% - 强调文字颜色 3 11 2" xfId="884"/>
    <cellStyle name="40% - 强调文字颜色 3 11 2 2" xfId="830"/>
    <cellStyle name="40% - 强调文字颜色 3 11 2 3" xfId="890"/>
    <cellStyle name="40% - 强调文字颜色 3 11 3" xfId="893"/>
    <cellStyle name="40% - 强调文字颜色 3 11 4" xfId="896"/>
    <cellStyle name="40% - 强调文字颜色 3 12" xfId="901"/>
    <cellStyle name="40% - 强调文字颜色 3 12 2" xfId="908"/>
    <cellStyle name="40% - 强调文字颜色 3 12 2 2" xfId="922"/>
    <cellStyle name="40% - 强调文字颜色 3 12 2 3" xfId="936"/>
    <cellStyle name="40% - 强调文字颜色 3 12 3" xfId="942"/>
    <cellStyle name="40% - 强调文字颜色 3 12 4" xfId="947"/>
    <cellStyle name="40% - 强调文字颜色 3 13" xfId="952"/>
    <cellStyle name="40% - 强调文字颜色 3 13 2" xfId="955"/>
    <cellStyle name="40% - 强调文字颜色 3 13 2 2" xfId="958"/>
    <cellStyle name="40% - 强调文字颜色 3 13 2 3" xfId="963"/>
    <cellStyle name="40% - 强调文字颜色 3 13 3" xfId="966"/>
    <cellStyle name="40% - 强调文字颜色 3 13 4" xfId="970"/>
    <cellStyle name="40% - 强调文字颜色 3 14" xfId="976"/>
    <cellStyle name="40% - 强调文字颜色 3 14 2" xfId="980"/>
    <cellStyle name="40% - 强调文字颜色 3 14 2 2" xfId="984"/>
    <cellStyle name="40% - 强调文字颜色 3 14 2 3" xfId="990"/>
    <cellStyle name="40% - 强调文字颜色 3 14 3" xfId="994"/>
    <cellStyle name="40% - 强调文字颜色 3 14 4" xfId="998"/>
    <cellStyle name="40% - 强调文字颜色 3 15" xfId="1004"/>
    <cellStyle name="40% - 强调文字颜色 3 15 2" xfId="1009"/>
    <cellStyle name="40% - 强调文字颜色 3 15 2 2" xfId="1026"/>
    <cellStyle name="40% - 强调文字颜色 3 15 2 3" xfId="1030"/>
    <cellStyle name="40% - 强调文字颜色 3 15 3" xfId="1035"/>
    <cellStyle name="40% - 强调文字颜色 3 15 4" xfId="259"/>
    <cellStyle name="40% - 强调文字颜色 3 16" xfId="917"/>
    <cellStyle name="40% - 强调文字颜色 3 16 2" xfId="1042"/>
    <cellStyle name="40% - 强调文字颜色 3 16 2 2" xfId="1048"/>
    <cellStyle name="40% - 强调文字颜色 3 16 2 3" xfId="1054"/>
    <cellStyle name="40% - 强调文字颜色 3 16 3" xfId="1059"/>
    <cellStyle name="40% - 强调文字颜色 3 16 4" xfId="1069"/>
    <cellStyle name="40% - 强调文字颜色 3 17" xfId="928"/>
    <cellStyle name="40% - 强调文字颜色 3 17 2" xfId="18"/>
    <cellStyle name="40% - 强调文字颜色 3 17 2 2" xfId="1075"/>
    <cellStyle name="40% - 强调文字颜色 3 17 2 3" xfId="1081"/>
    <cellStyle name="40% - 强调文字颜色 3 17 3" xfId="1087"/>
    <cellStyle name="40% - 强调文字颜色 3 17 4" xfId="1096"/>
    <cellStyle name="40% - 强调文字颜色 3 18" xfId="1102"/>
    <cellStyle name="40% - 强调文字颜色 3 18 2" xfId="1109"/>
    <cellStyle name="40% - 强调文字颜色 3 18 2 2" xfId="1116"/>
    <cellStyle name="40% - 强调文字颜色 3 18 2 3" xfId="834"/>
    <cellStyle name="40% - 强调文字颜色 3 18 3" xfId="1122"/>
    <cellStyle name="40% - 强调文字颜色 3 18 4" xfId="1130"/>
    <cellStyle name="40% - 强调文字颜色 3 19" xfId="1137"/>
    <cellStyle name="40% - 强调文字颜色 3 19 2" xfId="1144"/>
    <cellStyle name="40% - 强调文字颜色 3 19 2 2" xfId="1152"/>
    <cellStyle name="40% - 强调文字颜色 3 19 2 3" xfId="100"/>
    <cellStyle name="40% - 强调文字颜色 3 19 3" xfId="1158"/>
    <cellStyle name="40% - 强调文字颜色 3 19 4" xfId="1165"/>
    <cellStyle name="40% - 强调文字颜色 3 2" xfId="3033"/>
    <cellStyle name="40% - 强调文字颜色 3 2 2" xfId="3037"/>
    <cellStyle name="40% - 强调文字颜色 3 2 3" xfId="3040"/>
    <cellStyle name="40% - 强调文字颜色 3 2 4" xfId="3042"/>
    <cellStyle name="40% - 强调文字颜色 3 20" xfId="1005"/>
    <cellStyle name="40% - 强调文字颜色 3 20 2" xfId="1010"/>
    <cellStyle name="40% - 强调文字颜色 3 20 2 2" xfId="1025"/>
    <cellStyle name="40% - 强调文字颜色 3 20 2 3" xfId="1031"/>
    <cellStyle name="40% - 强调文字颜色 3 20 3" xfId="1036"/>
    <cellStyle name="40% - 强调文字颜色 3 20 4" xfId="258"/>
    <cellStyle name="40% - 强调文字颜色 3 21" xfId="918"/>
    <cellStyle name="40% - 强调文字颜色 3 21 2" xfId="1043"/>
    <cellStyle name="40% - 强调文字颜色 3 21 2 2" xfId="1049"/>
    <cellStyle name="40% - 强调文字颜色 3 21 2 3" xfId="1055"/>
    <cellStyle name="40% - 强调文字颜色 3 21 3" xfId="1058"/>
    <cellStyle name="40% - 强调文字颜色 3 21 4" xfId="1068"/>
    <cellStyle name="40% - 强调文字颜色 3 22" xfId="929"/>
    <cellStyle name="40% - 强调文字颜色 3 22 2" xfId="19"/>
    <cellStyle name="40% - 强调文字颜色 3 22 2 2" xfId="1074"/>
    <cellStyle name="40% - 强调文字颜色 3 22 2 3" xfId="1080"/>
    <cellStyle name="40% - 强调文字颜色 3 22 3" xfId="1086"/>
    <cellStyle name="40% - 强调文字颜色 3 22 4" xfId="1095"/>
    <cellStyle name="40% - 强调文字颜色 3 23" xfId="1101"/>
    <cellStyle name="40% - 强调文字颜色 3 23 2" xfId="1108"/>
    <cellStyle name="40% - 强调文字颜色 3 23 2 2" xfId="1115"/>
    <cellStyle name="40% - 强调文字颜色 3 23 2 3" xfId="835"/>
    <cellStyle name="40% - 强调文字颜色 3 23 3" xfId="1121"/>
    <cellStyle name="40% - 强调文字颜色 3 23 4" xfId="1129"/>
    <cellStyle name="40% - 强调文字颜色 3 24" xfId="1136"/>
    <cellStyle name="40% - 强调文字颜色 3 24 2" xfId="1143"/>
    <cellStyle name="40% - 强调文字颜色 3 24 2 2" xfId="1151"/>
    <cellStyle name="40% - 强调文字颜色 3 24 2 3" xfId="99"/>
    <cellStyle name="40% - 强调文字颜色 3 24 3" xfId="1157"/>
    <cellStyle name="40% - 强调文字颜色 3 24 4" xfId="1164"/>
    <cellStyle name="40% - 强调文字颜色 3 25" xfId="1170"/>
    <cellStyle name="40% - 强调文字颜色 3 25 2" xfId="1177"/>
    <cellStyle name="40% - 强调文字颜色 3 25 2 2" xfId="656"/>
    <cellStyle name="40% - 强调文字颜色 3 25 2 3" xfId="694"/>
    <cellStyle name="40% - 强调文字颜色 3 25 3" xfId="1182"/>
    <cellStyle name="40% - 强调文字颜色 3 25 4" xfId="1188"/>
    <cellStyle name="40% - 强调文字颜色 3 26" xfId="158"/>
    <cellStyle name="40% - 强调文字颜色 3 26 2" xfId="1196"/>
    <cellStyle name="40% - 强调文字颜色 3 26 2 2" xfId="1202"/>
    <cellStyle name="40% - 强调文字颜色 3 26 2 3" xfId="8"/>
    <cellStyle name="40% - 强调文字颜色 3 26 3" xfId="1206"/>
    <cellStyle name="40% - 强调文字颜色 3 26 4" xfId="1210"/>
    <cellStyle name="40% - 强调文字颜色 3 27" xfId="127"/>
    <cellStyle name="40% - 强调文字颜色 3 27 2" xfId="301"/>
    <cellStyle name="40% - 强调文字颜色 3 27 2 2" xfId="310"/>
    <cellStyle name="40% - 强调文字颜色 3 27 2 3" xfId="329"/>
    <cellStyle name="40% - 强调文字颜色 3 27 3" xfId="339"/>
    <cellStyle name="40% - 强调文字颜色 3 27 4" xfId="388"/>
    <cellStyle name="40% - 强调文字颜色 3 28" xfId="184"/>
    <cellStyle name="40% - 强调文字颜色 3 28 2" xfId="1215"/>
    <cellStyle name="40% - 强调文字颜色 3 28 2 2" xfId="1222"/>
    <cellStyle name="40% - 强调文字颜色 3 28 2 3" xfId="1226"/>
    <cellStyle name="40% - 强调文字颜色 3 28 3" xfId="1228"/>
    <cellStyle name="40% - 强调文字颜色 3 28 4" xfId="1232"/>
    <cellStyle name="40% - 强调文字颜色 3 29" xfId="198"/>
    <cellStyle name="40% - 强调文字颜色 3 29 2" xfId="1237"/>
    <cellStyle name="40% - 强调文字颜色 3 29 3" xfId="1240"/>
    <cellStyle name="40% - 强调文字颜色 3 3" xfId="3045"/>
    <cellStyle name="40% - 强调文字颜色 3 3 2" xfId="3050"/>
    <cellStyle name="40% - 强调文字颜色 3 3 3" xfId="3055"/>
    <cellStyle name="40% - 强调文字颜色 3 30" xfId="1169"/>
    <cellStyle name="40% - 强调文字颜色 3 30 2" xfId="1176"/>
    <cellStyle name="40% - 强调文字颜色 3 31" xfId="157"/>
    <cellStyle name="40% - 强调文字颜色 3 31 2" xfId="1195"/>
    <cellStyle name="40% - 强调文字颜色 3 32" xfId="126"/>
    <cellStyle name="40% - 强调文字颜色 3 32 2" xfId="300"/>
    <cellStyle name="40% - 强调文字颜色 3 33" xfId="183"/>
    <cellStyle name="40% - 强调文字颜色 3 33 2" xfId="1214"/>
    <cellStyle name="40% - 强调文字颜色 3 34" xfId="197"/>
    <cellStyle name="40% - 强调文字颜色 3 34 2" xfId="1236"/>
    <cellStyle name="40% - 强调文字颜色 3 35" xfId="227"/>
    <cellStyle name="40% - 强调文字颜色 3 36" xfId="240"/>
    <cellStyle name="40% - 强调文字颜色 3 37" xfId="1250"/>
    <cellStyle name="40% - 强调文字颜色 3 4" xfId="3060"/>
    <cellStyle name="40% - 强调文字颜色 3 4 2" xfId="3063"/>
    <cellStyle name="40% - 强调文字颜色 3 4 3" xfId="3064"/>
    <cellStyle name="40% - 强调文字颜色 3 5" xfId="3067"/>
    <cellStyle name="40% - 强调文字颜色 3 5 2" xfId="3070"/>
    <cellStyle name="40% - 强调文字颜色 3 5 3" xfId="38"/>
    <cellStyle name="40% - 强调文字颜色 3 6" xfId="3071"/>
    <cellStyle name="40% - 强调文字颜色 3 6 2" xfId="325"/>
    <cellStyle name="40% - 强调文字颜色 3 6 3" xfId="3072"/>
    <cellStyle name="40% - 强调文字颜色 3 7" xfId="3073"/>
    <cellStyle name="40% - 强调文字颜色 3 7 2" xfId="3074"/>
    <cellStyle name="40% - 强调文字颜色 3 7 3" xfId="3075"/>
    <cellStyle name="40% - 强调文字颜色 3 8" xfId="3078"/>
    <cellStyle name="40% - 强调文字颜色 3 8 2" xfId="3080"/>
    <cellStyle name="40% - 强调文字颜色 3 8 3" xfId="3082"/>
    <cellStyle name="40% - 强调文字颜色 3 9" xfId="3083"/>
    <cellStyle name="40% - 强调文字颜色 3 9 2" xfId="3085"/>
    <cellStyle name="40% - 强调文字颜色 3 9 2 2" xfId="3086"/>
    <cellStyle name="40% - 强调文字颜色 3 9 2 3" xfId="3087"/>
    <cellStyle name="40% - 强调文字颜色 3 9 3" xfId="3088"/>
    <cellStyle name="40% - 强调文字颜色 3 9 4" xfId="2381"/>
    <cellStyle name="40% - 强调文字颜色 4" xfId="219"/>
    <cellStyle name="40% - 强调文字颜色 4 10" xfId="3090"/>
    <cellStyle name="40% - 强调文字颜色 4 10 2" xfId="3095"/>
    <cellStyle name="40% - 强调文字颜色 4 10 2 2" xfId="2921"/>
    <cellStyle name="40% - 强调文字颜色 4 10 2 3" xfId="2762"/>
    <cellStyle name="40% - 强调文字颜色 4 10 3" xfId="3099"/>
    <cellStyle name="40% - 强调文字颜色 4 10 4" xfId="3103"/>
    <cellStyle name="40% - 强调文字颜色 4 11" xfId="1280"/>
    <cellStyle name="40% - 强调文字颜色 4 11 2" xfId="1284"/>
    <cellStyle name="40% - 强调文字颜色 4 11 2 2" xfId="133"/>
    <cellStyle name="40% - 强调文字颜色 4 11 2 3" xfId="1292"/>
    <cellStyle name="40% - 强调文字颜色 4 11 3" xfId="1299"/>
    <cellStyle name="40% - 强调文字颜色 4 11 4" xfId="1305"/>
    <cellStyle name="40% - 强调文字颜色 4 12" xfId="1313"/>
    <cellStyle name="40% - 强调文字颜色 4 12 2" xfId="1316"/>
    <cellStyle name="40% - 强调文字颜色 4 12 2 2" xfId="40"/>
    <cellStyle name="40% - 强调文字颜色 4 12 2 3" xfId="1319"/>
    <cellStyle name="40% - 强调文字颜色 4 12 3" xfId="139"/>
    <cellStyle name="40% - 强调文字颜色 4 12 4" xfId="1289"/>
    <cellStyle name="40% - 强调文字颜色 4 13" xfId="1325"/>
    <cellStyle name="40% - 强调文字颜色 4 13 2" xfId="271"/>
    <cellStyle name="40% - 强调文字颜色 4 13 2 2" xfId="1333"/>
    <cellStyle name="40% - 强调文字颜色 4 13 2 3" xfId="1337"/>
    <cellStyle name="40% - 强调文字颜色 4 13 3" xfId="1343"/>
    <cellStyle name="40% - 强调文字颜色 4 13 4" xfId="1348"/>
    <cellStyle name="40% - 强调文字颜色 4 14" xfId="1351"/>
    <cellStyle name="40% - 强调文字颜色 4 14 2" xfId="1355"/>
    <cellStyle name="40% - 强调文字颜色 4 14 2 2" xfId="1359"/>
    <cellStyle name="40% - 强调文字颜色 4 14 2 3" xfId="1364"/>
    <cellStyle name="40% - 强调文字颜色 4 14 3" xfId="1371"/>
    <cellStyle name="40% - 强调文字颜色 4 14 4" xfId="1377"/>
    <cellStyle name="40% - 强调文字颜色 4 15" xfId="1382"/>
    <cellStyle name="40% - 强调文字颜色 4 15 2" xfId="1388"/>
    <cellStyle name="40% - 强调文字颜色 4 15 2 2" xfId="1407"/>
    <cellStyle name="40% - 强调文字颜色 4 15 2 3" xfId="1423"/>
    <cellStyle name="40% - 强调文字颜色 4 15 3" xfId="1434"/>
    <cellStyle name="40% - 强调文字颜色 4 15 4" xfId="495"/>
    <cellStyle name="40% - 强调文字颜色 4 16" xfId="1443"/>
    <cellStyle name="40% - 强调文字颜色 4 16 2" xfId="1449"/>
    <cellStyle name="40% - 强调文字颜色 4 16 2 2" xfId="1456"/>
    <cellStyle name="40% - 强调文字颜色 4 16 2 3" xfId="852"/>
    <cellStyle name="40% - 强调文字颜色 4 16 3" xfId="1462"/>
    <cellStyle name="40% - 强调文字颜色 4 16 4" xfId="1471"/>
    <cellStyle name="40% - 强调文字颜色 4 17" xfId="1478"/>
    <cellStyle name="40% - 强调文字颜色 4 17 2" xfId="1486"/>
    <cellStyle name="40% - 强调文字颜色 4 17 2 2" xfId="1269"/>
    <cellStyle name="40% - 强调文字颜色 4 17 2 3" xfId="1261"/>
    <cellStyle name="40% - 强调文字颜色 4 17 3" xfId="1494"/>
    <cellStyle name="40% - 强调文字颜色 4 17 4" xfId="1504"/>
    <cellStyle name="40% - 强调文字颜色 4 18" xfId="1510"/>
    <cellStyle name="40% - 强调文字颜色 4 18 2" xfId="1518"/>
    <cellStyle name="40% - 强调文字颜色 4 18 2 2" xfId="1524"/>
    <cellStyle name="40% - 强调文字颜色 4 18 2 3" xfId="1530"/>
    <cellStyle name="40% - 强调文字颜色 4 18 3" xfId="1536"/>
    <cellStyle name="40% - 强调文字颜色 4 18 4" xfId="1014"/>
    <cellStyle name="40% - 强调文字颜色 4 19" xfId="1397"/>
    <cellStyle name="40% - 强调文字颜色 4 19 2" xfId="1542"/>
    <cellStyle name="40% - 强调文字颜色 4 19 2 2" xfId="212"/>
    <cellStyle name="40% - 强调文字颜色 4 19 2 3" xfId="148"/>
    <cellStyle name="40% - 强调文字颜色 4 19 3" xfId="166"/>
    <cellStyle name="40% - 强调文字颜色 4 19 4" xfId="175"/>
    <cellStyle name="40% - 强调文字颜色 4 2" xfId="3107"/>
    <cellStyle name="40% - 强调文字颜色 4 2 2" xfId="3110"/>
    <cellStyle name="40% - 强调文字颜色 4 2 3" xfId="3111"/>
    <cellStyle name="40% - 强调文字颜色 4 20" xfId="1381"/>
    <cellStyle name="40% - 强调文字颜色 4 20 2" xfId="1387"/>
    <cellStyle name="40% - 强调文字颜色 4 20 2 2" xfId="1406"/>
    <cellStyle name="40% - 强调文字颜色 4 20 2 3" xfId="1422"/>
    <cellStyle name="40% - 强调文字颜色 4 20 3" xfId="1433"/>
    <cellStyle name="40% - 强调文字颜色 4 20 4" xfId="494"/>
    <cellStyle name="40% - 强调文字颜色 4 21" xfId="1442"/>
    <cellStyle name="40% - 强调文字颜色 4 21 2" xfId="1448"/>
    <cellStyle name="40% - 强调文字颜色 4 21 2 2" xfId="1455"/>
    <cellStyle name="40% - 强调文字颜色 4 21 2 3" xfId="853"/>
    <cellStyle name="40% - 强调文字颜色 4 21 3" xfId="1461"/>
    <cellStyle name="40% - 强调文字颜色 4 21 4" xfId="1470"/>
    <cellStyle name="40% - 强调文字颜色 4 22" xfId="1477"/>
    <cellStyle name="40% - 强调文字颜色 4 22 2" xfId="1485"/>
    <cellStyle name="40% - 强调文字颜色 4 22 2 2" xfId="1268"/>
    <cellStyle name="40% - 强调文字颜色 4 22 2 3" xfId="1260"/>
    <cellStyle name="40% - 强调文字颜色 4 22 3" xfId="1493"/>
    <cellStyle name="40% - 强调文字颜色 4 22 4" xfId="1503"/>
    <cellStyle name="40% - 强调文字颜色 4 23" xfId="1509"/>
    <cellStyle name="40% - 强调文字颜色 4 23 2" xfId="1517"/>
    <cellStyle name="40% - 强调文字颜色 4 23 2 2" xfId="1523"/>
    <cellStyle name="40% - 强调文字颜色 4 23 2 3" xfId="1529"/>
    <cellStyle name="40% - 强调文字颜色 4 23 3" xfId="1535"/>
    <cellStyle name="40% - 强调文字颜色 4 23 4" xfId="1015"/>
    <cellStyle name="40% - 强调文字颜色 4 24" xfId="1396"/>
    <cellStyle name="40% - 强调文字颜色 4 24 2" xfId="1541"/>
    <cellStyle name="40% - 强调文字颜色 4 24 2 2" xfId="211"/>
    <cellStyle name="40% - 强调文字颜色 4 24 2 3" xfId="147"/>
    <cellStyle name="40% - 强调文字颜色 4 24 3" xfId="165"/>
    <cellStyle name="40% - 强调文字颜色 4 24 4" xfId="174"/>
    <cellStyle name="40% - 强调文字颜色 4 25" xfId="1417"/>
    <cellStyle name="40% - 强调文字颜色 4 25 2" xfId="429"/>
    <cellStyle name="40% - 强调文字颜色 4 25 2 2" xfId="440"/>
    <cellStyle name="40% - 强调文字颜色 4 25 2 3" xfId="452"/>
    <cellStyle name="40% - 强调文字颜色 4 25 3" xfId="468"/>
    <cellStyle name="40% - 强调文字颜色 4 25 4" xfId="529"/>
    <cellStyle name="40% - 强调文字颜色 4 26" xfId="1554"/>
    <cellStyle name="40% - 强调文字颜色 4 26 2" xfId="1560"/>
    <cellStyle name="40% - 强调文字颜色 4 26 2 2" xfId="875"/>
    <cellStyle name="40% - 强调文字颜色 4 26 2 3" xfId="1566"/>
    <cellStyle name="40% - 强调文字颜色 4 26 3" xfId="1569"/>
    <cellStyle name="40% - 强调文字颜色 4 26 4" xfId="1330"/>
    <cellStyle name="40% - 强调文字颜色 4 27" xfId="31"/>
    <cellStyle name="40% - 强调文字颜色 4 27 2" xfId="352"/>
    <cellStyle name="40% - 强调文字颜色 4 27 2 2" xfId="807"/>
    <cellStyle name="40% - 强调文字颜色 4 27 2 3" xfId="1572"/>
    <cellStyle name="40% - 强调文字颜色 4 27 3" xfId="361"/>
    <cellStyle name="40% - 强调文字颜色 4 27 4" xfId="1576"/>
    <cellStyle name="40% - 强调文字颜色 4 28" xfId="371"/>
    <cellStyle name="40% - 强调文字颜色 4 28 2" xfId="1583"/>
    <cellStyle name="40% - 强调文字颜色 4 28 2 2" xfId="205"/>
    <cellStyle name="40% - 强调文字颜色 4 28 2 3" xfId="232"/>
    <cellStyle name="40% - 强调文字颜色 4 28 3" xfId="1589"/>
    <cellStyle name="40% - 强调文字颜色 4 28 4" xfId="1595"/>
    <cellStyle name="40% - 强调文字颜色 4 29" xfId="382"/>
    <cellStyle name="40% - 强调文字颜色 4 29 2" xfId="1599"/>
    <cellStyle name="40% - 强调文字颜色 4 29 3" xfId="1602"/>
    <cellStyle name="40% - 强调文字颜色 4 3" xfId="3114"/>
    <cellStyle name="40% - 强调文字颜色 4 3 2" xfId="3124"/>
    <cellStyle name="40% - 强调文字颜色 4 3 3" xfId="3128"/>
    <cellStyle name="40% - 强调文字颜色 4 30" xfId="1416"/>
    <cellStyle name="40% - 强调文字颜色 4 30 2" xfId="428"/>
    <cellStyle name="40% - 强调文字颜色 4 31" xfId="1553"/>
    <cellStyle name="40% - 强调文字颜色 4 31 2" xfId="1559"/>
    <cellStyle name="40% - 强调文字颜色 4 32" xfId="30"/>
    <cellStyle name="40% - 强调文字颜色 4 32 2" xfId="351"/>
    <cellStyle name="40% - 强调文字颜色 4 33" xfId="370"/>
    <cellStyle name="40% - 强调文字颜色 4 33 2" xfId="1582"/>
    <cellStyle name="40% - 强调文字颜色 4 34" xfId="381"/>
    <cellStyle name="40% - 强调文字颜色 4 34 2" xfId="1598"/>
    <cellStyle name="40% - 强调文字颜色 4 35" xfId="904"/>
    <cellStyle name="40% - 强调文字颜色 4 36" xfId="939"/>
    <cellStyle name="40% - 强调文字颜色 4 37" xfId="944"/>
    <cellStyle name="40% - 强调文字颜色 4 4" xfId="3132"/>
    <cellStyle name="40% - 强调文字颜色 4 4 2" xfId="3137"/>
    <cellStyle name="40% - 强调文字颜色 4 4 3" xfId="3138"/>
    <cellStyle name="40% - 强调文字颜色 4 5" xfId="3140"/>
    <cellStyle name="40% - 强调文字颜色 4 5 2" xfId="3143"/>
    <cellStyle name="40% - 强调文字颜色 4 5 3" xfId="1335"/>
    <cellStyle name="40% - 强调文字颜色 4 6" xfId="3144"/>
    <cellStyle name="40% - 强调文字颜色 4 6 2" xfId="357"/>
    <cellStyle name="40% - 强调文字颜色 4 6 3" xfId="3145"/>
    <cellStyle name="40% - 强调文字颜色 4 7" xfId="3146"/>
    <cellStyle name="40% - 强调文字颜色 4 7 2" xfId="3147"/>
    <cellStyle name="40% - 强调文字颜色 4 7 3" xfId="3148"/>
    <cellStyle name="40% - 强调文字颜色 4 8" xfId="3151"/>
    <cellStyle name="40% - 强调文字颜色 4 8 2" xfId="3155"/>
    <cellStyle name="40% - 强调文字颜色 4 8 3" xfId="3156"/>
    <cellStyle name="40% - 强调文字颜色 4 9" xfId="3157"/>
    <cellStyle name="40% - 强调文字颜色 4 9 2" xfId="3158"/>
    <cellStyle name="40% - 强调文字颜色 4 9 2 2" xfId="3159"/>
    <cellStyle name="40% - 强调文字颜色 4 9 2 3" xfId="3162"/>
    <cellStyle name="40% - 强调文字颜色 4 9 3" xfId="3163"/>
    <cellStyle name="40% - 强调文字颜色 4 9 4" xfId="3164"/>
    <cellStyle name="40% - 强调文字颜色 5" xfId="233"/>
    <cellStyle name="40% - 强调文字颜色 5 10" xfId="3166"/>
    <cellStyle name="40% - 强调文字颜色 5 10 2" xfId="3168"/>
    <cellStyle name="40% - 强调文字颜色 5 10 2 2" xfId="1621"/>
    <cellStyle name="40% - 强调文字颜色 5 10 2 3" xfId="548"/>
    <cellStyle name="40% - 强调文字颜色 5 10 3" xfId="3170"/>
    <cellStyle name="40% - 强调文字颜色 5 10 4" xfId="3174"/>
    <cellStyle name="40% - 强调文字颜色 5 11" xfId="1657"/>
    <cellStyle name="40% - 强调文字颜色 5 11 2" xfId="1660"/>
    <cellStyle name="40% - 强调文字颜色 5 11 2 2" xfId="1664"/>
    <cellStyle name="40% - 强调文字颜色 5 11 2 3" xfId="595"/>
    <cellStyle name="40% - 强调文字颜色 5 11 3" xfId="1667"/>
    <cellStyle name="40% - 强调文字颜色 5 11 4" xfId="1672"/>
    <cellStyle name="40% - 强调文字颜色 5 12" xfId="1675"/>
    <cellStyle name="40% - 强调文字颜色 5 12 2" xfId="1678"/>
    <cellStyle name="40% - 强调文字颜色 5 12 2 2" xfId="1681"/>
    <cellStyle name="40% - 强调文字颜色 5 12 2 3" xfId="633"/>
    <cellStyle name="40% - 强调文字颜色 5 12 3" xfId="60"/>
    <cellStyle name="40% - 强调文字颜色 5 12 4" xfId="1686"/>
    <cellStyle name="40% - 强调文字颜色 5 13" xfId="1689"/>
    <cellStyle name="40% - 强调文字颜色 5 13 2" xfId="1692"/>
    <cellStyle name="40% - 强调文字颜色 5 13 2 2" xfId="1695"/>
    <cellStyle name="40% - 强调文字颜色 5 13 2 3" xfId="681"/>
    <cellStyle name="40% - 强调文字颜色 5 13 3" xfId="1698"/>
    <cellStyle name="40% - 强调文字颜色 5 13 4" xfId="1703"/>
    <cellStyle name="40% - 强调文字颜色 5 14" xfId="1706"/>
    <cellStyle name="40% - 强调文字颜色 5 14 2" xfId="1710"/>
    <cellStyle name="40% - 强调文字颜色 5 14 2 2" xfId="1714"/>
    <cellStyle name="40% - 强调文字颜色 5 14 2 3" xfId="716"/>
    <cellStyle name="40% - 强调文字颜色 5 14 3" xfId="1718"/>
    <cellStyle name="40% - 强调文字颜色 5 14 4" xfId="1724"/>
    <cellStyle name="40% - 强调文字颜色 5 15" xfId="1729"/>
    <cellStyle name="40% - 强调文字颜色 5 15 2" xfId="1734"/>
    <cellStyle name="40% - 强调文字颜色 5 15 2 2" xfId="1741"/>
    <cellStyle name="40% - 强调文字颜色 5 15 2 3" xfId="758"/>
    <cellStyle name="40% - 强调文字颜色 5 15 3" xfId="1746"/>
    <cellStyle name="40% - 强调文字颜色 5 15 4" xfId="1753"/>
    <cellStyle name="40% - 强调文字颜色 5 16" xfId="1759"/>
    <cellStyle name="40% - 强调文字颜色 5 16 2" xfId="1765"/>
    <cellStyle name="40% - 强调文字颜色 5 16 2 2" xfId="1771"/>
    <cellStyle name="40% - 强调文字颜色 5 16 2 3" xfId="788"/>
    <cellStyle name="40% - 强调文字颜色 5 16 3" xfId="1777"/>
    <cellStyle name="40% - 强调文字颜色 5 16 4" xfId="1787"/>
    <cellStyle name="40% - 强调文字颜色 5 17" xfId="111"/>
    <cellStyle name="40% - 强调文字颜色 5 17 2" xfId="1795"/>
    <cellStyle name="40% - 强调文字颜色 5 17 2 2" xfId="814"/>
    <cellStyle name="40% - 强调文字颜色 5 17 2 3" xfId="1804"/>
    <cellStyle name="40% - 强调文字颜色 5 17 3" xfId="1810"/>
    <cellStyle name="40% - 强调文字颜色 5 17 4" xfId="1819"/>
    <cellStyle name="40% - 强调文字颜色 5 18" xfId="1825"/>
    <cellStyle name="40% - 强调文字颜色 5 18 2" xfId="1832"/>
    <cellStyle name="40% - 强调文字颜色 5 18 2 2" xfId="585"/>
    <cellStyle name="40% - 强调文字颜色 5 18 2 3" xfId="1838"/>
    <cellStyle name="40% - 强调文字颜色 5 18 3" xfId="1844"/>
    <cellStyle name="40% - 强调文字颜色 5 18 4" xfId="1852"/>
    <cellStyle name="40% - 强调文字颜色 5 19" xfId="1858"/>
    <cellStyle name="40% - 强调文字颜色 5 19 2" xfId="1868"/>
    <cellStyle name="40% - 强调文字颜色 5 19 2 2" xfId="1611"/>
    <cellStyle name="40% - 强调文字颜色 5 19 2 3" xfId="1874"/>
    <cellStyle name="40% - 强调文字颜色 5 19 3" xfId="1882"/>
    <cellStyle name="40% - 强调文字颜色 5 19 4" xfId="1891"/>
    <cellStyle name="40% - 强调文字颜色 5 2" xfId="3175"/>
    <cellStyle name="40% - 强调文字颜色 5 2 2" xfId="3177"/>
    <cellStyle name="40% - 强调文字颜色 5 2 3" xfId="3178"/>
    <cellStyle name="40% - 强调文字颜色 5 20" xfId="1728"/>
    <cellStyle name="40% - 强调文字颜色 5 20 2" xfId="1733"/>
    <cellStyle name="40% - 强调文字颜色 5 20 2 2" xfId="1740"/>
    <cellStyle name="40% - 强调文字颜色 5 20 2 3" xfId="759"/>
    <cellStyle name="40% - 强调文字颜色 5 20 3" xfId="1745"/>
    <cellStyle name="40% - 强调文字颜色 5 20 4" xfId="1752"/>
    <cellStyle name="40% - 强调文字颜色 5 21" xfId="1758"/>
    <cellStyle name="40% - 强调文字颜色 5 21 2" xfId="1764"/>
    <cellStyle name="40% - 强调文字颜色 5 21 2 2" xfId="1770"/>
    <cellStyle name="40% - 强调文字颜色 5 21 2 3" xfId="789"/>
    <cellStyle name="40% - 强调文字颜色 5 21 3" xfId="1776"/>
    <cellStyle name="40% - 强调文字颜色 5 21 4" xfId="1786"/>
    <cellStyle name="40% - 强调文字颜色 5 22" xfId="112"/>
    <cellStyle name="40% - 强调文字颜色 5 22 2" xfId="1794"/>
    <cellStyle name="40% - 强调文字颜色 5 22 2 2" xfId="815"/>
    <cellStyle name="40% - 强调文字颜色 5 22 2 3" xfId="1803"/>
    <cellStyle name="40% - 强调文字颜色 5 22 3" xfId="1809"/>
    <cellStyle name="40% - 强调文字颜色 5 22 4" xfId="1818"/>
    <cellStyle name="40% - 强调文字颜色 5 23" xfId="1824"/>
    <cellStyle name="40% - 强调文字颜色 5 23 2" xfId="1831"/>
    <cellStyle name="40% - 强调文字颜色 5 23 2 2" xfId="586"/>
    <cellStyle name="40% - 强调文字颜色 5 23 2 3" xfId="1837"/>
    <cellStyle name="40% - 强调文字颜色 5 23 3" xfId="1843"/>
    <cellStyle name="40% - 强调文字颜色 5 23 4" xfId="1851"/>
    <cellStyle name="40% - 强调文字颜色 5 24" xfId="1857"/>
    <cellStyle name="40% - 强调文字颜色 5 24 2" xfId="1867"/>
    <cellStyle name="40% - 强调文字颜色 5 24 2 2" xfId="1610"/>
    <cellStyle name="40% - 强调文字颜色 5 24 2 3" xfId="1873"/>
    <cellStyle name="40% - 强调文字颜色 5 24 3" xfId="1881"/>
    <cellStyle name="40% - 强调文字颜色 5 24 4" xfId="1890"/>
    <cellStyle name="40% - 强调文字颜色 5 25" xfId="1896"/>
    <cellStyle name="40% - 强调文字颜色 5 25 2" xfId="1902"/>
    <cellStyle name="40% - 强调文字颜色 5 25 2 2" xfId="1908"/>
    <cellStyle name="40% - 强调文字颜色 5 25 2 3" xfId="1913"/>
    <cellStyle name="40% - 强调文字颜色 5 25 3" xfId="1917"/>
    <cellStyle name="40% - 强调文字颜色 5 25 4" xfId="1924"/>
    <cellStyle name="40% - 强调文字颜色 5 26" xfId="1931"/>
    <cellStyle name="40% - 强调文字颜色 5 26 2" xfId="1937"/>
    <cellStyle name="40% - 强调文字颜色 5 26 2 2" xfId="1942"/>
    <cellStyle name="40% - 强调文字颜色 5 26 2 3" xfId="1946"/>
    <cellStyle name="40% - 强调文字颜色 5 26 3" xfId="1949"/>
    <cellStyle name="40% - 强调文字颜色 5 26 4" xfId="1953"/>
    <cellStyle name="40% - 强调文字颜色 5 27" xfId="1958"/>
    <cellStyle name="40% - 强调文字颜色 5 27 2" xfId="1964"/>
    <cellStyle name="40% - 强调文字颜色 5 27 2 2" xfId="1969"/>
    <cellStyle name="40% - 强调文字颜色 5 27 2 3" xfId="1973"/>
    <cellStyle name="40% - 强调文字颜色 5 27 3" xfId="1976"/>
    <cellStyle name="40% - 强调文字颜色 5 27 4" xfId="1980"/>
    <cellStyle name="40% - 强调文字颜色 5 28" xfId="1986"/>
    <cellStyle name="40% - 强调文字颜色 5 28 2" xfId="1992"/>
    <cellStyle name="40% - 强调文字颜色 5 28 2 2" xfId="1996"/>
    <cellStyle name="40% - 强调文字颜色 5 28 2 3" xfId="1999"/>
    <cellStyle name="40% - 强调文字颜色 5 28 3" xfId="2001"/>
    <cellStyle name="40% - 强调文字颜色 5 28 4" xfId="2005"/>
    <cellStyle name="40% - 强调文字颜色 5 29" xfId="2010"/>
    <cellStyle name="40% - 强调文字颜色 5 29 2" xfId="2015"/>
    <cellStyle name="40% - 强调文字颜色 5 29 3" xfId="2020"/>
    <cellStyle name="40% - 强调文字颜色 5 3" xfId="3181"/>
    <cellStyle name="40% - 强调文字颜色 5 3 2" xfId="3186"/>
    <cellStyle name="40% - 强调文字颜色 5 3 3" xfId="3189"/>
    <cellStyle name="40% - 强调文字颜色 5 30" xfId="1895"/>
    <cellStyle name="40% - 强调文字颜色 5 30 2" xfId="1901"/>
    <cellStyle name="40% - 强调文字颜色 5 31" xfId="1930"/>
    <cellStyle name="40% - 强调文字颜色 5 31 2" xfId="1936"/>
    <cellStyle name="40% - 强调文字颜色 5 32" xfId="1957"/>
    <cellStyle name="40% - 强调文字颜色 5 32 2" xfId="1963"/>
    <cellStyle name="40% - 强调文字颜色 5 33" xfId="1985"/>
    <cellStyle name="40% - 强调文字颜色 5 33 2" xfId="1991"/>
    <cellStyle name="40% - 强调文字颜色 5 34" xfId="2009"/>
    <cellStyle name="40% - 强调文字颜色 5 34 2" xfId="2014"/>
    <cellStyle name="40% - 强调文字颜色 5 35" xfId="2024"/>
    <cellStyle name="40% - 强调文字颜色 5 36" xfId="2033"/>
    <cellStyle name="40% - 强调文字颜色 5 37" xfId="2037"/>
    <cellStyle name="40% - 强调文字颜色 5 4" xfId="3192"/>
    <cellStyle name="40% - 强调文字颜色 5 4 2" xfId="3194"/>
    <cellStyle name="40% - 强调文字颜色 5 4 3" xfId="3195"/>
    <cellStyle name="40% - 强调文字颜色 5 5" xfId="3197"/>
    <cellStyle name="40% - 强调文字颜色 5 5 2" xfId="3199"/>
    <cellStyle name="40% - 强调文字颜色 5 5 3" xfId="1362"/>
    <cellStyle name="40% - 强调文字颜色 5 6" xfId="3200"/>
    <cellStyle name="40% - 强调文字颜色 5 6 2" xfId="408"/>
    <cellStyle name="40% - 强调文字颜色 5 6 3" xfId="3202"/>
    <cellStyle name="40% - 强调文字颜色 5 7" xfId="3203"/>
    <cellStyle name="40% - 强调文字颜色 5 7 2" xfId="3205"/>
    <cellStyle name="40% - 强调文字颜色 5 7 3" xfId="3206"/>
    <cellStyle name="40% - 强调文字颜色 5 8" xfId="3209"/>
    <cellStyle name="40% - 强调文字颜色 5 8 2" xfId="3211"/>
    <cellStyle name="40% - 强调文字颜色 5 8 3" xfId="3213"/>
    <cellStyle name="40% - 强调文字颜色 5 9" xfId="3214"/>
    <cellStyle name="40% - 强调文字颜色 5 9 2" xfId="3216"/>
    <cellStyle name="40% - 强调文字颜色 5 9 2 2" xfId="3217"/>
    <cellStyle name="40% - 强调文字颜色 5 9 2 3" xfId="3218"/>
    <cellStyle name="40% - 强调文字颜色 5 9 3" xfId="3219"/>
    <cellStyle name="40% - 强调文字颜色 5 9 4" xfId="3220"/>
    <cellStyle name="40% - 强调文字颜色 6" xfId="242"/>
    <cellStyle name="40% - 强调文字颜色 6 10" xfId="3221"/>
    <cellStyle name="40% - 强调文字颜色 6 10 2" xfId="3222"/>
    <cellStyle name="40% - 强调文字颜色 6 10 2 2" xfId="3223"/>
    <cellStyle name="40% - 强调文字颜色 6 10 2 3" xfId="1114"/>
    <cellStyle name="40% - 强调文字颜色 6 10 3" xfId="3224"/>
    <cellStyle name="40% - 强调文字颜色 6 10 4" xfId="3228"/>
    <cellStyle name="40% - 强调文字颜色 6 11" xfId="2066"/>
    <cellStyle name="40% - 强调文字颜色 6 11 2" xfId="2068"/>
    <cellStyle name="40% - 强调文字颜色 6 11 2 2" xfId="2070"/>
    <cellStyle name="40% - 强调文字颜色 6 11 2 3" xfId="1150"/>
    <cellStyle name="40% - 强调文字颜色 6 11 3" xfId="2073"/>
    <cellStyle name="40% - 强调文字颜色 6 11 4" xfId="2077"/>
    <cellStyle name="40% - 强调文字颜色 6 12" xfId="2079"/>
    <cellStyle name="40% - 强调文字颜色 6 12 2" xfId="2081"/>
    <cellStyle name="40% - 强调文字颜色 6 12 2 2" xfId="2082"/>
    <cellStyle name="40% - 强调文字颜色 6 12 2 3" xfId="657"/>
    <cellStyle name="40% - 强调文字颜色 6 12 3" xfId="2084"/>
    <cellStyle name="40% - 强调文字颜色 6 12 4" xfId="2087"/>
    <cellStyle name="40% - 强调文字颜色 6 13" xfId="2092"/>
    <cellStyle name="40% - 强调文字颜色 6 13 2" xfId="2094"/>
    <cellStyle name="40% - 强调文字颜色 6 13 2 2" xfId="2096"/>
    <cellStyle name="40% - 强调文字颜色 6 13 2 3" xfId="1201"/>
    <cellStyle name="40% - 强调文字颜色 6 13 3" xfId="2098"/>
    <cellStyle name="40% - 强调文字颜色 6 13 4" xfId="2100"/>
    <cellStyle name="40% - 强调文字颜色 6 14" xfId="2104"/>
    <cellStyle name="40% - 强调文字颜色 6 14 2" xfId="2106"/>
    <cellStyle name="40% - 强调文字颜色 6 14 2 2" xfId="2110"/>
    <cellStyle name="40% - 强调文字颜色 6 14 2 3" xfId="309"/>
    <cellStyle name="40% - 强调文字颜色 6 14 3" xfId="2114"/>
    <cellStyle name="40% - 强调文字颜色 6 14 4" xfId="2116"/>
    <cellStyle name="40% - 强调文字颜色 6 15" xfId="144"/>
    <cellStyle name="40% - 强调文字颜色 6 15 2" xfId="2120"/>
    <cellStyle name="40% - 强调文字颜色 6 15 2 2" xfId="2123"/>
    <cellStyle name="40% - 强调文字颜色 6 15 2 3" xfId="1221"/>
    <cellStyle name="40% - 强调文字颜色 6 15 3" xfId="2126"/>
    <cellStyle name="40% - 强调文字颜色 6 15 4" xfId="2129"/>
    <cellStyle name="40% - 强调文字颜色 6 16" xfId="2135"/>
    <cellStyle name="40% - 强调文字颜色 6 16 2" xfId="2139"/>
    <cellStyle name="40% - 强调文字颜色 6 16 2 2" xfId="2143"/>
    <cellStyle name="40% - 强调文字颜色 6 16 2 3" xfId="723"/>
    <cellStyle name="40% - 强调文字颜色 6 16 3" xfId="2147"/>
    <cellStyle name="40% - 强调文字颜色 6 16 4" xfId="2151"/>
    <cellStyle name="40% - 强调文字颜色 6 17" xfId="2161"/>
    <cellStyle name="40% - 强调文字颜色 6 17 2" xfId="2167"/>
    <cellStyle name="40% - 强调文字颜色 6 17 2 2" xfId="2171"/>
    <cellStyle name="40% - 强调文字颜色 6 17 2 3" xfId="2176"/>
    <cellStyle name="40% - 强调文字颜色 6 17 3" xfId="2180"/>
    <cellStyle name="40% - 强调文字颜色 6 17 4" xfId="2184"/>
    <cellStyle name="40% - 强调文字颜色 6 18" xfId="2190"/>
    <cellStyle name="40% - 强调文字颜色 6 18 2" xfId="2194"/>
    <cellStyle name="40% - 强调文字颜色 6 18 2 2" xfId="2198"/>
    <cellStyle name="40% - 强调文字颜色 6 18 2 3" xfId="2202"/>
    <cellStyle name="40% - 强调文字颜色 6 18 3" xfId="2206"/>
    <cellStyle name="40% - 强调文字颜色 6 18 4" xfId="2210"/>
    <cellStyle name="40% - 强调文字颜色 6 19" xfId="2216"/>
    <cellStyle name="40% - 强调文字颜色 6 19 2" xfId="2220"/>
    <cellStyle name="40% - 强调文字颜色 6 19 2 2" xfId="422"/>
    <cellStyle name="40% - 强调文字颜色 6 19 2 3" xfId="2224"/>
    <cellStyle name="40% - 强调文字颜色 6 19 3" xfId="2228"/>
    <cellStyle name="40% - 强调文字颜色 6 19 4" xfId="2232"/>
    <cellStyle name="40% - 强调文字颜色 6 2" xfId="3229"/>
    <cellStyle name="40% - 强调文字颜色 6 2 2" xfId="3233"/>
    <cellStyle name="40% - 强调文字颜色 6 2 3" xfId="2646"/>
    <cellStyle name="40% - 强调文字颜色 6 2 4" xfId="2655"/>
    <cellStyle name="40% - 强调文字颜色 6 20" xfId="143"/>
    <cellStyle name="40% - 强调文字颜色 6 20 2" xfId="2121"/>
    <cellStyle name="40% - 强调文字颜色 6 20 2 2" xfId="2124"/>
    <cellStyle name="40% - 强调文字颜色 6 20 2 3" xfId="1220"/>
    <cellStyle name="40% - 强调文字颜色 6 20 3" xfId="2127"/>
    <cellStyle name="40% - 强调文字颜色 6 20 4" xfId="2130"/>
    <cellStyle name="40% - 强调文字颜色 6 21" xfId="2136"/>
    <cellStyle name="40% - 强调文字颜色 6 21 2" xfId="2140"/>
    <cellStyle name="40% - 强调文字颜色 6 21 2 2" xfId="2144"/>
    <cellStyle name="40% - 强调文字颜色 6 21 2 3" xfId="724"/>
    <cellStyle name="40% - 强调文字颜色 6 21 3" xfId="2148"/>
    <cellStyle name="40% - 强调文字颜色 6 21 4" xfId="2152"/>
    <cellStyle name="40% - 强调文字颜色 6 22" xfId="2162"/>
    <cellStyle name="40% - 强调文字颜色 6 22 2" xfId="2168"/>
    <cellStyle name="40% - 强调文字颜色 6 22 2 2" xfId="2172"/>
    <cellStyle name="40% - 强调文字颜色 6 22 2 3" xfId="2177"/>
    <cellStyle name="40% - 强调文字颜色 6 22 3" xfId="2181"/>
    <cellStyle name="40% - 强调文字颜色 6 22 4" xfId="2185"/>
    <cellStyle name="40% - 强调文字颜色 6 23" xfId="2191"/>
    <cellStyle name="40% - 强调文字颜色 6 23 2" xfId="2195"/>
    <cellStyle name="40% - 强调文字颜色 6 23 2 2" xfId="2199"/>
    <cellStyle name="40% - 强调文字颜色 6 23 2 3" xfId="2203"/>
    <cellStyle name="40% - 强调文字颜色 6 23 3" xfId="2207"/>
    <cellStyle name="40% - 强调文字颜色 6 23 4" xfId="2211"/>
    <cellStyle name="40% - 强调文字颜色 6 24" xfId="2217"/>
    <cellStyle name="40% - 强调文字颜色 6 24 2" xfId="2221"/>
    <cellStyle name="40% - 强调文字颜色 6 24 2 2" xfId="421"/>
    <cellStyle name="40% - 强调文字颜色 6 24 2 3" xfId="2225"/>
    <cellStyle name="40% - 强调文字颜色 6 24 3" xfId="2229"/>
    <cellStyle name="40% - 强调文字颜色 6 24 4" xfId="2233"/>
    <cellStyle name="40% - 强调文字颜色 6 25" xfId="2240"/>
    <cellStyle name="40% - 强调文字颜色 6 25 2" xfId="2244"/>
    <cellStyle name="40% - 强调文字颜色 6 25 2 2" xfId="2248"/>
    <cellStyle name="40% - 强调文字颜色 6 25 2 3" xfId="2252"/>
    <cellStyle name="40% - 强调文字颜色 6 25 3" xfId="2256"/>
    <cellStyle name="40% - 强调文字颜色 6 25 4" xfId="2259"/>
    <cellStyle name="40% - 强调文字颜色 6 26" xfId="2274"/>
    <cellStyle name="40% - 强调文字颜色 6 26 2" xfId="123"/>
    <cellStyle name="40% - 强调文字颜色 6 26 2 2" xfId="2278"/>
    <cellStyle name="40% - 强调文字颜色 6 26 2 3" xfId="2280"/>
    <cellStyle name="40% - 强调文字颜色 6 26 3" xfId="180"/>
    <cellStyle name="40% - 强调文字颜色 6 26 4" xfId="194"/>
    <cellStyle name="40% - 强调文字颜色 6 27" xfId="2283"/>
    <cellStyle name="40% - 强调文字颜色 6 27 2" xfId="2287"/>
    <cellStyle name="40% - 强调文字颜色 6 27 2 2" xfId="2291"/>
    <cellStyle name="40% - 强调文字颜色 6 27 2 3" xfId="2294"/>
    <cellStyle name="40% - 强调文字颜色 6 27 3" xfId="2296"/>
    <cellStyle name="40% - 强调文字颜色 6 27 4" xfId="2298"/>
    <cellStyle name="40% - 强调文字颜色 6 28" xfId="2301"/>
    <cellStyle name="40% - 强调文字颜色 6 28 2" xfId="2305"/>
    <cellStyle name="40% - 强调文字颜色 6 28 2 2" xfId="2309"/>
    <cellStyle name="40% - 强调文字颜色 6 28 2 3" xfId="2312"/>
    <cellStyle name="40% - 强调文字颜色 6 28 3" xfId="2314"/>
    <cellStyle name="40% - 强调文字颜色 6 28 4" xfId="2316"/>
    <cellStyle name="40% - 强调文字颜色 6 29" xfId="2320"/>
    <cellStyle name="40% - 强调文字颜色 6 29 2" xfId="2324"/>
    <cellStyle name="40% - 强调文字颜色 6 29 3" xfId="2335"/>
    <cellStyle name="40% - 强调文字颜色 6 3" xfId="3238"/>
    <cellStyle name="40% - 强调文字颜色 6 3 2" xfId="3245"/>
    <cellStyle name="40% - 强调文字颜色 6 3 3" xfId="2665"/>
    <cellStyle name="40% - 强调文字颜色 6 30" xfId="2241"/>
    <cellStyle name="40% - 强调文字颜色 6 30 2" xfId="2245"/>
    <cellStyle name="40% - 强调文字颜色 6 31" xfId="2275"/>
    <cellStyle name="40% - 强调文字颜色 6 31 2" xfId="122"/>
    <cellStyle name="40% - 强调文字颜色 6 32" xfId="2284"/>
    <cellStyle name="40% - 强调文字颜色 6 32 2" xfId="2288"/>
    <cellStyle name="40% - 强调文字颜色 6 33" xfId="2302"/>
    <cellStyle name="40% - 强调文字颜色 6 33 2" xfId="2306"/>
    <cellStyle name="40% - 强调文字颜色 6 34" xfId="2321"/>
    <cellStyle name="40% - 强调文字颜色 6 34 2" xfId="2325"/>
    <cellStyle name="40% - 强调文字颜色 6 35" xfId="2343"/>
    <cellStyle name="40% - 强调文字颜色 6 36" xfId="2356"/>
    <cellStyle name="40% - 强调文字颜色 6 37" xfId="2358"/>
    <cellStyle name="40% - 强调文字颜色 6 4" xfId="3250"/>
    <cellStyle name="40% - 强调文字颜色 6 4 2" xfId="3255"/>
    <cellStyle name="40% - 强调文字颜色 6 4 3" xfId="2686"/>
    <cellStyle name="40% - 强调文字颜色 6 5" xfId="3259"/>
    <cellStyle name="40% - 强调文字颜色 6 5 2" xfId="3264"/>
    <cellStyle name="40% - 强调文字颜色 6 5 3" xfId="1413"/>
    <cellStyle name="40% - 强调文字颜色 6 6" xfId="3267"/>
    <cellStyle name="40% - 强调文字颜色 6 6 2" xfId="93"/>
    <cellStyle name="40% - 强调文字颜色 6 6 3" xfId="2722"/>
    <cellStyle name="40% - 强调文字颜色 6 7" xfId="3272"/>
    <cellStyle name="40% - 强调文字颜色 6 7 2" xfId="3276"/>
    <cellStyle name="40% - 强调文字颜色 6 7 3" xfId="2749"/>
    <cellStyle name="40% - 强调文字颜色 6 8" xfId="3279"/>
    <cellStyle name="40% - 强调文字颜色 6 8 2" xfId="3282"/>
    <cellStyle name="40% - 强调文字颜色 6 8 3" xfId="2785"/>
    <cellStyle name="40% - 强调文字颜色 6 9" xfId="3034"/>
    <cellStyle name="40% - 强调文字颜色 6 9 2" xfId="3285"/>
    <cellStyle name="40% - 强调文字颜色 6 9 2 2" xfId="3288"/>
    <cellStyle name="40% - 强调文字颜色 6 9 2 3" xfId="2071"/>
    <cellStyle name="40% - 强调文字颜色 6 9 3" xfId="2810"/>
    <cellStyle name="40% - 强调文字颜色 6 9 4" xfId="2817"/>
    <cellStyle name="60% - 强调文字颜色 1" xfId="83"/>
    <cellStyle name="60% - 强调文字颜色 1 10" xfId="3292"/>
    <cellStyle name="60% - 强调文字颜色 1 10 2" xfId="3293"/>
    <cellStyle name="60% - 强调文字颜色 1 10 2 2" xfId="2086"/>
    <cellStyle name="60% - 强调文字颜色 1 10 2 3" xfId="2091"/>
    <cellStyle name="60% - 强调文字颜色 1 10 3" xfId="3294"/>
    <cellStyle name="60% - 强调文字颜色 1 10 4" xfId="3295"/>
    <cellStyle name="60% - 强调文字颜色 1 11" xfId="3296"/>
    <cellStyle name="60% - 强调文字颜色 1 11 2" xfId="3297"/>
    <cellStyle name="60% - 强调文字颜色 1 11 2 2" xfId="3300"/>
    <cellStyle name="60% - 强调文字颜色 1 11 2 3" xfId="3307"/>
    <cellStyle name="60% - 强调文字颜色 1 11 3" xfId="3313"/>
    <cellStyle name="60% - 强调文字颜色 1 11 4" xfId="3316"/>
    <cellStyle name="60% - 强调文字颜色 1 12" xfId="3319"/>
    <cellStyle name="60% - 强调文字颜色 1 12 2" xfId="3320"/>
    <cellStyle name="60% - 强调文字颜色 1 12 2 2" xfId="3321"/>
    <cellStyle name="60% - 强调文字颜色 1 12 2 3" xfId="3322"/>
    <cellStyle name="60% - 强调文字颜色 1 12 3" xfId="3323"/>
    <cellStyle name="60% - 强调文字颜色 1 12 4" xfId="3324"/>
    <cellStyle name="60% - 强调文字颜色 1 13" xfId="3325"/>
    <cellStyle name="60% - 强调文字颜色 1 13 2" xfId="3326"/>
    <cellStyle name="60% - 强调文字颜色 1 13 2 2" xfId="3327"/>
    <cellStyle name="60% - 强调文字颜色 1 13 2 3" xfId="3328"/>
    <cellStyle name="60% - 强调文字颜色 1 13 3" xfId="3329"/>
    <cellStyle name="60% - 强调文字颜色 1 13 4" xfId="3330"/>
    <cellStyle name="60% - 强调文字颜色 1 14" xfId="3331"/>
    <cellStyle name="60% - 强调文字颜色 1 14 2" xfId="2800"/>
    <cellStyle name="60% - 强调文字颜色 1 14 2 2" xfId="3332"/>
    <cellStyle name="60% - 强调文字颜色 1 14 2 3" xfId="3333"/>
    <cellStyle name="60% - 强调文字颜色 1 14 3" xfId="3334"/>
    <cellStyle name="60% - 强调文字颜色 1 14 4" xfId="3335"/>
    <cellStyle name="60% - 强调文字颜色 1 15" xfId="3336"/>
    <cellStyle name="60% - 强调文字颜色 1 15 2" xfId="2887"/>
    <cellStyle name="60% - 强调文字颜色 1 15 2 2" xfId="2401"/>
    <cellStyle name="60% - 强调文字颜色 1 15 2 3" xfId="2405"/>
    <cellStyle name="60% - 强调文字颜色 1 15 3" xfId="3338"/>
    <cellStyle name="60% - 强调文字颜色 1 15 4" xfId="3340"/>
    <cellStyle name="60% - 强调文字颜色 1 16" xfId="3342"/>
    <cellStyle name="60% - 强调文字颜色 1 16 2" xfId="2907"/>
    <cellStyle name="60% - 强调文字颜色 1 16 2 2" xfId="3344"/>
    <cellStyle name="60% - 强调文字颜色 1 16 2 3" xfId="3346"/>
    <cellStyle name="60% - 强调文字颜色 1 16 3" xfId="3348"/>
    <cellStyle name="60% - 强调文字颜色 1 16 4" xfId="3353"/>
    <cellStyle name="60% - 强调文字颜色 1 17" xfId="3093"/>
    <cellStyle name="60% - 强调文字颜色 1 17 2" xfId="2919"/>
    <cellStyle name="60% - 强调文字颜色 1 17 2 2" xfId="3355"/>
    <cellStyle name="60% - 强调文字颜色 1 17 2 3" xfId="3357"/>
    <cellStyle name="60% - 强调文字颜色 1 17 3" xfId="2758"/>
    <cellStyle name="60% - 强调文字颜色 1 17 4" xfId="2765"/>
    <cellStyle name="60% - 强调文字颜色 1 18" xfId="3097"/>
    <cellStyle name="60% - 强调文字颜色 1 18 2" xfId="2923"/>
    <cellStyle name="60% - 强调文字颜色 1 18 2 2" xfId="3359"/>
    <cellStyle name="60% - 强调文字颜色 1 18 2 3" xfId="3362"/>
    <cellStyle name="60% - 强调文字颜色 1 18 3" xfId="3364"/>
    <cellStyle name="60% - 强调文字颜色 1 18 4" xfId="3366"/>
    <cellStyle name="60% - 强调文字颜色 1 19" xfId="3101"/>
    <cellStyle name="60% - 强调文字颜色 1 19 2" xfId="2928"/>
    <cellStyle name="60% - 强调文字颜色 1 19 2 2" xfId="3022"/>
    <cellStyle name="60% - 强调文字颜色 1 19 2 3" xfId="3369"/>
    <cellStyle name="60% - 强调文字颜色 1 19 3" xfId="3371"/>
    <cellStyle name="60% - 强调文字颜色 1 19 4" xfId="3373"/>
    <cellStyle name="60% - 强调文字颜色 1 2" xfId="3376"/>
    <cellStyle name="60% - 强调文字颜色 1 2 2" xfId="3378"/>
    <cellStyle name="60% - 强调文字颜色 1 2 3" xfId="3380"/>
    <cellStyle name="60% - 强调文字颜色 1 2 4" xfId="3382"/>
    <cellStyle name="60% - 强调文字颜色 1 20" xfId="3337"/>
    <cellStyle name="60% - 强调文字颜色 1 20 2" xfId="2888"/>
    <cellStyle name="60% - 强调文字颜色 1 20 2 2" xfId="2402"/>
    <cellStyle name="60% - 强调文字颜色 1 20 2 3" xfId="2406"/>
    <cellStyle name="60% - 强调文字颜色 1 20 3" xfId="3339"/>
    <cellStyle name="60% - 强调文字颜色 1 20 4" xfId="3341"/>
    <cellStyle name="60% - 强调文字颜色 1 21" xfId="3343"/>
    <cellStyle name="60% - 强调文字颜色 1 21 2" xfId="2908"/>
    <cellStyle name="60% - 强调文字颜色 1 21 2 2" xfId="3345"/>
    <cellStyle name="60% - 强调文字颜色 1 21 2 3" xfId="3347"/>
    <cellStyle name="60% - 强调文字颜色 1 21 3" xfId="3349"/>
    <cellStyle name="60% - 强调文字颜色 1 21 4" xfId="3354"/>
    <cellStyle name="60% - 强调文字颜色 1 22" xfId="3094"/>
    <cellStyle name="60% - 强调文字颜色 1 22 2" xfId="2920"/>
    <cellStyle name="60% - 强调文字颜色 1 22 2 2" xfId="3356"/>
    <cellStyle name="60% - 强调文字颜色 1 22 2 3" xfId="3358"/>
    <cellStyle name="60% - 强调文字颜色 1 22 3" xfId="2759"/>
    <cellStyle name="60% - 强调文字颜色 1 22 4" xfId="2766"/>
    <cellStyle name="60% - 强调文字颜色 1 23" xfId="3098"/>
    <cellStyle name="60% - 强调文字颜色 1 23 2" xfId="2924"/>
    <cellStyle name="60% - 强调文字颜色 1 23 2 2" xfId="3360"/>
    <cellStyle name="60% - 强调文字颜色 1 23 2 3" xfId="3363"/>
    <cellStyle name="60% - 强调文字颜色 1 23 3" xfId="3365"/>
    <cellStyle name="60% - 强调文字颜色 1 23 4" xfId="3367"/>
    <cellStyle name="60% - 强调文字颜色 1 24" xfId="3102"/>
    <cellStyle name="60% - 强调文字颜色 1 24 2" xfId="2929"/>
    <cellStyle name="60% - 强调文字颜色 1 24 2 2" xfId="3023"/>
    <cellStyle name="60% - 强调文字颜色 1 24 2 3" xfId="3370"/>
    <cellStyle name="60% - 强调文字颜色 1 24 3" xfId="3372"/>
    <cellStyle name="60% - 强调文字颜色 1 24 4" xfId="3374"/>
    <cellStyle name="60% - 强调文字颜色 1 25" xfId="3383"/>
    <cellStyle name="60% - 强调文字颜色 1 25 2" xfId="2936"/>
    <cellStyle name="60% - 强调文字颜色 1 25 2 2" xfId="887"/>
    <cellStyle name="60% - 强调文字颜色 1 25 2 3" xfId="2041"/>
    <cellStyle name="60% - 强调文字颜色 1 25 3" xfId="3386"/>
    <cellStyle name="60% - 强调文字颜色 1 25 4" xfId="3387"/>
    <cellStyle name="60% - 强调文字颜色 1 26" xfId="3388"/>
    <cellStyle name="60% - 强调文字颜色 1 26 2" xfId="2942"/>
    <cellStyle name="60% - 强调文字颜色 1 26 2 2" xfId="933"/>
    <cellStyle name="60% - 强调文字颜色 1 26 2 3" xfId="3390"/>
    <cellStyle name="60% - 强调文字颜色 1 26 3" xfId="2945"/>
    <cellStyle name="60% - 强调文字颜色 1 26 4" xfId="3391"/>
    <cellStyle name="60% - 强调文字颜色 1 27" xfId="3392"/>
    <cellStyle name="60% - 强调文字颜色 1 27 2" xfId="3394"/>
    <cellStyle name="60% - 强调文字颜色 1 27 2 2" xfId="960"/>
    <cellStyle name="60% - 强调文字颜色 1 27 2 3" xfId="3396"/>
    <cellStyle name="60% - 强调文字颜色 1 27 3" xfId="3397"/>
    <cellStyle name="60% - 强调文字颜色 1 27 4" xfId="3398"/>
    <cellStyle name="60% - 强调文字颜色 1 28" xfId="3399"/>
    <cellStyle name="60% - 强调文字颜色 1 28 2" xfId="3401"/>
    <cellStyle name="60% - 强调文字颜色 1 28 2 2" xfId="986"/>
    <cellStyle name="60% - 强调文字颜色 1 28 2 3" xfId="3403"/>
    <cellStyle name="60% - 强调文字颜色 1 28 3" xfId="3404"/>
    <cellStyle name="60% - 强调文字颜色 1 28 4" xfId="3405"/>
    <cellStyle name="60% - 强调文字颜色 1 29" xfId="3406"/>
    <cellStyle name="60% - 强调文字颜色 1 29 2" xfId="3409"/>
    <cellStyle name="60% - 强调文字颜色 1 29 3" xfId="3411"/>
    <cellStyle name="60% - 强调文字颜色 1 3" xfId="3413"/>
    <cellStyle name="60% - 强调文字颜色 1 3 2" xfId="3415"/>
    <cellStyle name="60% - 强调文字颜色 1 3 3" xfId="3419"/>
    <cellStyle name="60% - 强调文字颜色 1 30" xfId="3384"/>
    <cellStyle name="60% - 强调文字颜色 1 30 2" xfId="2937"/>
    <cellStyle name="60% - 强调文字颜色 1 30 2 2" xfId="888"/>
    <cellStyle name="60% - 强调文字颜色 1 31" xfId="3389"/>
    <cellStyle name="60% - 强调文字颜色 1 31 2" xfId="2943"/>
    <cellStyle name="60% - 强调文字颜色 1 31 2 2" xfId="934"/>
    <cellStyle name="60% - 强调文字颜色 1 32" xfId="3393"/>
    <cellStyle name="60% - 强调文字颜色 1 32 2" xfId="3395"/>
    <cellStyle name="60% - 强调文字颜色 1 32 2 2" xfId="961"/>
    <cellStyle name="60% - 强调文字颜色 1 33" xfId="3400"/>
    <cellStyle name="60% - 强调文字颜色 1 33 2" xfId="3402"/>
    <cellStyle name="60% - 强调文字颜色 1 33 2 2" xfId="987"/>
    <cellStyle name="60% - 强调文字颜色 1 34" xfId="3407"/>
    <cellStyle name="60% - 强调文字颜色 1 34 2" xfId="3410"/>
    <cellStyle name="60% - 强调文字颜色 1 34 2 2" xfId="1027"/>
    <cellStyle name="60% - 强调文字颜色 1 35" xfId="3423"/>
    <cellStyle name="60% - 强调文字颜色 1 35 2" xfId="3425"/>
    <cellStyle name="60% - 强调文字颜色 1 36" xfId="3426"/>
    <cellStyle name="60% - 强调文字颜色 1 36 2" xfId="3427"/>
    <cellStyle name="60% - 强调文字颜色 1 37" xfId="3428"/>
    <cellStyle name="60% - 强调文字颜色 1 37 2" xfId="322"/>
    <cellStyle name="60% - 强调文字颜色 1 4" xfId="3429"/>
    <cellStyle name="60% - 强调文字颜色 1 4 2" xfId="3430"/>
    <cellStyle name="60% - 强调文字颜色 1 4 3" xfId="3433"/>
    <cellStyle name="60% - 强调文字颜色 1 5" xfId="3434"/>
    <cellStyle name="60% - 强调文字颜色 1 5 2" xfId="3435"/>
    <cellStyle name="60% - 强调文字颜色 1 5 3" xfId="3436"/>
    <cellStyle name="60% - 强调文字颜色 1 6" xfId="3437"/>
    <cellStyle name="60% - 强调文字颜色 1 6 2" xfId="3438"/>
    <cellStyle name="60% - 强调文字颜色 1 6 3" xfId="3439"/>
    <cellStyle name="60% - 强调文字颜色 1 7" xfId="3440"/>
    <cellStyle name="60% - 强调文字颜色 1 7 2" xfId="3441"/>
    <cellStyle name="60% - 强调文字颜色 1 7 3" xfId="3442"/>
    <cellStyle name="60% - 强调文字颜色 1 8" xfId="3443"/>
    <cellStyle name="60% - 强调文字颜色 1 8 2" xfId="3444"/>
    <cellStyle name="60% - 强调文字颜色 1 8 3" xfId="3445"/>
    <cellStyle name="60% - 强调文字颜色 1 9" xfId="3446"/>
    <cellStyle name="60% - 强调文字颜色 1 9 2" xfId="3448"/>
    <cellStyle name="60% - 强调文字颜色 1 9 2 2" xfId="3449"/>
    <cellStyle name="60% - 强调文字颜色 1 9 2 3" xfId="3450"/>
    <cellStyle name="60% - 强调文字颜色 1 9 3" xfId="3451"/>
    <cellStyle name="60% - 强调文字颜色 1 9 4" xfId="3452"/>
    <cellStyle name="60% - 强调文字颜色 2" xfId="67"/>
    <cellStyle name="60% - 强调文字颜色 2 10" xfId="3453"/>
    <cellStyle name="60% - 强调文字颜色 2 10 2" xfId="3454"/>
    <cellStyle name="60% - 强调文字颜色 2 10 2 2" xfId="2339"/>
    <cellStyle name="60% - 强调文字颜色 2 10 2 3" xfId="3456"/>
    <cellStyle name="60% - 强调文字颜色 2 10 3" xfId="3460"/>
    <cellStyle name="60% - 强调文字颜色 2 10 4" xfId="3461"/>
    <cellStyle name="60% - 强调文字颜色 2 11" xfId="2600"/>
    <cellStyle name="60% - 强调文字颜色 2 11 2" xfId="2602"/>
    <cellStyle name="60% - 强调文字颜色 2 11 2 2" xfId="2605"/>
    <cellStyle name="60% - 强调文字颜色 2 11 2 3" xfId="2607"/>
    <cellStyle name="60% - 强调文字颜色 2 11 3" xfId="2609"/>
    <cellStyle name="60% - 强调文字颜色 2 11 4" xfId="2611"/>
    <cellStyle name="60% - 强调文字颜色 2 12" xfId="2613"/>
    <cellStyle name="60% - 强调文字颜色 2 12 2" xfId="2615"/>
    <cellStyle name="60% - 强调文字颜色 2 12 2 2" xfId="2621"/>
    <cellStyle name="60% - 强调文字颜色 2 12 2 3" xfId="2625"/>
    <cellStyle name="60% - 强调文字颜色 2 12 3" xfId="2627"/>
    <cellStyle name="60% - 强调文字颜色 2 12 4" xfId="2629"/>
    <cellStyle name="60% - 强调文字颜色 2 13" xfId="2631"/>
    <cellStyle name="60% - 强调文字颜色 2 13 2" xfId="2633"/>
    <cellStyle name="60% - 强调文字颜色 2 13 2 2" xfId="2637"/>
    <cellStyle name="60% - 强调文字颜色 2 13 2 3" xfId="2266"/>
    <cellStyle name="60% - 强调文字颜色 2 13 3" xfId="2639"/>
    <cellStyle name="60% - 强调文字颜色 2 13 4" xfId="2641"/>
    <cellStyle name="60% - 强调文字颜色 2 14" xfId="2643"/>
    <cellStyle name="60% - 强调文字颜色 2 14 2" xfId="2645"/>
    <cellStyle name="60% - 强调文字颜色 2 14 2 2" xfId="2650"/>
    <cellStyle name="60% - 强调文字颜色 2 14 2 3" xfId="2652"/>
    <cellStyle name="60% - 强调文字颜色 2 14 3" xfId="2654"/>
    <cellStyle name="60% - 强调文字颜色 2 14 4" xfId="2657"/>
    <cellStyle name="60% - 强调文字颜色 2 15" xfId="2659"/>
    <cellStyle name="60% - 强调文字颜色 2 15 2" xfId="2662"/>
    <cellStyle name="60% - 强调文字颜色 2 15 2 2" xfId="2557"/>
    <cellStyle name="60% - 强调文字颜色 2 15 2 3" xfId="2670"/>
    <cellStyle name="60% - 强调文字颜色 2 15 3" xfId="2674"/>
    <cellStyle name="60% - 强调文字颜色 2 15 4" xfId="2677"/>
    <cellStyle name="60% - 强调文字颜色 2 16" xfId="2680"/>
    <cellStyle name="60% - 强调文字颜色 2 16 2" xfId="2684"/>
    <cellStyle name="60% - 强调文字颜色 2 16 2 2" xfId="2692"/>
    <cellStyle name="60% - 强调文字颜色 2 16 2 3" xfId="2697"/>
    <cellStyle name="60% - 强调文字颜色 2 16 3" xfId="2701"/>
    <cellStyle name="60% - 强调文字颜色 2 16 4" xfId="2108"/>
    <cellStyle name="60% - 强调文字颜色 2 17" xfId="1390"/>
    <cellStyle name="60% - 强调文字颜色 2 17 2" xfId="1409"/>
    <cellStyle name="60% - 强调文字颜色 2 17 2 2" xfId="2707"/>
    <cellStyle name="60% - 强调文字颜色 2 17 2 3" xfId="2711"/>
    <cellStyle name="60% - 强调文字颜色 2 17 3" xfId="1426"/>
    <cellStyle name="60% - 强调文字颜色 2 17 4" xfId="2715"/>
    <cellStyle name="60% - 强调文字颜色 2 18" xfId="1436"/>
    <cellStyle name="60% - 强调文字颜色 2 18 2" xfId="2720"/>
    <cellStyle name="60% - 强调文字颜色 2 18 2 2" xfId="2728"/>
    <cellStyle name="60% - 强调文字颜色 2 18 2 3" xfId="2733"/>
    <cellStyle name="60% - 强调文字颜色 2 18 3" xfId="2737"/>
    <cellStyle name="60% - 强调文字颜色 2 18 4" xfId="2741"/>
    <cellStyle name="60% - 强调文字颜色 2 19" xfId="497"/>
    <cellStyle name="60% - 强调文字颜色 2 19 2" xfId="2747"/>
    <cellStyle name="60% - 强调文字颜色 2 19 2 2" xfId="2755"/>
    <cellStyle name="60% - 强调文字颜色 2 19 2 3" xfId="2763"/>
    <cellStyle name="60% - 强调文字颜色 2 19 3" xfId="2769"/>
    <cellStyle name="60% - 强调文字颜色 2 19 4" xfId="2773"/>
    <cellStyle name="60% - 强调文字颜色 2 2" xfId="3463"/>
    <cellStyle name="60% - 强调文字颜色 2 2 2" xfId="3465"/>
    <cellStyle name="60% - 强调文字颜色 2 2 3" xfId="3466"/>
    <cellStyle name="60% - 强调文字颜色 2 20" xfId="2660"/>
    <cellStyle name="60% - 强调文字颜色 2 20 2" xfId="2663"/>
    <cellStyle name="60% - 强调文字颜色 2 20 2 2" xfId="2558"/>
    <cellStyle name="60% - 强调文字颜色 2 20 2 3" xfId="2671"/>
    <cellStyle name="60% - 强调文字颜色 2 20 3" xfId="2675"/>
    <cellStyle name="60% - 强调文字颜色 2 20 4" xfId="2678"/>
    <cellStyle name="60% - 强调文字颜色 2 21" xfId="2681"/>
    <cellStyle name="60% - 强调文字颜色 2 21 2" xfId="2685"/>
    <cellStyle name="60% - 强调文字颜色 2 21 2 2" xfId="2693"/>
    <cellStyle name="60% - 强调文字颜色 2 21 2 3" xfId="2698"/>
    <cellStyle name="60% - 强调文字颜色 2 21 3" xfId="2702"/>
    <cellStyle name="60% - 强调文字颜色 2 21 4" xfId="2109"/>
    <cellStyle name="60% - 强调文字颜色 2 22" xfId="1389"/>
    <cellStyle name="60% - 强调文字颜色 2 22 2" xfId="1408"/>
    <cellStyle name="60% - 强调文字颜色 2 22 2 2" xfId="2708"/>
    <cellStyle name="60% - 强调文字颜色 2 22 2 3" xfId="2712"/>
    <cellStyle name="60% - 强调文字颜色 2 22 3" xfId="1425"/>
    <cellStyle name="60% - 强调文字颜色 2 22 4" xfId="2716"/>
    <cellStyle name="60% - 强调文字颜色 2 23" xfId="1435"/>
    <cellStyle name="60% - 强调文字颜色 2 23 2" xfId="2721"/>
    <cellStyle name="60% - 强调文字颜色 2 23 2 2" xfId="2729"/>
    <cellStyle name="60% - 强调文字颜色 2 23 2 3" xfId="2734"/>
    <cellStyle name="60% - 强调文字颜色 2 23 3" xfId="2738"/>
    <cellStyle name="60% - 强调文字颜色 2 23 4" xfId="2742"/>
    <cellStyle name="60% - 强调文字颜色 2 24" xfId="496"/>
    <cellStyle name="60% - 强调文字颜色 2 24 2" xfId="2748"/>
    <cellStyle name="60% - 强调文字颜色 2 24 2 2" xfId="2756"/>
    <cellStyle name="60% - 强调文字颜色 2 24 2 3" xfId="2764"/>
    <cellStyle name="60% - 强调文字颜色 2 24 3" xfId="2770"/>
    <cellStyle name="60% - 强调文字颜色 2 24 4" xfId="2774"/>
    <cellStyle name="60% - 强调文字颜色 2 25" xfId="2777"/>
    <cellStyle name="60% - 强调文字颜色 2 25 2" xfId="2783"/>
    <cellStyle name="60% - 强调文字颜色 2 25 2 2" xfId="1297"/>
    <cellStyle name="60% - 强调文字颜色 2 25 2 3" xfId="2789"/>
    <cellStyle name="60% - 强调文字颜色 2 25 3" xfId="2792"/>
    <cellStyle name="60% - 强调文字颜色 2 25 4" xfId="2795"/>
    <cellStyle name="60% - 强调文字颜色 2 26" xfId="2803"/>
    <cellStyle name="60% - 强调文字颜色 2 26 2" xfId="2808"/>
    <cellStyle name="60% - 强调文字颜色 2 26 2 2" xfId="1323"/>
    <cellStyle name="60% - 强调文字颜色 2 26 2 3" xfId="2814"/>
    <cellStyle name="60% - 强调文字颜色 2 26 3" xfId="2816"/>
    <cellStyle name="60% - 强调文字颜色 2 26 4" xfId="2819"/>
    <cellStyle name="60% - 强调文字颜色 2 27" xfId="2821"/>
    <cellStyle name="60% - 强调文字颜色 2 27 2" xfId="2828"/>
    <cellStyle name="60% - 强调文字颜色 2 27 2 2" xfId="1341"/>
    <cellStyle name="60% - 强调文字颜色 2 27 2 3" xfId="2832"/>
    <cellStyle name="60% - 强调文字颜色 2 27 3" xfId="2834"/>
    <cellStyle name="60% - 强调文字颜色 2 27 4" xfId="2836"/>
    <cellStyle name="60% - 强调文字颜色 2 28" xfId="2838"/>
    <cellStyle name="60% - 强调文字颜色 2 28 2" xfId="2843"/>
    <cellStyle name="60% - 强调文字颜色 2 28 2 2" xfId="1369"/>
    <cellStyle name="60% - 强调文字颜色 2 28 2 3" xfId="2847"/>
    <cellStyle name="60% - 强调文字颜色 2 28 3" xfId="2849"/>
    <cellStyle name="60% - 强调文字颜色 2 28 4" xfId="2851"/>
    <cellStyle name="60% - 强调文字颜色 2 29" xfId="2853"/>
    <cellStyle name="60% - 强调文字颜色 2 29 2" xfId="2857"/>
    <cellStyle name="60% - 强调文字颜色 2 29 3" xfId="2861"/>
    <cellStyle name="60% - 强调文字颜色 2 3" xfId="62"/>
    <cellStyle name="60% - 强调文字颜色 2 3 2" xfId="3467"/>
    <cellStyle name="60% - 强调文字颜色 2 3 3" xfId="3468"/>
    <cellStyle name="60% - 强调文字颜色 2 30" xfId="2778"/>
    <cellStyle name="60% - 强调文字颜色 2 30 2" xfId="2784"/>
    <cellStyle name="60% - 强调文字颜色 2 30 2 2" xfId="1296"/>
    <cellStyle name="60% - 强调文字颜色 2 31" xfId="2804"/>
    <cellStyle name="60% - 强调文字颜色 2 31 2" xfId="2809"/>
    <cellStyle name="60% - 强调文字颜色 2 31 2 2" xfId="1322"/>
    <cellStyle name="60% - 强调文字颜色 2 32" xfId="2822"/>
    <cellStyle name="60% - 强调文字颜色 2 32 2" xfId="2829"/>
    <cellStyle name="60% - 强调文字颜色 2 32 2 2" xfId="1340"/>
    <cellStyle name="60% - 强调文字颜色 2 33" xfId="2839"/>
    <cellStyle name="60% - 强调文字颜色 2 33 2" xfId="2844"/>
    <cellStyle name="60% - 强调文字颜色 2 33 2 2" xfId="1368"/>
    <cellStyle name="60% - 强调文字颜色 2 34" xfId="2854"/>
    <cellStyle name="60% - 强调文字颜色 2 34 2" xfId="2858"/>
    <cellStyle name="60% - 强调文字颜色 2 34 2 2" xfId="1430"/>
    <cellStyle name="60% - 强调文字颜色 2 35" xfId="2864"/>
    <cellStyle name="60% - 强调文字颜色 2 35 2" xfId="2871"/>
    <cellStyle name="60% - 强调文字颜色 2 36" xfId="2894"/>
    <cellStyle name="60% - 强调文字颜色 2 36 2" xfId="3469"/>
    <cellStyle name="60% - 强调文字颜色 2 37" xfId="2896"/>
    <cellStyle name="60% - 强调文字颜色 2 37 2" xfId="3470"/>
    <cellStyle name="60% - 强调文字颜色 2 4" xfId="3471"/>
    <cellStyle name="60% - 强调文字颜色 2 4 2" xfId="3472"/>
    <cellStyle name="60% - 强调文字颜色 2 4 3" xfId="3473"/>
    <cellStyle name="60% - 强调文字颜色 2 5" xfId="3474"/>
    <cellStyle name="60% - 强调文字颜色 2 5 2" xfId="3475"/>
    <cellStyle name="60% - 强调文字颜色 2 5 3" xfId="3476"/>
    <cellStyle name="60% - 强调文字颜色 2 6" xfId="3477"/>
    <cellStyle name="60% - 强调文字颜色 2 6 2" xfId="3478"/>
    <cellStyle name="60% - 强调文字颜色 2 6 3" xfId="3479"/>
    <cellStyle name="60% - 强调文字颜色 2 7" xfId="3480"/>
    <cellStyle name="60% - 强调文字颜色 2 7 2" xfId="3481"/>
    <cellStyle name="60% - 强调文字颜色 2 7 3" xfId="3482"/>
    <cellStyle name="60% - 强调文字颜色 2 8" xfId="3483"/>
    <cellStyle name="60% - 强调文字颜色 2 8 2" xfId="3408"/>
    <cellStyle name="60% - 强调文字颜色 2 8 3" xfId="3424"/>
    <cellStyle name="60% - 强调文字颜色 2 9" xfId="3484"/>
    <cellStyle name="60% - 强调文字颜色 2 9 2" xfId="3485"/>
    <cellStyle name="60% - 强调文字颜色 2 9 2 2" xfId="3486"/>
    <cellStyle name="60% - 强调文字颜色 2 9 2 3" xfId="3487"/>
    <cellStyle name="60% - 强调文字颜色 2 9 3" xfId="3488"/>
    <cellStyle name="60% - 强调文字颜色 2 9 4" xfId="3489"/>
    <cellStyle name="60% - 强调文字颜色 3" xfId="53"/>
    <cellStyle name="60% - 强调文字颜色 3 10" xfId="1643"/>
    <cellStyle name="60% - 强调文字颜色 3 10 2" xfId="1645"/>
    <cellStyle name="60% - 强调文字颜色 3 10 2 2" xfId="1647"/>
    <cellStyle name="60% - 强调文字颜色 3 10 2 3" xfId="1650"/>
    <cellStyle name="60% - 强调文字颜色 3 10 3" xfId="1654"/>
    <cellStyle name="60% - 强调文字颜色 3 10 4" xfId="208"/>
    <cellStyle name="60% - 强调文字颜色 3 11" xfId="2947"/>
    <cellStyle name="60% - 强调文字颜色 3 11 2" xfId="2951"/>
    <cellStyle name="60% - 强调文字颜色 3 11 2 2" xfId="2953"/>
    <cellStyle name="60% - 强调文字颜色 3 11 2 3" xfId="2955"/>
    <cellStyle name="60% - 强调文字颜色 3 11 3" xfId="2957"/>
    <cellStyle name="60% - 强调文字颜色 3 11 4" xfId="2961"/>
    <cellStyle name="60% - 强调文字颜色 3 12" xfId="279"/>
    <cellStyle name="60% - 强调文字颜色 3 12 2" xfId="285"/>
    <cellStyle name="60% - 强调文字颜色 3 12 2 2" xfId="288"/>
    <cellStyle name="60% - 强调文字颜色 3 12 2 3" xfId="11"/>
    <cellStyle name="60% - 强调文字颜色 3 12 3" xfId="293"/>
    <cellStyle name="60% - 强调文字颜色 3 12 4" xfId="253"/>
    <cellStyle name="60% - 强调文字颜色 3 13" xfId="56"/>
    <cellStyle name="60% - 强调文字颜色 3 13 2" xfId="247"/>
    <cellStyle name="60% - 强调文字颜色 3 13 2 2" xfId="256"/>
    <cellStyle name="60% - 强调文字颜色 3 13 2 3" xfId="269"/>
    <cellStyle name="60% - 强调文字颜色 3 13 3" xfId="297"/>
    <cellStyle name="60% - 强调文字颜色 3 13 4" xfId="76"/>
    <cellStyle name="60% - 强调文字颜色 3 14" xfId="306"/>
    <cellStyle name="60% - 强调文字颜色 3 14 2" xfId="314"/>
    <cellStyle name="60% - 强调文字颜色 3 14 2 2" xfId="320"/>
    <cellStyle name="60% - 强调文字颜色 3 14 2 3" xfId="326"/>
    <cellStyle name="60% - 强调文字颜色 3 14 3" xfId="334"/>
    <cellStyle name="60% - 强调文字颜色 3 14 4" xfId="337"/>
    <cellStyle name="60% - 强调文字颜色 3 15" xfId="344"/>
    <cellStyle name="60% - 强调文字颜色 3 15 2" xfId="26"/>
    <cellStyle name="60% - 强调文字颜色 3 15 2 2" xfId="348"/>
    <cellStyle name="60% - 强调文字颜色 3 15 2 3" xfId="359"/>
    <cellStyle name="60% - 强调文字颜色 3 15 3" xfId="367"/>
    <cellStyle name="60% - 强调文字颜色 3 15 4" xfId="378"/>
    <cellStyle name="60% - 强调文字颜色 3 16" xfId="394"/>
    <cellStyle name="60% - 强调文字颜色 3 16 2" xfId="399"/>
    <cellStyle name="60% - 强调文字颜色 3 16 2 2" xfId="404"/>
    <cellStyle name="60% - 强调文字颜色 3 16 2 3" xfId="410"/>
    <cellStyle name="60% - 强调文字颜色 3 16 3" xfId="416"/>
    <cellStyle name="60% - 强调文字颜色 3 16 4" xfId="425"/>
    <cellStyle name="60% - 强调文字颜色 3 17" xfId="431"/>
    <cellStyle name="60% - 强调文字颜色 3 17 2" xfId="442"/>
    <cellStyle name="60% - 强调文字颜色 3 17 2 2" xfId="46"/>
    <cellStyle name="60% - 强调文字颜色 3 17 2 3" xfId="95"/>
    <cellStyle name="60% - 强调文字颜色 3 17 3" xfId="454"/>
    <cellStyle name="60% - 强调文字颜色 3 17 4" xfId="465"/>
    <cellStyle name="60% - 强调文字颜色 3 18" xfId="470"/>
    <cellStyle name="60% - 强调文字颜色 3 18 2" xfId="481"/>
    <cellStyle name="60% - 强调文字颜色 3 18 2 2" xfId="489"/>
    <cellStyle name="60% - 强调文字颜色 3 18 2 3" xfId="502"/>
    <cellStyle name="60% - 强调文字颜色 3 18 3" xfId="513"/>
    <cellStyle name="60% - 强调文字颜色 3 18 4" xfId="514"/>
    <cellStyle name="60% - 强调文字颜色 3 19" xfId="527"/>
    <cellStyle name="60% - 强调文字颜色 3 19 2" xfId="535"/>
    <cellStyle name="60% - 强调文字颜色 3 19 2 2" xfId="543"/>
    <cellStyle name="60% - 强调文字颜色 3 19 2 3" xfId="552"/>
    <cellStyle name="60% - 强调文字颜色 3 19 3" xfId="558"/>
    <cellStyle name="60% - 强调文字颜色 3 19 4" xfId="565"/>
    <cellStyle name="60% - 强调文字颜色 3 2" xfId="3490"/>
    <cellStyle name="60% - 强调文字颜色 3 2 2" xfId="3491"/>
    <cellStyle name="60% - 强调文字颜色 3 2 3" xfId="3492"/>
    <cellStyle name="60% - 强调文字颜色 3 2 4" xfId="3493"/>
    <cellStyle name="60% - 强调文字颜色 3 20" xfId="343"/>
    <cellStyle name="60% - 强调文字颜色 3 20 2" xfId="27"/>
    <cellStyle name="60% - 强调文字颜色 3 20 2 2" xfId="347"/>
    <cellStyle name="60% - 强调文字颜色 3 20 2 3" xfId="358"/>
    <cellStyle name="60% - 强调文字颜色 3 20 3" xfId="366"/>
    <cellStyle name="60% - 强调文字颜色 3 20 4" xfId="377"/>
    <cellStyle name="60% - 强调文字颜色 3 21" xfId="393"/>
    <cellStyle name="60% - 强调文字颜色 3 21 2" xfId="398"/>
    <cellStyle name="60% - 强调文字颜色 3 21 2 2" xfId="403"/>
    <cellStyle name="60% - 强调文字颜色 3 21 2 3" xfId="409"/>
    <cellStyle name="60% - 强调文字颜色 3 21 3" xfId="415"/>
    <cellStyle name="60% - 强调文字颜色 3 21 4" xfId="424"/>
    <cellStyle name="60% - 强调文字颜色 3 22" xfId="430"/>
    <cellStyle name="60% - 强调文字颜色 3 22 2" xfId="441"/>
    <cellStyle name="60% - 强调文字颜色 3 22 2 2" xfId="47"/>
    <cellStyle name="60% - 强调文字颜色 3 22 2 3" xfId="94"/>
    <cellStyle name="60% - 强调文字颜色 3 22 3" xfId="453"/>
    <cellStyle name="60% - 强调文字颜色 3 22 4" xfId="464"/>
    <cellStyle name="60% - 强调文字颜色 3 23" xfId="469"/>
    <cellStyle name="60% - 强调文字颜色 3 23 2" xfId="480"/>
    <cellStyle name="60% - 强调文字颜色 3 23 2 2" xfId="488"/>
    <cellStyle name="60% - 强调文字颜色 3 23 2 3" xfId="501"/>
    <cellStyle name="60% - 强调文字颜色 3 23 3" xfId="512"/>
    <cellStyle name="60% - 强调文字颜色 3 23 4" xfId="515"/>
    <cellStyle name="60% - 强调文字颜色 3 24" xfId="528"/>
    <cellStyle name="60% - 强调文字颜色 3 24 2" xfId="536"/>
    <cellStyle name="60% - 强调文字颜色 3 24 2 2" xfId="544"/>
    <cellStyle name="60% - 强调文字颜色 3 24 2 3" xfId="553"/>
    <cellStyle name="60% - 强调文字颜色 3 24 3" xfId="559"/>
    <cellStyle name="60% - 强调文字颜色 3 24 4" xfId="566"/>
    <cellStyle name="60% - 强调文字颜色 3 25" xfId="571"/>
    <cellStyle name="60% - 强调文字颜色 3 25 2" xfId="577"/>
    <cellStyle name="60% - 强调文字颜色 3 25 2 2" xfId="590"/>
    <cellStyle name="60% - 强调文字颜色 3 25 2 3" xfId="599"/>
    <cellStyle name="60% - 强调文字颜色 3 25 3" xfId="604"/>
    <cellStyle name="60% - 强调文字颜色 3 25 4" xfId="609"/>
    <cellStyle name="60% - 强调文字颜色 3 26" xfId="615"/>
    <cellStyle name="60% - 强调文字颜色 3 26 2" xfId="622"/>
    <cellStyle name="60% - 强调文字颜色 3 26 2 2" xfId="629"/>
    <cellStyle name="60% - 强调文字颜色 3 26 2 3" xfId="637"/>
    <cellStyle name="60% - 强调文字颜色 3 26 3" xfId="641"/>
    <cellStyle name="60% - 强调文字颜色 3 26 4" xfId="645"/>
    <cellStyle name="60% - 强调文字颜色 3 27" xfId="662"/>
    <cellStyle name="60% - 强调文字颜色 3 27 2" xfId="668"/>
    <cellStyle name="60% - 强调文字颜色 3 27 2 2" xfId="677"/>
    <cellStyle name="60% - 强调文字颜色 3 27 2 3" xfId="684"/>
    <cellStyle name="60% - 强调文字颜色 3 27 3" xfId="687"/>
    <cellStyle name="60% - 强调文字颜色 3 27 4" xfId="690"/>
    <cellStyle name="60% - 强调文字颜色 3 28" xfId="698"/>
    <cellStyle name="60% - 强调文字颜色 3 28 2" xfId="704"/>
    <cellStyle name="60% - 强调文字颜色 3 28 2 2" xfId="711"/>
    <cellStyle name="60% - 强调文字颜色 3 28 2 3" xfId="720"/>
    <cellStyle name="60% - 强调文字颜色 3 28 3" xfId="728"/>
    <cellStyle name="60% - 强调文字颜色 3 28 4" xfId="733"/>
    <cellStyle name="60% - 强调文字颜色 3 29" xfId="741"/>
    <cellStyle name="60% - 强调文字颜色 3 29 2" xfId="747"/>
    <cellStyle name="60% - 强调文字颜色 3 29 3" xfId="766"/>
    <cellStyle name="60% - 强调文字颜色 3 3" xfId="3494"/>
    <cellStyle name="60% - 强调文字颜色 3 3 2" xfId="374"/>
    <cellStyle name="60% - 强调文字颜色 3 3 3" xfId="384"/>
    <cellStyle name="60% - 强调文字颜色 3 30" xfId="572"/>
    <cellStyle name="60% - 强调文字颜色 3 30 2" xfId="578"/>
    <cellStyle name="60% - 强调文字颜色 3 30 2 2" xfId="591"/>
    <cellStyle name="60% - 强调文字颜色 3 31" xfId="616"/>
    <cellStyle name="60% - 强调文字颜色 3 31 2" xfId="623"/>
    <cellStyle name="60% - 强调文字颜色 3 31 2 2" xfId="630"/>
    <cellStyle name="60% - 强调文字颜色 3 32" xfId="663"/>
    <cellStyle name="60% - 强调文字颜色 3 32 2" xfId="669"/>
    <cellStyle name="60% - 强调文字颜色 3 32 2 2" xfId="678"/>
    <cellStyle name="60% - 强调文字颜色 3 33" xfId="699"/>
    <cellStyle name="60% - 强调文字颜色 3 33 2" xfId="705"/>
    <cellStyle name="60% - 强调文字颜色 3 33 2 2" xfId="712"/>
    <cellStyle name="60% - 强调文字颜色 3 34" xfId="742"/>
    <cellStyle name="60% - 强调文字颜色 3 34 2" xfId="748"/>
    <cellStyle name="60% - 强调文字颜色 3 34 2 2" xfId="754"/>
    <cellStyle name="60% - 强调文字颜色 3 35" xfId="773"/>
    <cellStyle name="60% - 强调文字颜色 3 35 2" xfId="779"/>
    <cellStyle name="60% - 强调文字颜色 3 36" xfId="794"/>
    <cellStyle name="60% - 强调文字颜色 3 36 2" xfId="799"/>
    <cellStyle name="60% - 强调文字颜色 3 37" xfId="819"/>
    <cellStyle name="60% - 强调文字颜色 3 37 2" xfId="3495"/>
    <cellStyle name="60% - 强调文字颜色 3 4" xfId="3496"/>
    <cellStyle name="60% - 强调文字颜色 3 4 2" xfId="3497"/>
    <cellStyle name="60% - 强调文字颜色 3 4 3" xfId="3498"/>
    <cellStyle name="60% - 强调文字颜色 3 5" xfId="3499"/>
    <cellStyle name="60% - 强调文字颜色 3 5 2" xfId="3500"/>
    <cellStyle name="60% - 强调文字颜色 3 5 3" xfId="3501"/>
    <cellStyle name="60% - 强调文字颜色 3 6" xfId="3502"/>
    <cellStyle name="60% - 强调文字颜色 3 6 2" xfId="3503"/>
    <cellStyle name="60% - 强调文字颜色 3 6 3" xfId="3504"/>
    <cellStyle name="60% - 强调文字颜色 3 7" xfId="3505"/>
    <cellStyle name="60% - 强调文字颜色 3 7 2" xfId="3506"/>
    <cellStyle name="60% - 强调文字颜色 3 7 3" xfId="3507"/>
    <cellStyle name="60% - 强调文字颜色 3 8" xfId="3508"/>
    <cellStyle name="60% - 强调文字颜色 3 8 2" xfId="1982"/>
    <cellStyle name="60% - 强调文字颜色 3 8 3" xfId="2006"/>
    <cellStyle name="60% - 强调文字颜色 3 9" xfId="3509"/>
    <cellStyle name="60% - 强调文字颜色 3 9 2" xfId="3510"/>
    <cellStyle name="60% - 强调文字颜色 3 9 2 2" xfId="3511"/>
    <cellStyle name="60% - 强调文字颜色 3 9 2 3" xfId="3514"/>
    <cellStyle name="60% - 强调文字颜色 3 9 3" xfId="3517"/>
    <cellStyle name="60% - 强调文字颜色 3 9 4" xfId="3518"/>
    <cellStyle name="60% - 强调文字颜色 4" xfId="86"/>
    <cellStyle name="60% - 强调文字颜色 4 10" xfId="3519"/>
    <cellStyle name="60% - 强调文字颜色 4 10 2" xfId="3521"/>
    <cellStyle name="60% - 强调文字颜色 4 10 2 2" xfId="3522"/>
    <cellStyle name="60% - 强调文字颜色 4 10 2 3" xfId="3361"/>
    <cellStyle name="60% - 强调文字颜色 4 10 3" xfId="3523"/>
    <cellStyle name="60% - 强调文字颜色 4 10 4" xfId="3524"/>
    <cellStyle name="60% - 强调文字颜色 4 11" xfId="3015"/>
    <cellStyle name="60% - 强调文字颜色 4 11 2" xfId="3018"/>
    <cellStyle name="60% - 强调文字颜色 4 11 2 2" xfId="3020"/>
    <cellStyle name="60% - 强调文字颜色 4 11 2 3" xfId="3024"/>
    <cellStyle name="60% - 强调文字颜色 4 11 3" xfId="3026"/>
    <cellStyle name="60% - 强调文字颜色 4 11 4" xfId="3028"/>
    <cellStyle name="60% - 强调文字颜色 4 12" xfId="879"/>
    <cellStyle name="60% - 强调文字颜色 4 12 2" xfId="883"/>
    <cellStyle name="60% - 强调文字颜色 4 12 2 2" xfId="828"/>
    <cellStyle name="60% - 强调文字颜色 4 12 2 3" xfId="889"/>
    <cellStyle name="60% - 强调文字颜色 4 12 3" xfId="892"/>
    <cellStyle name="60% - 强调文字颜色 4 12 4" xfId="895"/>
    <cellStyle name="60% - 强调文字颜色 4 13" xfId="900"/>
    <cellStyle name="60% - 强调文字颜色 4 13 2" xfId="907"/>
    <cellStyle name="60% - 强调文字颜色 4 13 2 2" xfId="920"/>
    <cellStyle name="60% - 强调文字颜色 4 13 2 3" xfId="935"/>
    <cellStyle name="60% - 强调文字颜色 4 13 3" xfId="941"/>
    <cellStyle name="60% - 强调文字颜色 4 13 4" xfId="946"/>
    <cellStyle name="60% - 强调文字颜色 4 14" xfId="951"/>
    <cellStyle name="60% - 强调文字颜色 4 14 2" xfId="954"/>
    <cellStyle name="60% - 强调文字颜色 4 14 2 2" xfId="957"/>
    <cellStyle name="60% - 强调文字颜色 4 14 2 3" xfId="962"/>
    <cellStyle name="60% - 强调文字颜色 4 14 3" xfId="965"/>
    <cellStyle name="60% - 强调文字颜色 4 14 4" xfId="969"/>
    <cellStyle name="60% - 强调文字颜色 4 15" xfId="974"/>
    <cellStyle name="60% - 强调文字颜色 4 15 2" xfId="978"/>
    <cellStyle name="60% - 强调文字颜色 4 15 2 2" xfId="982"/>
    <cellStyle name="60% - 强调文字颜色 4 15 2 3" xfId="988"/>
    <cellStyle name="60% - 强调文字颜色 4 15 3" xfId="992"/>
    <cellStyle name="60% - 强调文字颜色 4 15 4" xfId="996"/>
    <cellStyle name="60% - 强调文字颜色 4 16" xfId="1002"/>
    <cellStyle name="60% - 强调文字颜色 4 16 2" xfId="1007"/>
    <cellStyle name="60% - 强调文字颜色 4 16 2 2" xfId="1022"/>
    <cellStyle name="60% - 强调文字颜色 4 16 2 3" xfId="1028"/>
    <cellStyle name="60% - 强调文字颜色 4 16 3" xfId="1033"/>
    <cellStyle name="60% - 强调文字颜色 4 16 4" xfId="261"/>
    <cellStyle name="60% - 强调文字颜色 4 17" xfId="915"/>
    <cellStyle name="60% - 强调文字颜色 4 17 2" xfId="1040"/>
    <cellStyle name="60% - 强调文字颜色 4 17 2 2" xfId="1046"/>
    <cellStyle name="60% - 强调文字颜色 4 17 2 3" xfId="1052"/>
    <cellStyle name="60% - 强调文字颜色 4 17 3" xfId="1063"/>
    <cellStyle name="60% - 强调文字颜色 4 17 4" xfId="1071"/>
    <cellStyle name="60% - 强调文字颜色 4 18" xfId="925"/>
    <cellStyle name="60% - 强调文字颜色 4 18 2" xfId="15"/>
    <cellStyle name="60% - 强调文字颜色 4 18 2 2" xfId="1077"/>
    <cellStyle name="60% - 强调文字颜色 4 18 2 3" xfId="1083"/>
    <cellStyle name="60% - 强调文字颜色 4 18 3" xfId="1090"/>
    <cellStyle name="60% - 强调文字颜色 4 18 4" xfId="1098"/>
    <cellStyle name="60% - 强调文字颜色 4 19" xfId="1105"/>
    <cellStyle name="60% - 强调文字颜色 4 19 2" xfId="1111"/>
    <cellStyle name="60% - 强调文字颜色 4 19 2 2" xfId="1118"/>
    <cellStyle name="60% - 强调文字颜色 4 19 2 3" xfId="832"/>
    <cellStyle name="60% - 强调文字颜色 4 19 3" xfId="1124"/>
    <cellStyle name="60% - 强调文字颜色 4 19 4" xfId="1132"/>
    <cellStyle name="60% - 强调文字颜色 4 2" xfId="3526"/>
    <cellStyle name="60% - 强调文字颜色 4 2 2" xfId="3254"/>
    <cellStyle name="60% - 强调文字颜色 4 2 3" xfId="3263"/>
    <cellStyle name="60% - 强调文字颜色 4 2 4" xfId="3271"/>
    <cellStyle name="60% - 强调文字颜色 4 20" xfId="975"/>
    <cellStyle name="60% - 强调文字颜色 4 20 2" xfId="979"/>
    <cellStyle name="60% - 强调文字颜色 4 20 2 2" xfId="983"/>
    <cellStyle name="60% - 强调文字颜色 4 20 2 3" xfId="989"/>
    <cellStyle name="60% - 强调文字颜色 4 20 3" xfId="993"/>
    <cellStyle name="60% - 强调文字颜色 4 20 4" xfId="997"/>
    <cellStyle name="60% - 强调文字颜色 4 21" xfId="1003"/>
    <cellStyle name="60% - 强调文字颜色 4 21 2" xfId="1008"/>
    <cellStyle name="60% - 强调文字颜色 4 21 2 2" xfId="1021"/>
    <cellStyle name="60% - 强调文字颜色 4 21 2 3" xfId="1029"/>
    <cellStyle name="60% - 强调文字颜色 4 21 3" xfId="1034"/>
    <cellStyle name="60% - 强调文字颜色 4 21 4" xfId="260"/>
    <cellStyle name="60% - 强调文字颜色 4 22" xfId="916"/>
    <cellStyle name="60% - 强调文字颜色 4 22 2" xfId="1041"/>
    <cellStyle name="60% - 强调文字颜色 4 22 2 2" xfId="1047"/>
    <cellStyle name="60% - 强调文字颜色 4 22 2 3" xfId="1053"/>
    <cellStyle name="60% - 强调文字颜色 4 22 3" xfId="1062"/>
    <cellStyle name="60% - 强调文字颜色 4 22 4" xfId="1070"/>
    <cellStyle name="60% - 强调文字颜色 4 23" xfId="926"/>
    <cellStyle name="60% - 强调文字颜色 4 23 2" xfId="16"/>
    <cellStyle name="60% - 强调文字颜色 4 23 2 2" xfId="1076"/>
    <cellStyle name="60% - 强调文字颜色 4 23 2 3" xfId="1082"/>
    <cellStyle name="60% - 强调文字颜色 4 23 3" xfId="1089"/>
    <cellStyle name="60% - 强调文字颜色 4 23 4" xfId="1097"/>
    <cellStyle name="60% - 强调文字颜色 4 24" xfId="1104"/>
    <cellStyle name="60% - 强调文字颜色 4 24 2" xfId="1110"/>
    <cellStyle name="60% - 强调文字颜色 4 24 2 2" xfId="1117"/>
    <cellStyle name="60% - 强调文字颜色 4 24 2 3" xfId="833"/>
    <cellStyle name="60% - 强调文字颜色 4 24 3" xfId="1123"/>
    <cellStyle name="60% - 强调文字颜色 4 24 4" xfId="1131"/>
    <cellStyle name="60% - 强调文字颜色 4 25" xfId="1140"/>
    <cellStyle name="60% - 强调文字颜色 4 25 2" xfId="1146"/>
    <cellStyle name="60% - 强调文字颜色 4 25 2 2" xfId="1154"/>
    <cellStyle name="60% - 强调文字颜色 4 25 2 3" xfId="102"/>
    <cellStyle name="60% - 强调文字颜色 4 25 3" xfId="1159"/>
    <cellStyle name="60% - 强调文字颜色 4 25 4" xfId="1166"/>
    <cellStyle name="60% - 强调文字颜色 4 26" xfId="1172"/>
    <cellStyle name="60% - 强调文字颜色 4 26 2" xfId="1179"/>
    <cellStyle name="60% - 强调文字颜色 4 26 2 2" xfId="654"/>
    <cellStyle name="60% - 强调文字颜色 4 26 2 3" xfId="693"/>
    <cellStyle name="60% - 强调文字颜色 4 26 3" xfId="1183"/>
    <cellStyle name="60% - 强调文字颜色 4 26 4" xfId="1189"/>
    <cellStyle name="60% - 强调文字颜色 4 27" xfId="160"/>
    <cellStyle name="60% - 强调文字颜色 4 27 2" xfId="1198"/>
    <cellStyle name="60% - 强调文字颜色 4 27 2 2" xfId="1204"/>
    <cellStyle name="60% - 强调文字颜色 4 27 2 3" xfId="9"/>
    <cellStyle name="60% - 强调文字颜色 4 27 3" xfId="1207"/>
    <cellStyle name="60% - 强调文字颜色 4 27 4" xfId="1211"/>
    <cellStyle name="60% - 强调文字颜色 4 28" xfId="129"/>
    <cellStyle name="60% - 强调文字颜色 4 28 2" xfId="303"/>
    <cellStyle name="60% - 强调文字颜色 4 28 2 2" xfId="312"/>
    <cellStyle name="60% - 强调文字颜色 4 28 2 3" xfId="330"/>
    <cellStyle name="60% - 强调文字颜色 4 28 3" xfId="340"/>
    <cellStyle name="60% - 强调文字颜色 4 28 4" xfId="389"/>
    <cellStyle name="60% - 强调文字颜色 4 29" xfId="186"/>
    <cellStyle name="60% - 强调文字颜色 4 29 2" xfId="1217"/>
    <cellStyle name="60% - 强调文字颜色 4 29 3" xfId="1229"/>
    <cellStyle name="60% - 强调文字颜色 4 3" xfId="3527"/>
    <cellStyle name="60% - 强调文字颜色 4 3 2" xfId="3528"/>
    <cellStyle name="60% - 强调文字颜色 4 3 3" xfId="3532"/>
    <cellStyle name="60% - 强调文字颜色 4 30" xfId="1139"/>
    <cellStyle name="60% - 强调文字颜色 4 30 2" xfId="1145"/>
    <cellStyle name="60% - 强调文字颜色 4 30 2 2" xfId="1153"/>
    <cellStyle name="60% - 强调文字颜色 4 31" xfId="1171"/>
    <cellStyle name="60% - 强调文字颜色 4 31 2" xfId="1178"/>
    <cellStyle name="60% - 强调文字颜色 4 31 2 2" xfId="655"/>
    <cellStyle name="60% - 强调文字颜色 4 32" xfId="159"/>
    <cellStyle name="60% - 强调文字颜色 4 32 2" xfId="1197"/>
    <cellStyle name="60% - 强调文字颜色 4 32 2 2" xfId="1203"/>
    <cellStyle name="60% - 强调文字颜色 4 33" xfId="128"/>
    <cellStyle name="60% - 强调文字颜色 4 33 2" xfId="302"/>
    <cellStyle name="60% - 强调文字颜色 4 33 2 2" xfId="311"/>
    <cellStyle name="60% - 强调文字颜色 4 34" xfId="185"/>
    <cellStyle name="60% - 强调文字颜色 4 34 2" xfId="1216"/>
    <cellStyle name="60% - 强调文字颜色 4 34 2 2" xfId="1223"/>
    <cellStyle name="60% - 强调文字颜色 4 35" xfId="200"/>
    <cellStyle name="60% - 强调文字颜色 4 35 2" xfId="1238"/>
    <cellStyle name="60% - 强调文字颜色 4 36" xfId="228"/>
    <cellStyle name="60% - 强调文字颜色 4 36 2" xfId="1244"/>
    <cellStyle name="60% - 强调文字颜色 4 37" xfId="241"/>
    <cellStyle name="60% - 强调文字颜色 4 37 2" xfId="3536"/>
    <cellStyle name="60% - 强调文字颜色 4 4" xfId="3537"/>
    <cellStyle name="60% - 强调文字颜色 4 4 2" xfId="3538"/>
    <cellStyle name="60% - 强调文字颜色 4 4 3" xfId="3539"/>
    <cellStyle name="60% - 强调文字颜色 4 5" xfId="3540"/>
    <cellStyle name="60% - 强调文字颜色 4 5 2" xfId="3542"/>
    <cellStyle name="60% - 强调文字颜色 4 5 3" xfId="3543"/>
    <cellStyle name="60% - 强调文字颜色 4 6" xfId="3544"/>
    <cellStyle name="60% - 强调文字颜色 4 6 2" xfId="3545"/>
    <cellStyle name="60% - 强调文字颜色 4 6 3" xfId="2388"/>
    <cellStyle name="60% - 强调文字颜色 4 7" xfId="3546"/>
    <cellStyle name="60% - 强调文字颜色 4 7 2" xfId="3547"/>
    <cellStyle name="60% - 强调文字颜色 4 7 3" xfId="2397"/>
    <cellStyle name="60% - 强调文字颜色 4 8" xfId="3548"/>
    <cellStyle name="60% - 强调文字颜色 4 8 2" xfId="3549"/>
    <cellStyle name="60% - 强调文字颜色 4 8 3" xfId="2409"/>
    <cellStyle name="60% - 强调文字颜色 4 9" xfId="3551"/>
    <cellStyle name="60% - 强调文字颜色 4 9 2" xfId="3553"/>
    <cellStyle name="60% - 强调文字颜色 4 9 2 2" xfId="3554"/>
    <cellStyle name="60% - 强调文字颜色 4 9 2 3" xfId="3555"/>
    <cellStyle name="60% - 强调文字颜色 4 9 3" xfId="2418"/>
    <cellStyle name="60% - 强调文字颜色 4 9 4" xfId="2423"/>
    <cellStyle name="60% - 强调文字颜色 5" xfId="235"/>
    <cellStyle name="60% - 强调文字颜色 5 10" xfId="652"/>
    <cellStyle name="60% - 强调文字颜色 5 10 2" xfId="3559"/>
    <cellStyle name="60% - 强调文字颜色 5 10 2 2" xfId="3561"/>
    <cellStyle name="60% - 强调文字颜色 5 10 2 3" xfId="2730"/>
    <cellStyle name="60% - 强调文字颜色 5 10 3" xfId="3564"/>
    <cellStyle name="60% - 强调文字颜色 5 10 4" xfId="3566"/>
    <cellStyle name="60% - 强调文字颜色 5 11" xfId="3089"/>
    <cellStyle name="60% - 强调文字颜色 5 11 2" xfId="3092"/>
    <cellStyle name="60% - 强调文字颜色 5 11 2 2" xfId="2918"/>
    <cellStyle name="60% - 强调文字颜色 5 11 2 3" xfId="2757"/>
    <cellStyle name="60% - 强调文字颜色 5 11 3" xfId="3096"/>
    <cellStyle name="60% - 强调文字颜色 5 11 4" xfId="3100"/>
    <cellStyle name="60% - 强调文字颜色 5 12" xfId="1281"/>
    <cellStyle name="60% - 强调文字颜色 5 12 2" xfId="1285"/>
    <cellStyle name="60% - 强调文字颜色 5 12 2 2" xfId="134"/>
    <cellStyle name="60% - 强调文字颜色 5 12 2 3" xfId="1295"/>
    <cellStyle name="60% - 强调文字颜色 5 12 3" xfId="1300"/>
    <cellStyle name="60% - 强调文字颜色 5 12 4" xfId="1306"/>
    <cellStyle name="60% - 强调文字颜色 5 13" xfId="1314"/>
    <cellStyle name="60% - 强调文字颜色 5 13 2" xfId="1317"/>
    <cellStyle name="60% - 强调文字颜色 5 13 2 2" xfId="39"/>
    <cellStyle name="60% - 强调文字颜色 5 13 2 3" xfId="1321"/>
    <cellStyle name="60% - 强调文字颜色 5 13 3" xfId="140"/>
    <cellStyle name="60% - 强调文字颜色 5 13 4" xfId="1290"/>
    <cellStyle name="60% - 强调文字颜色 5 14" xfId="1326"/>
    <cellStyle name="60% - 强调文字颜色 5 14 2" xfId="272"/>
    <cellStyle name="60% - 强调文字颜色 5 14 2 2" xfId="1334"/>
    <cellStyle name="60% - 强调文字颜色 5 14 2 3" xfId="1339"/>
    <cellStyle name="60% - 强调文字颜色 5 14 3" xfId="1344"/>
    <cellStyle name="60% - 强调文字颜色 5 14 4" xfId="1349"/>
    <cellStyle name="60% - 强调文字颜色 5 15" xfId="1353"/>
    <cellStyle name="60% - 强调文字颜色 5 15 2" xfId="1357"/>
    <cellStyle name="60% - 强调文字颜色 5 15 2 2" xfId="1361"/>
    <cellStyle name="60% - 强调文字颜色 5 15 2 3" xfId="1367"/>
    <cellStyle name="60% - 强调文字颜色 5 15 3" xfId="1373"/>
    <cellStyle name="60% - 强调文字颜色 5 15 4" xfId="1379"/>
    <cellStyle name="60% - 强调文字颜色 5 16" xfId="1384"/>
    <cellStyle name="60% - 强调文字颜色 5 16 2" xfId="1393"/>
    <cellStyle name="60% - 强调文字颜色 5 16 2 2" xfId="1412"/>
    <cellStyle name="60% - 强调文字颜色 5 16 2 3" xfId="1429"/>
    <cellStyle name="60% - 强调文字颜色 5 16 3" xfId="1439"/>
    <cellStyle name="60% - 强调文字颜色 5 16 4" xfId="500"/>
    <cellStyle name="60% - 强调文字颜色 5 17" xfId="1445"/>
    <cellStyle name="60% - 强调文字颜色 5 17 2" xfId="1451"/>
    <cellStyle name="60% - 强调文字颜色 5 17 2 2" xfId="1458"/>
    <cellStyle name="60% - 强调文字颜色 5 17 2 3" xfId="850"/>
    <cellStyle name="60% - 强调文字颜色 5 17 3" xfId="1464"/>
    <cellStyle name="60% - 强调文字颜色 5 17 4" xfId="1473"/>
    <cellStyle name="60% - 强调文字颜色 5 18" xfId="1482"/>
    <cellStyle name="60% - 强调文字颜色 5 18 2" xfId="1490"/>
    <cellStyle name="60% - 强调文字颜色 5 18 2 2" xfId="1271"/>
    <cellStyle name="60% - 强调文字颜色 5 18 2 3" xfId="1263"/>
    <cellStyle name="60% - 强调文字颜色 5 18 3" xfId="1498"/>
    <cellStyle name="60% - 强调文字颜色 5 18 4" xfId="1506"/>
    <cellStyle name="60% - 强调文字颜色 5 19" xfId="1514"/>
    <cellStyle name="60% - 强调文字颜色 5 19 2" xfId="1520"/>
    <cellStyle name="60% - 强调文字颜色 5 19 2 2" xfId="1526"/>
    <cellStyle name="60% - 强调文字颜色 5 19 2 3" xfId="1532"/>
    <cellStyle name="60% - 强调文字颜色 5 19 3" xfId="1538"/>
    <cellStyle name="60% - 强调文字颜色 5 19 4" xfId="1012"/>
    <cellStyle name="60% - 强调文字颜色 5 2" xfId="3568"/>
    <cellStyle name="60% - 强调文字颜色 5 2 2" xfId="3569"/>
    <cellStyle name="60% - 强调文字颜色 5 2 3" xfId="3570"/>
    <cellStyle name="60% - 强调文字颜色 5 2 4" xfId="3571"/>
    <cellStyle name="60% - 强调文字颜色 5 20" xfId="1352"/>
    <cellStyle name="60% - 强调文字颜色 5 20 2" xfId="1356"/>
    <cellStyle name="60% - 强调文字颜色 5 20 2 2" xfId="1360"/>
    <cellStyle name="60% - 强调文字颜色 5 20 2 3" xfId="1366"/>
    <cellStyle name="60% - 强调文字颜色 5 20 3" xfId="1372"/>
    <cellStyle name="60% - 强调文字颜色 5 20 4" xfId="1378"/>
    <cellStyle name="60% - 强调文字颜色 5 21" xfId="1383"/>
    <cellStyle name="60% - 强调文字颜色 5 21 2" xfId="1392"/>
    <cellStyle name="60% - 强调文字颜色 5 21 2 2" xfId="1411"/>
    <cellStyle name="60% - 强调文字颜色 5 21 2 3" xfId="1428"/>
    <cellStyle name="60% - 强调文字颜色 5 21 3" xfId="1438"/>
    <cellStyle name="60% - 强调文字颜色 5 21 4" xfId="499"/>
    <cellStyle name="60% - 强调文字颜色 5 22" xfId="1444"/>
    <cellStyle name="60% - 强调文字颜色 5 22 2" xfId="1450"/>
    <cellStyle name="60% - 强调文字颜色 5 22 2 2" xfId="1457"/>
    <cellStyle name="60% - 强调文字颜色 5 22 2 3" xfId="851"/>
    <cellStyle name="60% - 强调文字颜色 5 22 3" xfId="1463"/>
    <cellStyle name="60% - 强调文字颜色 5 22 4" xfId="1472"/>
    <cellStyle name="60% - 强调文字颜色 5 23" xfId="1481"/>
    <cellStyle name="60% - 强调文字颜色 5 23 2" xfId="1489"/>
    <cellStyle name="60% - 强调文字颜色 5 23 2 2" xfId="1270"/>
    <cellStyle name="60% - 强调文字颜色 5 23 2 3" xfId="1262"/>
    <cellStyle name="60% - 强调文字颜色 5 23 3" xfId="1497"/>
    <cellStyle name="60% - 强调文字颜色 5 23 4" xfId="1505"/>
    <cellStyle name="60% - 强调文字颜色 5 24" xfId="1513"/>
    <cellStyle name="60% - 强调文字颜色 5 24 2" xfId="1519"/>
    <cellStyle name="60% - 强调文字颜色 5 24 2 2" xfId="1525"/>
    <cellStyle name="60% - 强调文字颜色 5 24 2 3" xfId="1531"/>
    <cellStyle name="60% - 强调文字颜色 5 24 3" xfId="1537"/>
    <cellStyle name="60% - 强调文字颜色 5 24 4" xfId="1013"/>
    <cellStyle name="60% - 强调文字颜色 5 25" xfId="1401"/>
    <cellStyle name="60% - 强调文字颜色 5 25 2" xfId="1544"/>
    <cellStyle name="60% - 强调文字颜色 5 25 2 2" xfId="214"/>
    <cellStyle name="60% - 强调文字颜色 5 25 2 3" xfId="149"/>
    <cellStyle name="60% - 强调文字颜色 5 25 3" xfId="167"/>
    <cellStyle name="60% - 强调文字颜色 5 25 4" xfId="176"/>
    <cellStyle name="60% - 强调文字颜色 5 26" xfId="1419"/>
    <cellStyle name="60% - 强调文字颜色 5 26 2" xfId="435"/>
    <cellStyle name="60% - 强调文字颜色 5 26 2 2" xfId="447"/>
    <cellStyle name="60% - 强调文字颜色 5 26 2 3" xfId="457"/>
    <cellStyle name="60% - 强调文字颜色 5 26 3" xfId="473"/>
    <cellStyle name="60% - 强调文字颜色 5 26 4" xfId="524"/>
    <cellStyle name="60% - 强调文字颜色 5 27" xfId="1556"/>
    <cellStyle name="60% - 强调文字颜色 5 27 2" xfId="1562"/>
    <cellStyle name="60% - 强调文字颜色 5 27 2 2" xfId="873"/>
    <cellStyle name="60% - 强调文字颜色 5 27 2 3" xfId="1567"/>
    <cellStyle name="60% - 强调文字颜色 5 27 3" xfId="1570"/>
    <cellStyle name="60% - 强调文字颜色 5 27 4" xfId="1331"/>
    <cellStyle name="60% - 强调文字颜色 5 28" xfId="34"/>
    <cellStyle name="60% - 强调文字颜色 5 28 2" xfId="354"/>
    <cellStyle name="60% - 强调文字颜色 5 28 2 2" xfId="805"/>
    <cellStyle name="60% - 强调文字颜色 5 28 2 3" xfId="1573"/>
    <cellStyle name="60% - 强调文字颜色 5 28 3" xfId="362"/>
    <cellStyle name="60% - 强调文字颜色 5 28 4" xfId="1577"/>
    <cellStyle name="60% - 强调文字颜色 5 29" xfId="373"/>
    <cellStyle name="60% - 强调文字颜色 5 29 2" xfId="1585"/>
    <cellStyle name="60% - 强调文字颜色 5 29 3" xfId="1590"/>
    <cellStyle name="60% - 强调文字颜色 5 3" xfId="3572"/>
    <cellStyle name="60% - 强调文字颜色 5 3 2" xfId="3573"/>
    <cellStyle name="60% - 强调文字颜色 5 3 3" xfId="3574"/>
    <cellStyle name="60% - 强调文字颜色 5 30" xfId="1400"/>
    <cellStyle name="60% - 强调文字颜色 5 30 2" xfId="1543"/>
    <cellStyle name="60% - 强调文字颜色 5 30 2 2" xfId="213"/>
    <cellStyle name="60% - 强调文字颜色 5 31" xfId="1418"/>
    <cellStyle name="60% - 强调文字颜色 5 31 2" xfId="434"/>
    <cellStyle name="60% - 强调文字颜色 5 31 2 2" xfId="446"/>
    <cellStyle name="60% - 强调文字颜色 5 32" xfId="1555"/>
    <cellStyle name="60% - 强调文字颜色 5 32 2" xfId="1561"/>
    <cellStyle name="60% - 强调文字颜色 5 32 2 2" xfId="874"/>
    <cellStyle name="60% - 强调文字颜色 5 33" xfId="35"/>
    <cellStyle name="60% - 强调文字颜色 5 33 2" xfId="353"/>
    <cellStyle name="60% - 强调文字颜色 5 33 2 2" xfId="806"/>
    <cellStyle name="60% - 强调文字颜色 5 34" xfId="372"/>
    <cellStyle name="60% - 强调文字颜色 5 34 2" xfId="1584"/>
    <cellStyle name="60% - 强调文字颜色 5 34 2 2" xfId="206"/>
    <cellStyle name="60% - 强调文字颜色 5 35" xfId="383"/>
    <cellStyle name="60% - 强调文字颜色 5 35 2" xfId="1600"/>
    <cellStyle name="60% - 强调文字颜色 5 36" xfId="903"/>
    <cellStyle name="60% - 强调文字颜色 5 36 2" xfId="912"/>
    <cellStyle name="60% - 强调文字颜色 5 37" xfId="938"/>
    <cellStyle name="60% - 强调文字颜色 5 37 2" xfId="3575"/>
    <cellStyle name="60% - 强调文字颜色 5 4" xfId="3576"/>
    <cellStyle name="60% - 强调文字颜色 5 4 2" xfId="3577"/>
    <cellStyle name="60% - 强调文字颜色 5 4 3" xfId="3578"/>
    <cellStyle name="60% - 强调文字颜色 5 5" xfId="3579"/>
    <cellStyle name="60% - 强调文字颜色 5 5 2" xfId="3581"/>
    <cellStyle name="60% - 强调文字颜色 5 5 3" xfId="3582"/>
    <cellStyle name="60% - 强调文字颜色 5 6" xfId="3583"/>
    <cellStyle name="60% - 强调文字颜色 5 6 2" xfId="3585"/>
    <cellStyle name="60% - 强调文字颜色 5 6 3" xfId="3586"/>
    <cellStyle name="60% - 强调文字颜色 5 7" xfId="3587"/>
    <cellStyle name="60% - 强调文字颜色 5 7 2" xfId="3588"/>
    <cellStyle name="60% - 强调文字颜色 5 7 3" xfId="3589"/>
    <cellStyle name="60% - 强调文字颜色 5 8" xfId="3590"/>
    <cellStyle name="60% - 强调文字颜色 5 8 2" xfId="3591"/>
    <cellStyle name="60% - 强调文字颜色 5 8 3" xfId="3592"/>
    <cellStyle name="60% - 强调文字颜色 5 9" xfId="3593"/>
    <cellStyle name="60% - 强调文字颜色 5 9 2" xfId="3594"/>
    <cellStyle name="60% - 强调文字颜色 5 9 2 2" xfId="3595"/>
    <cellStyle name="60% - 强调文字颜色 5 9 2 3" xfId="3598"/>
    <cellStyle name="60% - 强调文字颜色 5 9 3" xfId="3599"/>
    <cellStyle name="60% - 强调文字颜色 5 9 4" xfId="3601"/>
    <cellStyle name="60% - 强调文字颜色 6" xfId="245"/>
    <cellStyle name="60% - 强调文字颜色 6 10" xfId="857"/>
    <cellStyle name="60% - 强调文字颜色 6 10 2" xfId="3602"/>
    <cellStyle name="60% - 强调文字颜色 6 10 2 2" xfId="3603"/>
    <cellStyle name="60% - 强调文字颜色 6 10 2 3" xfId="487"/>
    <cellStyle name="60% - 强调文字颜色 6 10 3" xfId="3605"/>
    <cellStyle name="60% - 强调文字颜色 6 10 4" xfId="3606"/>
    <cellStyle name="60% - 强调文字颜色 6 11" xfId="3165"/>
    <cellStyle name="60% - 强调文字颜色 6 11 2" xfId="3167"/>
    <cellStyle name="60% - 强调文字颜色 6 11 2 2" xfId="1622"/>
    <cellStyle name="60% - 强调文字颜色 6 11 2 3" xfId="545"/>
    <cellStyle name="60% - 强调文字颜色 6 11 3" xfId="3169"/>
    <cellStyle name="60% - 强调文字颜色 6 11 4" xfId="3173"/>
    <cellStyle name="60% - 强调文字颜色 6 12" xfId="1658"/>
    <cellStyle name="60% - 强调文字颜色 6 12 2" xfId="1661"/>
    <cellStyle name="60% - 强调文字颜色 6 12 2 2" xfId="1665"/>
    <cellStyle name="60% - 强调文字颜色 6 12 2 3" xfId="592"/>
    <cellStyle name="60% - 强调文字颜色 6 12 3" xfId="1668"/>
    <cellStyle name="60% - 强调文字颜色 6 12 4" xfId="1673"/>
    <cellStyle name="60% - 强调文字颜色 6 13" xfId="1676"/>
    <cellStyle name="60% - 强调文字颜色 6 13 2" xfId="1679"/>
    <cellStyle name="60% - 强调文字颜色 6 13 2 2" xfId="1682"/>
    <cellStyle name="60% - 强调文字颜色 6 13 2 3" xfId="631"/>
    <cellStyle name="60% - 强调文字颜色 6 13 3" xfId="61"/>
    <cellStyle name="60% - 强调文字颜色 6 13 4" xfId="1687"/>
    <cellStyle name="60% - 强调文字颜色 6 14" xfId="1690"/>
    <cellStyle name="60% - 强调文字颜色 6 14 2" xfId="1693"/>
    <cellStyle name="60% - 强调文字颜色 6 14 2 2" xfId="1696"/>
    <cellStyle name="60% - 强调文字颜色 6 14 2 3" xfId="679"/>
    <cellStyle name="60% - 强调文字颜色 6 14 3" xfId="1699"/>
    <cellStyle name="60% - 强调文字颜色 6 14 4" xfId="1704"/>
    <cellStyle name="60% - 强调文字颜色 6 15" xfId="1708"/>
    <cellStyle name="60% - 强调文字颜色 6 15 2" xfId="1712"/>
    <cellStyle name="60% - 强调文字颜色 6 15 2 2" xfId="1716"/>
    <cellStyle name="60% - 强调文字颜色 6 15 2 3" xfId="713"/>
    <cellStyle name="60% - 强调文字颜色 6 15 3" xfId="1720"/>
    <cellStyle name="60% - 强调文字颜色 6 15 4" xfId="1726"/>
    <cellStyle name="60% - 强调文字颜色 6 16" xfId="1731"/>
    <cellStyle name="60% - 强调文字颜色 6 16 2" xfId="1736"/>
    <cellStyle name="60% - 强调文字颜色 6 16 2 2" xfId="1743"/>
    <cellStyle name="60% - 强调文字颜色 6 16 2 3" xfId="755"/>
    <cellStyle name="60% - 强调文字颜色 6 16 3" xfId="1748"/>
    <cellStyle name="60% - 强调文字颜色 6 16 4" xfId="1755"/>
    <cellStyle name="60% - 强调文字颜色 6 17" xfId="1761"/>
    <cellStyle name="60% - 强调文字颜色 6 17 2" xfId="1767"/>
    <cellStyle name="60% - 强调文字颜色 6 17 2 2" xfId="1773"/>
    <cellStyle name="60% - 强调文字颜色 6 17 2 3" xfId="786"/>
    <cellStyle name="60% - 强调文字颜色 6 17 3" xfId="1779"/>
    <cellStyle name="60% - 强调文字颜色 6 17 4" xfId="1789"/>
    <cellStyle name="60% - 强调文字颜色 6 18" xfId="107"/>
    <cellStyle name="60% - 强调文字颜色 6 18 2" xfId="1800"/>
    <cellStyle name="60% - 强调文字颜色 6 18 2 2" xfId="812"/>
    <cellStyle name="60% - 强调文字颜色 6 18 2 3" xfId="1806"/>
    <cellStyle name="60% - 强调文字颜色 6 18 3" xfId="1813"/>
    <cellStyle name="60% - 强调文字颜色 6 18 4" xfId="1821"/>
    <cellStyle name="60% - 强调文字颜色 6 19" xfId="1828"/>
    <cellStyle name="60% - 强调文字颜色 6 19 2" xfId="1834"/>
    <cellStyle name="60% - 强调文字颜色 6 19 2 2" xfId="583"/>
    <cellStyle name="60% - 强调文字颜色 6 19 2 3" xfId="1840"/>
    <cellStyle name="60% - 强调文字颜色 6 19 3" xfId="1846"/>
    <cellStyle name="60% - 强调文字颜色 6 19 4" xfId="1854"/>
    <cellStyle name="60% - 强调文字颜色 6 2" xfId="3608"/>
    <cellStyle name="60% - 强调文字颜色 6 2 2" xfId="3609"/>
    <cellStyle name="60% - 强调文字颜色 6 2 3" xfId="3611"/>
    <cellStyle name="60% - 强调文字颜色 6 2 4" xfId="3612"/>
    <cellStyle name="60% - 强调文字颜色 6 20" xfId="1707"/>
    <cellStyle name="60% - 强调文字颜色 6 20 2" xfId="1711"/>
    <cellStyle name="60% - 强调文字颜色 6 20 2 2" xfId="1715"/>
    <cellStyle name="60% - 强调文字颜色 6 20 2 3" xfId="714"/>
    <cellStyle name="60% - 强调文字颜色 6 20 3" xfId="1719"/>
    <cellStyle name="60% - 强调文字颜色 6 20 4" xfId="1725"/>
    <cellStyle name="60% - 强调文字颜色 6 21" xfId="1730"/>
    <cellStyle name="60% - 强调文字颜色 6 21 2" xfId="1735"/>
    <cellStyle name="60% - 强调文字颜色 6 21 2 2" xfId="1742"/>
    <cellStyle name="60% - 强调文字颜色 6 21 2 3" xfId="756"/>
    <cellStyle name="60% - 强调文字颜色 6 21 3" xfId="1747"/>
    <cellStyle name="60% - 强调文字颜色 6 21 4" xfId="1754"/>
    <cellStyle name="60% - 强调文字颜色 6 22" xfId="1760"/>
    <cellStyle name="60% - 强调文字颜色 6 22 2" xfId="1766"/>
    <cellStyle name="60% - 强调文字颜色 6 22 2 2" xfId="1772"/>
    <cellStyle name="60% - 强调文字颜色 6 22 2 3" xfId="787"/>
    <cellStyle name="60% - 强调文字颜色 6 22 3" xfId="1778"/>
    <cellStyle name="60% - 强调文字颜色 6 22 4" xfId="1788"/>
    <cellStyle name="60% - 强调文字颜色 6 23" xfId="108"/>
    <cellStyle name="60% - 强调文字颜色 6 23 2" xfId="1799"/>
    <cellStyle name="60% - 强调文字颜色 6 23 2 2" xfId="813"/>
    <cellStyle name="60% - 强调文字颜色 6 23 2 3" xfId="1805"/>
    <cellStyle name="60% - 强调文字颜色 6 23 3" xfId="1812"/>
    <cellStyle name="60% - 强调文字颜色 6 23 4" xfId="1820"/>
    <cellStyle name="60% - 强调文字颜色 6 24" xfId="1827"/>
    <cellStyle name="60% - 强调文字颜色 6 24 2" xfId="1833"/>
    <cellStyle name="60% - 强调文字颜色 6 24 2 2" xfId="584"/>
    <cellStyle name="60% - 强调文字颜色 6 24 2 3" xfId="1839"/>
    <cellStyle name="60% - 强调文字颜色 6 24 3" xfId="1845"/>
    <cellStyle name="60% - 强调文字颜色 6 24 4" xfId="1853"/>
    <cellStyle name="60% - 强调文字颜色 6 25" xfId="1861"/>
    <cellStyle name="60% - 强调文字颜色 6 25 2" xfId="1870"/>
    <cellStyle name="60% - 强调文字颜色 6 25 2 2" xfId="1613"/>
    <cellStyle name="60% - 强调文字颜色 6 25 2 3" xfId="1875"/>
    <cellStyle name="60% - 强调文字颜色 6 25 3" xfId="1883"/>
    <cellStyle name="60% - 强调文字颜色 6 25 4" xfId="1892"/>
    <cellStyle name="60% - 强调文字颜色 6 26" xfId="1898"/>
    <cellStyle name="60% - 强调文字颜色 6 26 2" xfId="1904"/>
    <cellStyle name="60% - 强调文字颜色 6 26 2 2" xfId="1910"/>
    <cellStyle name="60% - 强调文字颜色 6 26 2 3" xfId="1914"/>
    <cellStyle name="60% - 强调文字颜色 6 26 3" xfId="1918"/>
    <cellStyle name="60% - 强调文字颜色 6 26 4" xfId="1925"/>
    <cellStyle name="60% - 强调文字颜色 6 27" xfId="1933"/>
    <cellStyle name="60% - 强调文字颜色 6 27 2" xfId="1939"/>
    <cellStyle name="60% - 强调文字颜色 6 27 2 2" xfId="1944"/>
    <cellStyle name="60% - 强调文字颜色 6 27 2 3" xfId="1947"/>
    <cellStyle name="60% - 强调文字颜色 6 27 3" xfId="1950"/>
    <cellStyle name="60% - 强调文字颜色 6 27 4" xfId="1954"/>
    <cellStyle name="60% - 强调文字颜色 6 28" xfId="1960"/>
    <cellStyle name="60% - 强调文字颜色 6 28 2" xfId="1966"/>
    <cellStyle name="60% - 强调文字颜色 6 28 2 2" xfId="1971"/>
    <cellStyle name="60% - 强调文字颜色 6 28 2 3" xfId="1974"/>
    <cellStyle name="60% - 强调文字颜色 6 28 3" xfId="1977"/>
    <cellStyle name="60% - 强调文字颜色 6 28 4" xfId="1981"/>
    <cellStyle name="60% - 强调文字颜色 6 29" xfId="1988"/>
    <cellStyle name="60% - 强调文字颜色 6 29 2" xfId="1994"/>
    <cellStyle name="60% - 强调文字颜色 6 29 3" xfId="2002"/>
    <cellStyle name="60% - 强调文字颜色 6 3" xfId="3613"/>
    <cellStyle name="60% - 强调文字颜色 6 3 2" xfId="3614"/>
    <cellStyle name="60% - 强调文字颜色 6 3 3" xfId="3616"/>
    <cellStyle name="60% - 强调文字颜色 6 30" xfId="1860"/>
    <cellStyle name="60% - 强调文字颜色 6 30 2" xfId="1869"/>
    <cellStyle name="60% - 强调文字颜色 6 30 2 2" xfId="1612"/>
    <cellStyle name="60% - 强调文字颜色 6 31" xfId="1897"/>
    <cellStyle name="60% - 强调文字颜色 6 31 2" xfId="1903"/>
    <cellStyle name="60% - 强调文字颜色 6 31 2 2" xfId="1909"/>
    <cellStyle name="60% - 强调文字颜色 6 32" xfId="1932"/>
    <cellStyle name="60% - 强调文字颜色 6 32 2" xfId="1938"/>
    <cellStyle name="60% - 强调文字颜色 6 32 2 2" xfId="1943"/>
    <cellStyle name="60% - 强调文字颜色 6 33" xfId="1959"/>
    <cellStyle name="60% - 强调文字颜色 6 33 2" xfId="1965"/>
    <cellStyle name="60% - 强调文字颜色 6 33 2 2" xfId="1970"/>
    <cellStyle name="60% - 强调文字颜色 6 34" xfId="1987"/>
    <cellStyle name="60% - 强调文字颜色 6 34 2" xfId="1993"/>
    <cellStyle name="60% - 强调文字颜色 6 34 2 2" xfId="1997"/>
    <cellStyle name="60% - 强调文字颜色 6 35" xfId="2011"/>
    <cellStyle name="60% - 强调文字颜色 6 35 2" xfId="2016"/>
    <cellStyle name="60% - 强调文字颜色 6 36" xfId="2025"/>
    <cellStyle name="60% - 强调文字颜色 6 36 2" xfId="2028"/>
    <cellStyle name="60% - 强调文字颜色 6 37" xfId="2034"/>
    <cellStyle name="60% - 强调文字颜色 6 37 2" xfId="3617"/>
    <cellStyle name="60% - 强调文字颜色 6 4" xfId="3618"/>
    <cellStyle name="60% - 强调文字颜色 6 4 2" xfId="3619"/>
    <cellStyle name="60% - 强调文字颜色 6 4 3" xfId="3620"/>
    <cellStyle name="60% - 强调文字颜色 6 5" xfId="3621"/>
    <cellStyle name="60% - 强调文字颜色 6 5 2" xfId="224"/>
    <cellStyle name="60% - 强调文字颜色 6 5 3" xfId="238"/>
    <cellStyle name="60% - 强调文字颜色 6 6" xfId="3622"/>
    <cellStyle name="60% - 强调文字颜色 6 6 2" xfId="3623"/>
    <cellStyle name="60% - 强调文字颜色 6 6 3" xfId="3624"/>
    <cellStyle name="60% - 强调文字颜色 6 7" xfId="3625"/>
    <cellStyle name="60% - 强调文字颜色 6 7 2" xfId="3626"/>
    <cellStyle name="60% - 强调文字颜色 6 7 3" xfId="3627"/>
    <cellStyle name="60% - 强调文字颜色 6 8" xfId="3628"/>
    <cellStyle name="60% - 强调文字颜色 6 8 2" xfId="3457"/>
    <cellStyle name="60% - 强调文字颜色 6 8 3" xfId="3629"/>
    <cellStyle name="60% - 强调文字颜色 6 9" xfId="3632"/>
    <cellStyle name="60% - 强调文字颜色 6 9 2" xfId="3634"/>
    <cellStyle name="60% - 强调文字颜色 6 9 2 2" xfId="3637"/>
    <cellStyle name="60% - 强调文字颜色 6 9 2 3" xfId="3462"/>
    <cellStyle name="60% - 强调文字颜色 6 9 3" xfId="3640"/>
    <cellStyle name="60% - 强调文字颜色 6 9 4" xfId="3643"/>
    <cellStyle name="ColStyle1" xfId="3645"/>
    <cellStyle name="ColStyle1 2" xfId="3646"/>
    <cellStyle name="ColStyle1 3" xfId="3649"/>
    <cellStyle name="ColStyle2" xfId="3650"/>
    <cellStyle name="ColStyle2 10" xfId="968"/>
    <cellStyle name="ColStyle2 11" xfId="3651"/>
    <cellStyle name="ColStyle2 12" xfId="3654"/>
    <cellStyle name="ColStyle2 13" xfId="3655"/>
    <cellStyle name="ColStyle2 14" xfId="3656"/>
    <cellStyle name="ColStyle2 15" xfId="3657"/>
    <cellStyle name="ColStyle2 16" xfId="3659"/>
    <cellStyle name="ColStyle2 17" xfId="3108"/>
    <cellStyle name="ColStyle2 18" xfId="3119"/>
    <cellStyle name="ColStyle2 19" xfId="3135"/>
    <cellStyle name="ColStyle2 2" xfId="3661"/>
    <cellStyle name="ColStyle2 2 2" xfId="3662"/>
    <cellStyle name="ColStyle2 2 2 2" xfId="3663"/>
    <cellStyle name="ColStyle2 2 3" xfId="3664"/>
    <cellStyle name="ColStyle2 20" xfId="3658"/>
    <cellStyle name="ColStyle2 21" xfId="3660"/>
    <cellStyle name="ColStyle2 22" xfId="3109"/>
    <cellStyle name="ColStyle2 3" xfId="3667"/>
    <cellStyle name="ColStyle2 3 2" xfId="3670"/>
    <cellStyle name="ColStyle2 4" xfId="3672"/>
    <cellStyle name="ColStyle2 5" xfId="3673"/>
    <cellStyle name="ColStyle2 6" xfId="3674"/>
    <cellStyle name="ColStyle2 7" xfId="3675"/>
    <cellStyle name="ColStyle2 8" xfId="3676"/>
    <cellStyle name="ColStyle2 9" xfId="248"/>
    <cellStyle name="ColStyle3" xfId="3677"/>
    <cellStyle name="ColStyle3 10" xfId="1133"/>
    <cellStyle name="ColStyle3 11" xfId="3678"/>
    <cellStyle name="ColStyle3 12" xfId="3681"/>
    <cellStyle name="ColStyle3 13" xfId="3682"/>
    <cellStyle name="ColStyle3 14" xfId="3683"/>
    <cellStyle name="ColStyle3 15" xfId="3684"/>
    <cellStyle name="ColStyle3 16" xfId="3686"/>
    <cellStyle name="ColStyle3 17" xfId="3688"/>
    <cellStyle name="ColStyle3 18" xfId="3690"/>
    <cellStyle name="ColStyle3 19" xfId="3541"/>
    <cellStyle name="ColStyle3 2" xfId="3691"/>
    <cellStyle name="ColStyle3 2 2" xfId="3079"/>
    <cellStyle name="ColStyle3 2 2 2" xfId="3081"/>
    <cellStyle name="ColStyle3 2 3" xfId="3084"/>
    <cellStyle name="ColStyle3 20" xfId="3685"/>
    <cellStyle name="ColStyle3 21" xfId="3687"/>
    <cellStyle name="ColStyle3 22" xfId="3689"/>
    <cellStyle name="ColStyle3 3" xfId="3694"/>
    <cellStyle name="ColStyle3 3 2" xfId="3154"/>
    <cellStyle name="ColStyle3 4" xfId="3696"/>
    <cellStyle name="ColStyle3 5" xfId="3697"/>
    <cellStyle name="ColStyle3 6" xfId="3698"/>
    <cellStyle name="ColStyle3 7" xfId="3700"/>
    <cellStyle name="ColStyle3 8" xfId="3701"/>
    <cellStyle name="ColStyle3 9" xfId="315"/>
    <cellStyle name="ColStyle4" xfId="3702"/>
    <cellStyle name="ColStyle4 10" xfId="1233"/>
    <cellStyle name="ColStyle4 11" xfId="3703"/>
    <cellStyle name="ColStyle4 12" xfId="3704"/>
    <cellStyle name="ColStyle4 13" xfId="3705"/>
    <cellStyle name="ColStyle4 14" xfId="3708"/>
    <cellStyle name="ColStyle4 15" xfId="3710"/>
    <cellStyle name="ColStyle4 16" xfId="3712"/>
    <cellStyle name="ColStyle4 17" xfId="3714"/>
    <cellStyle name="ColStyle4 18" xfId="3716"/>
    <cellStyle name="ColStyle4 19" xfId="3718"/>
    <cellStyle name="ColStyle4 2" xfId="3719"/>
    <cellStyle name="ColStyle4 2 2" xfId="3720"/>
    <cellStyle name="ColStyle4 20" xfId="3711"/>
    <cellStyle name="ColStyle4 21" xfId="3713"/>
    <cellStyle name="ColStyle4 22" xfId="3715"/>
    <cellStyle name="ColStyle4 23" xfId="3717"/>
    <cellStyle name="ColStyle4 3" xfId="3723"/>
    <cellStyle name="ColStyle4 3 2" xfId="3726"/>
    <cellStyle name="ColStyle4 4" xfId="3728"/>
    <cellStyle name="ColStyle4 5" xfId="3729"/>
    <cellStyle name="ColStyle4 6" xfId="3730"/>
    <cellStyle name="ColStyle4 7" xfId="3731"/>
    <cellStyle name="ColStyle4 8" xfId="3732"/>
    <cellStyle name="ColStyle4 9" xfId="25"/>
    <cellStyle name="ColStyle5" xfId="3733"/>
    <cellStyle name="ColStyle5 2" xfId="3734"/>
    <cellStyle name="ColStyle5 3" xfId="3737"/>
    <cellStyle name="ColStyle6" xfId="3738"/>
    <cellStyle name="ColStyle6 2" xfId="3739"/>
    <cellStyle name="ColStyle6 3" xfId="3742"/>
    <cellStyle name="ColStyle7" xfId="3743"/>
    <cellStyle name="ColStyle7 2" xfId="3744"/>
    <cellStyle name="ColStyle7 3" xfId="3746"/>
    <cellStyle name="Normal" xfId="0" builtinId="0"/>
    <cellStyle name="Normal 2" xfId="3747"/>
    <cellStyle name="Normal 2 2" xfId="3748"/>
    <cellStyle name="Normal 2 2 2" xfId="3749"/>
    <cellStyle name="Normal 2 3" xfId="3752"/>
    <cellStyle name="Normal 2 3 2" xfId="3753"/>
    <cellStyle name="Normal 2 4" xfId="3754"/>
    <cellStyle name="Normal 2 4 2" xfId="1173"/>
    <cellStyle name="Normal 2 5" xfId="3755"/>
    <cellStyle name="Standard_ipc-konfigurator57" xfId="3758"/>
    <cellStyle name="标题" xfId="10"/>
    <cellStyle name="标题 1" xfId="77"/>
    <cellStyle name="标题 1 10" xfId="3759"/>
    <cellStyle name="标题 1 10 2" xfId="2416"/>
    <cellStyle name="标题 1 10 2 2" xfId="2419"/>
    <cellStyle name="标题 1 10 3" xfId="2425"/>
    <cellStyle name="标题 1 11" xfId="3761"/>
    <cellStyle name="标题 1 11 2" xfId="3762"/>
    <cellStyle name="标题 1 11 2 2" xfId="3600"/>
    <cellStyle name="标题 1 11 3" xfId="3763"/>
    <cellStyle name="标题 1 12" xfId="3764"/>
    <cellStyle name="标题 1 12 2" xfId="3765"/>
    <cellStyle name="标题 1 12 2 2" xfId="3642"/>
    <cellStyle name="标题 1 12 3" xfId="3766"/>
    <cellStyle name="标题 1 13" xfId="3767"/>
    <cellStyle name="标题 1 13 2" xfId="3525"/>
    <cellStyle name="标题 1 13 2 2" xfId="3768"/>
    <cellStyle name="标题 1 13 3" xfId="3769"/>
    <cellStyle name="标题 1 14" xfId="1"/>
    <cellStyle name="标题 1 14 2" xfId="3030"/>
    <cellStyle name="标题 1 14 2 2" xfId="3770"/>
    <cellStyle name="标题 1 14 3" xfId="3771"/>
    <cellStyle name="标题 1 15" xfId="3772"/>
    <cellStyle name="标题 1 15 2" xfId="898"/>
    <cellStyle name="标题 1 15 2 2" xfId="2570"/>
    <cellStyle name="标题 1 15 3" xfId="3776"/>
    <cellStyle name="标题 1 16" xfId="3778"/>
    <cellStyle name="标题 1 16 2" xfId="949"/>
    <cellStyle name="标题 1 16 2 2" xfId="3780"/>
    <cellStyle name="标题 1 16 3" xfId="3782"/>
    <cellStyle name="标题 1 17" xfId="3785"/>
    <cellStyle name="标题 1 17 2" xfId="972"/>
    <cellStyle name="标题 1 17 2 2" xfId="3787"/>
    <cellStyle name="标题 1 17 3" xfId="3652"/>
    <cellStyle name="标题 1 18" xfId="3790"/>
    <cellStyle name="标题 1 18 2" xfId="1000"/>
    <cellStyle name="标题 1 18 2 2" xfId="3792"/>
    <cellStyle name="标题 1 18 3" xfId="3794"/>
    <cellStyle name="标题 1 19" xfId="2328"/>
    <cellStyle name="标题 1 19 2" xfId="265"/>
    <cellStyle name="标题 1 19 2 2" xfId="3797"/>
    <cellStyle name="标题 1 19 3" xfId="2330"/>
    <cellStyle name="标题 1 2" xfId="2035"/>
    <cellStyle name="标题 1 2 2" xfId="3800"/>
    <cellStyle name="标题 1 2 3" xfId="3801"/>
    <cellStyle name="标题 1 20" xfId="3773"/>
    <cellStyle name="标题 1 20 2" xfId="899"/>
    <cellStyle name="标题 1 20 2 2" xfId="2571"/>
    <cellStyle name="标题 1 20 3" xfId="3777"/>
    <cellStyle name="标题 1 21" xfId="3779"/>
    <cellStyle name="标题 1 21 2" xfId="950"/>
    <cellStyle name="标题 1 21 2 2" xfId="3781"/>
    <cellStyle name="标题 1 21 3" xfId="3783"/>
    <cellStyle name="标题 1 22" xfId="3786"/>
    <cellStyle name="标题 1 22 2" xfId="973"/>
    <cellStyle name="标题 1 22 2 2" xfId="3788"/>
    <cellStyle name="标题 1 22 3" xfId="3653"/>
    <cellStyle name="标题 1 23" xfId="3791"/>
    <cellStyle name="标题 1 23 2" xfId="1001"/>
    <cellStyle name="标题 1 23 2 2" xfId="3793"/>
    <cellStyle name="标题 1 23 3" xfId="3795"/>
    <cellStyle name="标题 1 24" xfId="2329"/>
    <cellStyle name="标题 1 24 2" xfId="264"/>
    <cellStyle name="标题 1 24 2 2" xfId="3798"/>
    <cellStyle name="标题 1 24 3" xfId="2331"/>
    <cellStyle name="标题 1 25" xfId="2337"/>
    <cellStyle name="标题 1 25 2" xfId="1065"/>
    <cellStyle name="标题 1 25 2 2" xfId="3802"/>
    <cellStyle name="标题 1 25 3" xfId="3804"/>
    <cellStyle name="标题 1 26" xfId="2341"/>
    <cellStyle name="标题 1 26 2" xfId="1092"/>
    <cellStyle name="标题 1 26 2 2" xfId="3806"/>
    <cellStyle name="标题 1 26 3" xfId="3808"/>
    <cellStyle name="标题 1 27" xfId="3458"/>
    <cellStyle name="标题 1 27 2" xfId="1126"/>
    <cellStyle name="标题 1 27 2 2" xfId="3810"/>
    <cellStyle name="标题 1 27 3" xfId="3679"/>
    <cellStyle name="标题 1 28" xfId="3630"/>
    <cellStyle name="标题 1 28 2" xfId="1161"/>
    <cellStyle name="标题 1 28 2 2" xfId="3812"/>
    <cellStyle name="标题 1 28 3" xfId="3814"/>
    <cellStyle name="标题 1 29" xfId="3817"/>
    <cellStyle name="标题 1 29 2" xfId="1185"/>
    <cellStyle name="标题 1 3" xfId="2039"/>
    <cellStyle name="标题 1 3 2" xfId="3819"/>
    <cellStyle name="标题 1 30" xfId="2338"/>
    <cellStyle name="标题 1 30 2" xfId="1064"/>
    <cellStyle name="标题 1 30 2 2" xfId="3803"/>
    <cellStyle name="标题 1 31" xfId="2342"/>
    <cellStyle name="标题 1 31 2" xfId="1091"/>
    <cellStyle name="标题 1 31 2 2" xfId="3807"/>
    <cellStyle name="标题 1 32" xfId="3459"/>
    <cellStyle name="标题 1 32 2" xfId="1125"/>
    <cellStyle name="标题 1 32 2 2" xfId="3811"/>
    <cellStyle name="标题 1 33" xfId="3631"/>
    <cellStyle name="标题 1 33 2" xfId="1160"/>
    <cellStyle name="标题 1 33 2 2" xfId="3813"/>
    <cellStyle name="标题 1 34" xfId="3818"/>
    <cellStyle name="标题 1 34 2" xfId="1184"/>
    <cellStyle name="标题 1 34 2 2" xfId="3820"/>
    <cellStyle name="标题 1 35" xfId="3822"/>
    <cellStyle name="标题 1 35 2" xfId="1208"/>
    <cellStyle name="标题 1 36" xfId="3824"/>
    <cellStyle name="标题 1 36 2" xfId="385"/>
    <cellStyle name="标题 1 37" xfId="3212"/>
    <cellStyle name="标题 1 37 2" xfId="1230"/>
    <cellStyle name="标题 1 4" xfId="3000"/>
    <cellStyle name="标题 1 4 2" xfId="3825"/>
    <cellStyle name="标题 1 5" xfId="3827"/>
    <cellStyle name="标题 1 5 2" xfId="73"/>
    <cellStyle name="标题 1 6" xfId="3829"/>
    <cellStyle name="标题 1 6 2" xfId="3831"/>
    <cellStyle name="标题 1 7" xfId="3834"/>
    <cellStyle name="标题 1 7 2" xfId="3835"/>
    <cellStyle name="标题 1 8" xfId="861"/>
    <cellStyle name="标题 1 8 2" xfId="3836"/>
    <cellStyle name="标题 1 9" xfId="863"/>
    <cellStyle name="标题 1 9 2" xfId="3837"/>
    <cellStyle name="标题 1 9 2 2" xfId="3838"/>
    <cellStyle name="标题 1 9 3" xfId="3840"/>
    <cellStyle name="标题 10" xfId="262"/>
    <cellStyle name="标题 10 2" xfId="3799"/>
    <cellStyle name="标题 11" xfId="2334"/>
    <cellStyle name="标题 11 2" xfId="3841"/>
    <cellStyle name="标题 12" xfId="3844"/>
    <cellStyle name="标题 12 2" xfId="3845"/>
    <cellStyle name="标题 12 2 2" xfId="3552"/>
    <cellStyle name="标题 12 3" xfId="3846"/>
    <cellStyle name="标题 13" xfId="3849"/>
    <cellStyle name="标题 13 2" xfId="3850"/>
    <cellStyle name="标题 13 2 2" xfId="2318"/>
    <cellStyle name="标题 13 3" xfId="3455"/>
    <cellStyle name="标题 14" xfId="3854"/>
    <cellStyle name="标题 14 2" xfId="3857"/>
    <cellStyle name="标题 14 2 2" xfId="3858"/>
    <cellStyle name="标题 14 3" xfId="2604"/>
    <cellStyle name="标题 15" xfId="3859"/>
    <cellStyle name="标题 15 2" xfId="3862"/>
    <cellStyle name="标题 15 2 2" xfId="3864"/>
    <cellStyle name="标题 15 3" xfId="2617"/>
    <cellStyle name="标题 16" xfId="3866"/>
    <cellStyle name="标题 16 2" xfId="3868"/>
    <cellStyle name="标题 16 2 2" xfId="822"/>
    <cellStyle name="标题 16 3" xfId="2635"/>
    <cellStyle name="标题 17" xfId="3231"/>
    <cellStyle name="标题 17 2" xfId="3234"/>
    <cellStyle name="标题 17 2 2" xfId="2576"/>
    <cellStyle name="标题 17 3" xfId="2648"/>
    <cellStyle name="标题 18" xfId="3241"/>
    <cellStyle name="标题 18 2" xfId="3247"/>
    <cellStyle name="标题 18 2 2" xfId="2537"/>
    <cellStyle name="标题 18 3" xfId="2668"/>
    <cellStyle name="标题 19" xfId="3252"/>
    <cellStyle name="标题 19 2" xfId="3256"/>
    <cellStyle name="标题 19 2 2" xfId="3870"/>
    <cellStyle name="标题 19 3" xfId="2690"/>
    <cellStyle name="标题 2" xfId="80"/>
    <cellStyle name="标题 2 10" xfId="3872"/>
    <cellStyle name="标题 2 10 2" xfId="3875"/>
    <cellStyle name="标题 2 10 2 2" xfId="3876"/>
    <cellStyle name="标题 2 10 3" xfId="3877"/>
    <cellStyle name="标题 2 11" xfId="3878"/>
    <cellStyle name="标题 2 11 2" xfId="3879"/>
    <cellStyle name="标题 2 11 2 2" xfId="3880"/>
    <cellStyle name="标题 2 11 3" xfId="3881"/>
    <cellStyle name="标题 2 12" xfId="3882"/>
    <cellStyle name="标题 2 12 2" xfId="3883"/>
    <cellStyle name="标题 2 12 2 2" xfId="3884"/>
    <cellStyle name="标题 2 12 3" xfId="3885"/>
    <cellStyle name="标题 2 13" xfId="3886"/>
    <cellStyle name="标题 2 13 2" xfId="3567"/>
    <cellStyle name="标题 2 13 2 2" xfId="3887"/>
    <cellStyle name="标题 2 13 3" xfId="3888"/>
    <cellStyle name="标题 2 14" xfId="3889"/>
    <cellStyle name="标题 2 14 2" xfId="3104"/>
    <cellStyle name="标题 2 14 2 2" xfId="2931"/>
    <cellStyle name="标题 2 14 3" xfId="3385"/>
    <cellStyle name="标题 2 15" xfId="3892"/>
    <cellStyle name="标题 2 15 2" xfId="1303"/>
    <cellStyle name="标题 2 15 2 2" xfId="2997"/>
    <cellStyle name="标题 2 15 3" xfId="3895"/>
    <cellStyle name="标题 2 16" xfId="3898"/>
    <cellStyle name="标题 2 16 2" xfId="1287"/>
    <cellStyle name="标题 2 16 2 2" xfId="3076"/>
    <cellStyle name="标题 2 16 3" xfId="3901"/>
    <cellStyle name="标题 2 17" xfId="3903"/>
    <cellStyle name="标题 2 17 2" xfId="1346"/>
    <cellStyle name="标题 2 17 2 2" xfId="3149"/>
    <cellStyle name="标题 2 17 3" xfId="3905"/>
    <cellStyle name="标题 2 18" xfId="3907"/>
    <cellStyle name="标题 2 18 2" xfId="1375"/>
    <cellStyle name="标题 2 18 2 2" xfId="3207"/>
    <cellStyle name="标题 2 18 3" xfId="3909"/>
    <cellStyle name="标题 2 19" xfId="3911"/>
    <cellStyle name="标题 2 19 2" xfId="491"/>
    <cellStyle name="标题 2 19 2 2" xfId="2753"/>
    <cellStyle name="标题 2 19 3" xfId="2781"/>
    <cellStyle name="标题 2 2" xfId="3915"/>
    <cellStyle name="标题 2 2 2" xfId="3916"/>
    <cellStyle name="标题 2 2 3" xfId="3917"/>
    <cellStyle name="标题 2 20" xfId="3893"/>
    <cellStyle name="标题 2 20 2" xfId="1302"/>
    <cellStyle name="标题 2 20 2 2" xfId="2998"/>
    <cellStyle name="标题 2 20 3" xfId="3896"/>
    <cellStyle name="标题 2 21" xfId="3899"/>
    <cellStyle name="标题 2 21 2" xfId="1286"/>
    <cellStyle name="标题 2 21 2 2" xfId="3077"/>
    <cellStyle name="标题 2 21 3" xfId="3902"/>
    <cellStyle name="标题 2 22" xfId="3904"/>
    <cellStyle name="标题 2 22 2" xfId="1345"/>
    <cellStyle name="标题 2 22 2 2" xfId="3150"/>
    <cellStyle name="标题 2 22 3" xfId="3906"/>
    <cellStyle name="标题 2 23" xfId="3908"/>
    <cellStyle name="标题 2 23 2" xfId="1374"/>
    <cellStyle name="标题 2 23 2 2" xfId="3208"/>
    <cellStyle name="标题 2 23 3" xfId="3910"/>
    <cellStyle name="标题 2 24" xfId="3912"/>
    <cellStyle name="标题 2 24 2" xfId="490"/>
    <cellStyle name="标题 2 24 2 2" xfId="2754"/>
    <cellStyle name="标题 2 24 3" xfId="2782"/>
    <cellStyle name="标题 2 25" xfId="3918"/>
    <cellStyle name="标题 2 25 2" xfId="1466"/>
    <cellStyle name="标题 2 25 2 2" xfId="3923"/>
    <cellStyle name="标题 2 25 3" xfId="3925"/>
    <cellStyle name="标题 2 26" xfId="3926"/>
    <cellStyle name="标题 2 26 2" xfId="1500"/>
    <cellStyle name="标题 2 26 2 2" xfId="2055"/>
    <cellStyle name="标题 2 26 3" xfId="3929"/>
    <cellStyle name="标题 2 27" xfId="3930"/>
    <cellStyle name="标题 2 27 2" xfId="1019"/>
    <cellStyle name="标题 2 27 2 2" xfId="3933"/>
    <cellStyle name="标题 2 27 3" xfId="3936"/>
    <cellStyle name="标题 2 28" xfId="3937"/>
    <cellStyle name="标题 2 28 2" xfId="171"/>
    <cellStyle name="标题 2 28 2 2" xfId="3939"/>
    <cellStyle name="标题 2 28 3" xfId="3941"/>
    <cellStyle name="标题 2 29" xfId="3942"/>
    <cellStyle name="标题 2 29 2" xfId="532"/>
    <cellStyle name="标题 2 3" xfId="3004"/>
    <cellStyle name="标题 2 3 2" xfId="3006"/>
    <cellStyle name="标题 2 30" xfId="3919"/>
    <cellStyle name="标题 2 30 2" xfId="1465"/>
    <cellStyle name="标题 2 30 2 2" xfId="3924"/>
    <cellStyle name="标题 2 31" xfId="3927"/>
    <cellStyle name="标题 2 31 2" xfId="1499"/>
    <cellStyle name="标题 2 31 2 2" xfId="2054"/>
    <cellStyle name="标题 2 32" xfId="3931"/>
    <cellStyle name="标题 2 32 2" xfId="1020"/>
    <cellStyle name="标题 2 32 2 2" xfId="3934"/>
    <cellStyle name="标题 2 33" xfId="3938"/>
    <cellStyle name="标题 2 33 2" xfId="170"/>
    <cellStyle name="标题 2 33 2 2" xfId="3940"/>
    <cellStyle name="标题 2 34" xfId="3943"/>
    <cellStyle name="标题 2 34 2" xfId="533"/>
    <cellStyle name="标题 2 34 2 2" xfId="541"/>
    <cellStyle name="标题 2 35" xfId="3944"/>
    <cellStyle name="标题 2 35 2" xfId="1328"/>
    <cellStyle name="标题 2 36" xfId="3945"/>
    <cellStyle name="标题 2 36 2" xfId="1574"/>
    <cellStyle name="标题 2 37" xfId="3946"/>
    <cellStyle name="标题 2 37 2" xfId="1591"/>
    <cellStyle name="标题 2 4" xfId="3009"/>
    <cellStyle name="标题 2 4 2" xfId="2802"/>
    <cellStyle name="标题 2 5" xfId="3012"/>
    <cellStyle name="标题 2 5 2" xfId="3947"/>
    <cellStyle name="标题 2 6" xfId="3949"/>
    <cellStyle name="标题 2 6 2" xfId="3951"/>
    <cellStyle name="标题 2 7" xfId="3954"/>
    <cellStyle name="标题 2 7 2" xfId="3955"/>
    <cellStyle name="标题 2 8" xfId="869"/>
    <cellStyle name="标题 2 8 2" xfId="221"/>
    <cellStyle name="标题 2 9" xfId="871"/>
    <cellStyle name="标题 2 9 2" xfId="614"/>
    <cellStyle name="标题 2 9 2 2" xfId="621"/>
    <cellStyle name="标题 2 9 3" xfId="661"/>
    <cellStyle name="标题 20" xfId="3860"/>
    <cellStyle name="标题 20 2" xfId="3863"/>
    <cellStyle name="标题 20 2 2" xfId="3865"/>
    <cellStyle name="标题 20 3" xfId="2618"/>
    <cellStyle name="标题 21" xfId="3867"/>
    <cellStyle name="标题 21 2" xfId="3869"/>
    <cellStyle name="标题 21 2 2" xfId="823"/>
    <cellStyle name="标题 21 3" xfId="2636"/>
    <cellStyle name="标题 22" xfId="3232"/>
    <cellStyle name="标题 22 2" xfId="3235"/>
    <cellStyle name="标题 22 2 2" xfId="2577"/>
    <cellStyle name="标题 22 3" xfId="2649"/>
    <cellStyle name="标题 23" xfId="3242"/>
    <cellStyle name="标题 23 2" xfId="3248"/>
    <cellStyle name="标题 23 2 2" xfId="2538"/>
    <cellStyle name="标题 23 3" xfId="2669"/>
    <cellStyle name="标题 24" xfId="3253"/>
    <cellStyle name="标题 24 2" xfId="3257"/>
    <cellStyle name="标题 24 2 2" xfId="3871"/>
    <cellStyle name="标题 24 3" xfId="2691"/>
    <cellStyle name="标题 25" xfId="3261"/>
    <cellStyle name="标题 25 2" xfId="3265"/>
    <cellStyle name="标题 25 2 2" xfId="3957"/>
    <cellStyle name="标题 25 3" xfId="1403"/>
    <cellStyle name="标题 26" xfId="3269"/>
    <cellStyle name="标题 26 2" xfId="88"/>
    <cellStyle name="标题 26 2 2" xfId="3959"/>
    <cellStyle name="标题 26 3" xfId="2725"/>
    <cellStyle name="标题 27" xfId="3274"/>
    <cellStyle name="标题 27 2" xfId="3277"/>
    <cellStyle name="标题 27 2 2" xfId="3352"/>
    <cellStyle name="标题 27 3" xfId="2752"/>
    <cellStyle name="标题 28" xfId="3280"/>
    <cellStyle name="标题 28 2" xfId="3283"/>
    <cellStyle name="标题 28 2 2" xfId="3963"/>
    <cellStyle name="标题 28 3" xfId="2788"/>
    <cellStyle name="标题 29" xfId="3035"/>
    <cellStyle name="标题 29 2" xfId="3286"/>
    <cellStyle name="标题 29 2 2" xfId="3289"/>
    <cellStyle name="标题 29 3" xfId="2813"/>
    <cellStyle name="标题 3" xfId="85"/>
    <cellStyle name="标题 3 10" xfId="3965"/>
    <cellStyle name="标题 3 10 2" xfId="3966"/>
    <cellStyle name="标题 3 10 2 2" xfId="3968"/>
    <cellStyle name="标题 3 10 2 3" xfId="3972"/>
    <cellStyle name="标题 3 10 3" xfId="3973"/>
    <cellStyle name="标题 3 10 4" xfId="3974"/>
    <cellStyle name="标题 3 11" xfId="3975"/>
    <cellStyle name="标题 3 11 2" xfId="3976"/>
    <cellStyle name="标题 3 11 2 2" xfId="3821"/>
    <cellStyle name="标题 3 11 2 3" xfId="3823"/>
    <cellStyle name="标题 3 11 3" xfId="3977"/>
    <cellStyle name="标题 3 11 4" xfId="3978"/>
    <cellStyle name="标题 3 12" xfId="3979"/>
    <cellStyle name="标题 3 12 2" xfId="3980"/>
    <cellStyle name="标题 3 12 2 2" xfId="3981"/>
    <cellStyle name="标题 3 12 2 3" xfId="3982"/>
    <cellStyle name="标题 3 12 3" xfId="3983"/>
    <cellStyle name="标题 3 12 4" xfId="3984"/>
    <cellStyle name="标题 3 13" xfId="3985"/>
    <cellStyle name="标题 3 13 2" xfId="3607"/>
    <cellStyle name="标题 3 13 2 2" xfId="3986"/>
    <cellStyle name="标题 3 13 2 3" xfId="3987"/>
    <cellStyle name="标题 3 13 3" xfId="3988"/>
    <cellStyle name="标题 3 13 4" xfId="3989"/>
    <cellStyle name="标题 3 14" xfId="3990"/>
    <cellStyle name="标题 3 14 2" xfId="3171"/>
    <cellStyle name="标题 3 14 2 2" xfId="2365"/>
    <cellStyle name="标题 3 14 2 3" xfId="2369"/>
    <cellStyle name="标题 3 14 3" xfId="3993"/>
    <cellStyle name="标题 3 14 4" xfId="3995"/>
    <cellStyle name="标题 3 15" xfId="3996"/>
    <cellStyle name="标题 3 15 2" xfId="1670"/>
    <cellStyle name="标题 3 15 2 2" xfId="4000"/>
    <cellStyle name="标题 3 15 2 3" xfId="4003"/>
    <cellStyle name="标题 3 15 3" xfId="4005"/>
    <cellStyle name="标题 3 15 4" xfId="4007"/>
    <cellStyle name="标题 3 16" xfId="4009"/>
    <cellStyle name="标题 3 16 2" xfId="1684"/>
    <cellStyle name="标题 3 16 2 2" xfId="4012"/>
    <cellStyle name="标题 3 16 2 3" xfId="4014"/>
    <cellStyle name="标题 3 16 3" xfId="4016"/>
    <cellStyle name="标题 3 16 4" xfId="4018"/>
    <cellStyle name="标题 3 17" xfId="4020"/>
    <cellStyle name="标题 3 17 2" xfId="1701"/>
    <cellStyle name="标题 3 17 2 2" xfId="4022"/>
    <cellStyle name="标题 3 17 2 3" xfId="4024"/>
    <cellStyle name="标题 3 17 3" xfId="4026"/>
    <cellStyle name="标题 3 17 4" xfId="4028"/>
    <cellStyle name="标题 3 18" xfId="4030"/>
    <cellStyle name="标题 3 18 2" xfId="1722"/>
    <cellStyle name="标题 3 18 2 2" xfId="4032"/>
    <cellStyle name="标题 3 18 2 3" xfId="4034"/>
    <cellStyle name="标题 3 18 3" xfId="4036"/>
    <cellStyle name="标题 3 18 4" xfId="4038"/>
    <cellStyle name="标题 3 19" xfId="4040"/>
    <cellStyle name="标题 3 19 2" xfId="1750"/>
    <cellStyle name="标题 3 19 2 2" xfId="4042"/>
    <cellStyle name="标题 3 19 2 3" xfId="4044"/>
    <cellStyle name="标题 3 19 3" xfId="4047"/>
    <cellStyle name="标题 3 19 4" xfId="4050"/>
    <cellStyle name="标题 3 2" xfId="4052"/>
    <cellStyle name="标题 3 2 2" xfId="4053"/>
    <cellStyle name="标题 3 2 3" xfId="4054"/>
    <cellStyle name="标题 3 2 4" xfId="4055"/>
    <cellStyle name="标题 3 20" xfId="3997"/>
    <cellStyle name="标题 3 20 2" xfId="1669"/>
    <cellStyle name="标题 3 20 2 2" xfId="4001"/>
    <cellStyle name="标题 3 20 2 3" xfId="4004"/>
    <cellStyle name="标题 3 20 3" xfId="4006"/>
    <cellStyle name="标题 3 20 4" xfId="4008"/>
    <cellStyle name="标题 3 21" xfId="4010"/>
    <cellStyle name="标题 3 21 2" xfId="1683"/>
    <cellStyle name="标题 3 21 2 2" xfId="4013"/>
    <cellStyle name="标题 3 21 2 3" xfId="4015"/>
    <cellStyle name="标题 3 21 3" xfId="4017"/>
    <cellStyle name="标题 3 21 4" xfId="4019"/>
    <cellStyle name="标题 3 22" xfId="4021"/>
    <cellStyle name="标题 3 22 2" xfId="1700"/>
    <cellStyle name="标题 3 22 2 2" xfId="4023"/>
    <cellStyle name="标题 3 22 2 3" xfId="4025"/>
    <cellStyle name="标题 3 22 3" xfId="4027"/>
    <cellStyle name="标题 3 22 4" xfId="4029"/>
    <cellStyle name="标题 3 23" xfId="4031"/>
    <cellStyle name="标题 3 23 2" xfId="1721"/>
    <cellStyle name="标题 3 23 2 2" xfId="4033"/>
    <cellStyle name="标题 3 23 2 3" xfId="4035"/>
    <cellStyle name="标题 3 23 3" xfId="4037"/>
    <cellStyle name="标题 3 23 4" xfId="4039"/>
    <cellStyle name="标题 3 24" xfId="4041"/>
    <cellStyle name="标题 3 24 2" xfId="1749"/>
    <cellStyle name="标题 3 24 2 2" xfId="4043"/>
    <cellStyle name="标题 3 24 2 3" xfId="4045"/>
    <cellStyle name="标题 3 24 3" xfId="4048"/>
    <cellStyle name="标题 3 24 4" xfId="4051"/>
    <cellStyle name="标题 3 25" xfId="4056"/>
    <cellStyle name="标题 3 25 2" xfId="1781"/>
    <cellStyle name="标题 3 25 2 2" xfId="4060"/>
    <cellStyle name="标题 3 25 2 3" xfId="4062"/>
    <cellStyle name="标题 3 25 3" xfId="4063"/>
    <cellStyle name="标题 3 25 4" xfId="4064"/>
    <cellStyle name="标题 3 26" xfId="4065"/>
    <cellStyle name="标题 3 26 2" xfId="1815"/>
    <cellStyle name="标题 3 26 2 2" xfId="843"/>
    <cellStyle name="标题 3 26 2 3" xfId="4069"/>
    <cellStyle name="标题 3 26 3" xfId="4070"/>
    <cellStyle name="标题 3 26 4" xfId="4071"/>
    <cellStyle name="标题 3 27" xfId="4072"/>
    <cellStyle name="标题 3 27 2" xfId="1848"/>
    <cellStyle name="标题 3 27 2 2" xfId="675"/>
    <cellStyle name="标题 3 27 2 3" xfId="4074"/>
    <cellStyle name="标题 3 27 3" xfId="3379"/>
    <cellStyle name="标题 3 27 4" xfId="3381"/>
    <cellStyle name="标题 3 28" xfId="4076"/>
    <cellStyle name="标题 3 28 2" xfId="1885"/>
    <cellStyle name="标题 3 28 2 2" xfId="1626"/>
    <cellStyle name="标题 3 28 2 3" xfId="4"/>
    <cellStyle name="标题 3 28 3" xfId="3418"/>
    <cellStyle name="标题 3 28 4" xfId="3422"/>
    <cellStyle name="标题 3 29" xfId="4078"/>
    <cellStyle name="标题 3 29 2" xfId="1920"/>
    <cellStyle name="标题 3 29 3" xfId="3431"/>
    <cellStyle name="标题 3 3" xfId="4080"/>
    <cellStyle name="标题 3 3 2" xfId="4081"/>
    <cellStyle name="标题 3 3 3" xfId="4082"/>
    <cellStyle name="标题 3 30" xfId="4057"/>
    <cellStyle name="标题 3 30 2" xfId="1780"/>
    <cellStyle name="标题 3 30 2 2" xfId="4061"/>
    <cellStyle name="标题 3 31" xfId="4066"/>
    <cellStyle name="标题 3 31 2" xfId="1814"/>
    <cellStyle name="标题 3 31 2 2" xfId="844"/>
    <cellStyle name="标题 3 32" xfId="4073"/>
    <cellStyle name="标题 3 32 2" xfId="1847"/>
    <cellStyle name="标题 3 32 2 2" xfId="676"/>
    <cellStyle name="标题 3 33" xfId="4077"/>
    <cellStyle name="标题 3 33 2" xfId="1884"/>
    <cellStyle name="标题 3 33 2 2" xfId="1625"/>
    <cellStyle name="标题 3 34" xfId="4079"/>
    <cellStyle name="标题 3 34 2" xfId="1919"/>
    <cellStyle name="标题 3 34 2 2" xfId="2044"/>
    <cellStyle name="标题 3 35" xfId="3956"/>
    <cellStyle name="标题 3 35 2" xfId="1951"/>
    <cellStyle name="标题 3 36" xfId="4083"/>
    <cellStyle name="标题 3 36 2" xfId="1978"/>
    <cellStyle name="标题 3 37" xfId="1023"/>
    <cellStyle name="标题 3 37 2" xfId="2003"/>
    <cellStyle name="标题 3 4" xfId="4084"/>
    <cellStyle name="标题 3 4 2" xfId="2238"/>
    <cellStyle name="标题 3 4 3" xfId="2270"/>
    <cellStyle name="标题 3 5" xfId="4086"/>
    <cellStyle name="标题 3 5 2" xfId="4089"/>
    <cellStyle name="标题 3 5 3" xfId="4090"/>
    <cellStyle name="标题 3 6" xfId="4092"/>
    <cellStyle name="标题 3 6 2" xfId="4095"/>
    <cellStyle name="标题 3 6 3" xfId="4096"/>
    <cellStyle name="标题 3 7" xfId="4097"/>
    <cellStyle name="标题 3 7 2" xfId="4098"/>
    <cellStyle name="标题 3 7 3" xfId="4099"/>
    <cellStyle name="标题 3 8" xfId="4100"/>
    <cellStyle name="标题 3 8 2" xfId="4101"/>
    <cellStyle name="标题 3 8 3" xfId="4102"/>
    <cellStyle name="标题 3 9" xfId="4103"/>
    <cellStyle name="标题 3 9 2" xfId="2474"/>
    <cellStyle name="标题 3 9 2 2" xfId="2477"/>
    <cellStyle name="标题 3 9 2 3" xfId="2484"/>
    <cellStyle name="标题 3 9 3" xfId="2492"/>
    <cellStyle name="标题 3 9 4" xfId="2509"/>
    <cellStyle name="标题 30" xfId="3262"/>
    <cellStyle name="标题 30 2" xfId="3266"/>
    <cellStyle name="标题 30 2 2" xfId="3958"/>
    <cellStyle name="标题 30 3" xfId="1402"/>
    <cellStyle name="标题 31" xfId="3270"/>
    <cellStyle name="标题 31 2" xfId="87"/>
    <cellStyle name="标题 31 2 2" xfId="3960"/>
    <cellStyle name="标题 31 3" xfId="2726"/>
    <cellStyle name="标题 32" xfId="3275"/>
    <cellStyle name="标题 32 2" xfId="3278"/>
    <cellStyle name="标题 33" xfId="3281"/>
    <cellStyle name="标题 33 2" xfId="3284"/>
    <cellStyle name="标题 33 2 2" xfId="3964"/>
    <cellStyle name="标题 34" xfId="3036"/>
    <cellStyle name="标题 34 2" xfId="3287"/>
    <cellStyle name="标题 34 2 2" xfId="3290"/>
    <cellStyle name="标题 35" xfId="3038"/>
    <cellStyle name="标题 35 2" xfId="4105"/>
    <cellStyle name="标题 35 2 2" xfId="4107"/>
    <cellStyle name="标题 36" xfId="3041"/>
    <cellStyle name="标题 36 2" xfId="4108"/>
    <cellStyle name="标题 36 2 2" xfId="4110"/>
    <cellStyle name="标题 37" xfId="4111"/>
    <cellStyle name="标题 37 2" xfId="4112"/>
    <cellStyle name="标题 37 2 2" xfId="2705"/>
    <cellStyle name="标题 38" xfId="4113"/>
    <cellStyle name="标题 38 2" xfId="4116"/>
    <cellStyle name="标题 39" xfId="1192"/>
    <cellStyle name="标题 39 2" xfId="4117"/>
    <cellStyle name="标题 4" xfId="65"/>
    <cellStyle name="标题 4 10" xfId="4118"/>
    <cellStyle name="标题 4 10 2" xfId="4119"/>
    <cellStyle name="标题 4 10 2 2" xfId="4120"/>
    <cellStyle name="标题 4 10 3" xfId="4121"/>
    <cellStyle name="标题 4 11" xfId="4123"/>
    <cellStyle name="标题 4 11 2" xfId="4124"/>
    <cellStyle name="标题 4 11 2 2" xfId="4125"/>
    <cellStyle name="标题 4 11 3" xfId="4126"/>
    <cellStyle name="标题 4 12" xfId="4128"/>
    <cellStyle name="标题 4 12 2" xfId="4129"/>
    <cellStyle name="标题 4 12 2 2" xfId="4130"/>
    <cellStyle name="标题 4 12 3" xfId="4131"/>
    <cellStyle name="标题 4 13" xfId="4132"/>
    <cellStyle name="标题 4 13 2" xfId="4133"/>
    <cellStyle name="标题 4 13 2 2" xfId="3368"/>
    <cellStyle name="标题 4 13 3" xfId="4134"/>
    <cellStyle name="标题 4 14" xfId="4137"/>
    <cellStyle name="标题 4 14 2" xfId="3225"/>
    <cellStyle name="标题 4 14 2 2" xfId="4138"/>
    <cellStyle name="标题 4 14 3" xfId="4141"/>
    <cellStyle name="标题 4 15" xfId="4145"/>
    <cellStyle name="标题 4 15 2" xfId="2075"/>
    <cellStyle name="标题 4 15 2 2" xfId="4147"/>
    <cellStyle name="标题 4 15 3" xfId="4149"/>
    <cellStyle name="标题 4 16" xfId="4153"/>
    <cellStyle name="标题 4 16 2" xfId="2089"/>
    <cellStyle name="标题 4 16 2 2" xfId="4155"/>
    <cellStyle name="标题 4 16 3" xfId="4157"/>
    <cellStyle name="标题 4 17" xfId="4160"/>
    <cellStyle name="标题 4 17 2" xfId="2102"/>
    <cellStyle name="标题 4 17 2 2" xfId="4162"/>
    <cellStyle name="标题 4 17 3" xfId="4164"/>
    <cellStyle name="标题 4 18" xfId="4166"/>
    <cellStyle name="标题 4 18 2" xfId="2118"/>
    <cellStyle name="标题 4 18 2 2" xfId="2745"/>
    <cellStyle name="标题 4 18 3" xfId="4168"/>
    <cellStyle name="标题 4 19" xfId="4170"/>
    <cellStyle name="标题 4 19 2" xfId="2132"/>
    <cellStyle name="标题 4 19 2 2" xfId="4173"/>
    <cellStyle name="标题 4 19 3" xfId="4176"/>
    <cellStyle name="标题 4 2" xfId="4177"/>
    <cellStyle name="标题 4 2 2" xfId="4178"/>
    <cellStyle name="标题 4 2 3" xfId="4179"/>
    <cellStyle name="标题 4 20" xfId="4144"/>
    <cellStyle name="标题 4 20 2" xfId="2074"/>
    <cellStyle name="标题 4 20 2 2" xfId="4146"/>
    <cellStyle name="标题 4 20 3" xfId="4148"/>
    <cellStyle name="标题 4 21" xfId="4152"/>
    <cellStyle name="标题 4 21 2" xfId="2090"/>
    <cellStyle name="标题 4 21 2 2" xfId="4154"/>
    <cellStyle name="标题 4 21 3" xfId="4156"/>
    <cellStyle name="标题 4 22" xfId="4159"/>
    <cellStyle name="标题 4 22 2" xfId="2103"/>
    <cellStyle name="标题 4 22 2 2" xfId="4161"/>
    <cellStyle name="标题 4 22 3" xfId="4163"/>
    <cellStyle name="标题 4 23" xfId="4165"/>
    <cellStyle name="标题 4 23 2" xfId="2119"/>
    <cellStyle name="标题 4 23 2 2" xfId="2746"/>
    <cellStyle name="标题 4 23 3" xfId="4167"/>
    <cellStyle name="标题 4 24" xfId="4169"/>
    <cellStyle name="标题 4 24 2" xfId="2133"/>
    <cellStyle name="标题 4 24 2 2" xfId="4172"/>
    <cellStyle name="标题 4 24 3" xfId="4175"/>
    <cellStyle name="标题 4 25" xfId="4183"/>
    <cellStyle name="标题 4 25 2" xfId="2156"/>
    <cellStyle name="标题 4 25 2 2" xfId="2949"/>
    <cellStyle name="标题 4 25 3" xfId="4184"/>
    <cellStyle name="标题 4 26" xfId="4187"/>
    <cellStyle name="标题 4 26 2" xfId="2188"/>
    <cellStyle name="标题 4 26 2 2" xfId="4189"/>
    <cellStyle name="标题 4 26 3" xfId="4190"/>
    <cellStyle name="标题 4 27" xfId="4192"/>
    <cellStyle name="标题 4 27 2" xfId="2214"/>
    <cellStyle name="标题 4 27 2 2" xfId="4195"/>
    <cellStyle name="标题 4 27 3" xfId="3610"/>
    <cellStyle name="标题 4 28" xfId="4197"/>
    <cellStyle name="标题 4 28 2" xfId="2236"/>
    <cellStyle name="标题 4 28 2 2" xfId="520"/>
    <cellStyle name="标题 4 28 3" xfId="3615"/>
    <cellStyle name="标题 4 29" xfId="4199"/>
    <cellStyle name="标题 4 29 2" xfId="2263"/>
    <cellStyle name="标题 4 3" xfId="4200"/>
    <cellStyle name="标题 4 3 2" xfId="4201"/>
    <cellStyle name="标题 4 30" xfId="4182"/>
    <cellStyle name="标题 4 30 2" xfId="2157"/>
    <cellStyle name="标题 4 30 2 2" xfId="2950"/>
    <cellStyle name="标题 4 31" xfId="4186"/>
    <cellStyle name="标题 4 31 2" xfId="2189"/>
    <cellStyle name="标题 4 31 2 2" xfId="4188"/>
    <cellStyle name="标题 4 32" xfId="4191"/>
    <cellStyle name="标题 4 32 2" xfId="2215"/>
    <cellStyle name="标题 4 32 2 2" xfId="4194"/>
    <cellStyle name="标题 4 33" xfId="4196"/>
    <cellStyle name="标题 4 33 2" xfId="2237"/>
    <cellStyle name="标题 4 33 2 2" xfId="521"/>
    <cellStyle name="标题 4 34" xfId="4198"/>
    <cellStyle name="标题 4 34 2" xfId="2264"/>
    <cellStyle name="标题 4 34 2 2" xfId="4202"/>
    <cellStyle name="标题 4 35" xfId="4203"/>
    <cellStyle name="标题 4 35 2" xfId="192"/>
    <cellStyle name="标题 4 36" xfId="4204"/>
    <cellStyle name="标题 4 36 2" xfId="2300"/>
    <cellStyle name="标题 4 37" xfId="3851"/>
    <cellStyle name="标题 4 37 2" xfId="2319"/>
    <cellStyle name="标题 4 4" xfId="4207"/>
    <cellStyle name="标题 4 4 2" xfId="4210"/>
    <cellStyle name="标题 4 5" xfId="4213"/>
    <cellStyle name="标题 4 5 2" xfId="4214"/>
    <cellStyle name="标题 4 6" xfId="4217"/>
    <cellStyle name="标题 4 6 2" xfId="4219"/>
    <cellStyle name="标题 4 7" xfId="4220"/>
    <cellStyle name="标题 4 7 2" xfId="4221"/>
    <cellStyle name="标题 4 8" xfId="4223"/>
    <cellStyle name="标题 4 8 2" xfId="4224"/>
    <cellStyle name="标题 4 9" xfId="4225"/>
    <cellStyle name="标题 4 9 2" xfId="4226"/>
    <cellStyle name="标题 4 9 2 2" xfId="3756"/>
    <cellStyle name="标题 4 9 3" xfId="4227"/>
    <cellStyle name="标题 40" xfId="3039"/>
    <cellStyle name="标题 40 2" xfId="4104"/>
    <cellStyle name="标题 5" xfId="4228"/>
    <cellStyle name="标题 5 2" xfId="4229"/>
    <cellStyle name="标题 5 3" xfId="4230"/>
    <cellStyle name="标题 6" xfId="4231"/>
    <cellStyle name="标题 6 2" xfId="2360"/>
    <cellStyle name="标题 7" xfId="4232"/>
    <cellStyle name="标题 7 2" xfId="4233"/>
    <cellStyle name="标题 8" xfId="4234"/>
    <cellStyle name="标题 8 2" xfId="4236"/>
    <cellStyle name="标题 9" xfId="4237"/>
    <cellStyle name="标题 9 2" xfId="4239"/>
    <cellStyle name="差" xfId="42"/>
    <cellStyle name="差 10" xfId="4240"/>
    <cellStyle name="差 10 2" xfId="4241"/>
    <cellStyle name="差 10 2 2" xfId="3580"/>
    <cellStyle name="差 10 2 3" xfId="3584"/>
    <cellStyle name="差 10 3" xfId="4242"/>
    <cellStyle name="差 10 4" xfId="4243"/>
    <cellStyle name="差 11" xfId="4244"/>
    <cellStyle name="差 11 2" xfId="4245"/>
    <cellStyle name="差 11 2 2" xfId="3784"/>
    <cellStyle name="差 11 2 3" xfId="3789"/>
    <cellStyle name="差 11 3" xfId="4246"/>
    <cellStyle name="差 11 4" xfId="4247"/>
    <cellStyle name="差 12" xfId="4248"/>
    <cellStyle name="差 12 2" xfId="3992"/>
    <cellStyle name="差 12 2 2" xfId="3172"/>
    <cellStyle name="差 12 2 3" xfId="3994"/>
    <cellStyle name="差 12 3" xfId="3998"/>
    <cellStyle name="差 12 4" xfId="4011"/>
    <cellStyle name="差 13" xfId="4249"/>
    <cellStyle name="差 13 2" xfId="4250"/>
    <cellStyle name="差 13 2 2" xfId="4251"/>
    <cellStyle name="差 13 2 3" xfId="4253"/>
    <cellStyle name="差 13 3" xfId="4255"/>
    <cellStyle name="差 13 4" xfId="4256"/>
    <cellStyle name="差 14" xfId="4257"/>
    <cellStyle name="差 14 2" xfId="4258"/>
    <cellStyle name="差 14 2 2" xfId="4259"/>
    <cellStyle name="差 14 2 3" xfId="4260"/>
    <cellStyle name="差 14 3" xfId="4261"/>
    <cellStyle name="差 14 4" xfId="4262"/>
    <cellStyle name="差 15" xfId="4264"/>
    <cellStyle name="差 15 2" xfId="4266"/>
    <cellStyle name="差 15 2 2" xfId="4268"/>
    <cellStyle name="差 15 2 3" xfId="4270"/>
    <cellStyle name="差 15 3" xfId="4272"/>
    <cellStyle name="差 15 4" xfId="4274"/>
    <cellStyle name="差 16" xfId="4276"/>
    <cellStyle name="差 16 2" xfId="4278"/>
    <cellStyle name="差 16 2 2" xfId="4280"/>
    <cellStyle name="差 16 2 3" xfId="4282"/>
    <cellStyle name="差 16 3" xfId="4284"/>
    <cellStyle name="差 16 4" xfId="4286"/>
    <cellStyle name="差 17" xfId="4288"/>
    <cellStyle name="差 17 2" xfId="4136"/>
    <cellStyle name="差 17 2 2" xfId="3226"/>
    <cellStyle name="差 17 2 3" xfId="4140"/>
    <cellStyle name="差 17 3" xfId="4143"/>
    <cellStyle name="差 17 4" xfId="4151"/>
    <cellStyle name="差 18" xfId="4290"/>
    <cellStyle name="差 18 2" xfId="4292"/>
    <cellStyle name="差 18 2 2" xfId="4294"/>
    <cellStyle name="差 18 2 3" xfId="4297"/>
    <cellStyle name="差 18 3" xfId="4300"/>
    <cellStyle name="差 18 4" xfId="4302"/>
    <cellStyle name="差 19" xfId="4304"/>
    <cellStyle name="差 19 2" xfId="4306"/>
    <cellStyle name="差 19 2 2" xfId="4308"/>
    <cellStyle name="差 19 2 3" xfId="4310"/>
    <cellStyle name="差 19 3" xfId="4312"/>
    <cellStyle name="差 19 4" xfId="4314"/>
    <cellStyle name="差 2" xfId="4315"/>
    <cellStyle name="差 2 2" xfId="4316"/>
    <cellStyle name="差 2 3" xfId="4317"/>
    <cellStyle name="差 2 4" xfId="4318"/>
    <cellStyle name="差 20" xfId="4263"/>
    <cellStyle name="差 20 2" xfId="4265"/>
    <cellStyle name="差 20 2 2" xfId="4267"/>
    <cellStyle name="差 20 2 3" xfId="4269"/>
    <cellStyle name="差 20 3" xfId="4271"/>
    <cellStyle name="差 20 4" xfId="4273"/>
    <cellStyle name="差 21" xfId="4275"/>
    <cellStyle name="差 21 2" xfId="4277"/>
    <cellStyle name="差 21 2 2" xfId="4279"/>
    <cellStyle name="差 21 2 3" xfId="4281"/>
    <cellStyle name="差 21 3" xfId="4283"/>
    <cellStyle name="差 21 4" xfId="4285"/>
    <cellStyle name="差 22" xfId="4287"/>
    <cellStyle name="差 22 2" xfId="4135"/>
    <cellStyle name="差 22 2 2" xfId="3227"/>
    <cellStyle name="差 22 2 3" xfId="4139"/>
    <cellStyle name="差 22 3" xfId="4142"/>
    <cellStyle name="差 22 4" xfId="4150"/>
    <cellStyle name="差 23" xfId="4289"/>
    <cellStyle name="差 23 2" xfId="4291"/>
    <cellStyle name="差 23 2 2" xfId="4293"/>
    <cellStyle name="差 23 2 3" xfId="4296"/>
    <cellStyle name="差 23 3" xfId="4299"/>
    <cellStyle name="差 23 4" xfId="4301"/>
    <cellStyle name="差 24" xfId="4303"/>
    <cellStyle name="差 24 2" xfId="4305"/>
    <cellStyle name="差 24 2 2" xfId="4307"/>
    <cellStyle name="差 24 2 3" xfId="4309"/>
    <cellStyle name="差 24 3" xfId="4311"/>
    <cellStyle name="差 24 4" xfId="4313"/>
    <cellStyle name="差 25" xfId="4320"/>
    <cellStyle name="差 25 2" xfId="4322"/>
    <cellStyle name="差 25 2 2" xfId="4325"/>
    <cellStyle name="差 25 2 3" xfId="4326"/>
    <cellStyle name="差 25 3" xfId="4327"/>
    <cellStyle name="差 25 4" xfId="3839"/>
    <cellStyle name="差 26" xfId="4329"/>
    <cellStyle name="差 26 2" xfId="4331"/>
    <cellStyle name="差 26 2 2" xfId="4333"/>
    <cellStyle name="差 26 2 3" xfId="4334"/>
    <cellStyle name="差 26 3" xfId="4335"/>
    <cellStyle name="差 26 4" xfId="4337"/>
    <cellStyle name="差 27" xfId="4344"/>
    <cellStyle name="差 27 2" xfId="4349"/>
    <cellStyle name="差 27 2 2" xfId="4352"/>
    <cellStyle name="差 27 2 3" xfId="4353"/>
    <cellStyle name="差 27 3" xfId="4355"/>
    <cellStyle name="差 27 4" xfId="4356"/>
    <cellStyle name="差 28" xfId="4361"/>
    <cellStyle name="差 28 2" xfId="4365"/>
    <cellStyle name="差 28 2 2" xfId="4367"/>
    <cellStyle name="差 28 2 3" xfId="4369"/>
    <cellStyle name="差 28 3" xfId="4374"/>
    <cellStyle name="差 28 4" xfId="4375"/>
    <cellStyle name="差 29" xfId="4380"/>
    <cellStyle name="差 29 2" xfId="4382"/>
    <cellStyle name="差 29 3" xfId="4383"/>
    <cellStyle name="差 3" xfId="4384"/>
    <cellStyle name="差 3 2" xfId="4385"/>
    <cellStyle name="差 3 3" xfId="4386"/>
    <cellStyle name="差 30" xfId="4319"/>
    <cellStyle name="差 30 2" xfId="4321"/>
    <cellStyle name="差 30 2 2" xfId="4324"/>
    <cellStyle name="差 31" xfId="4328"/>
    <cellStyle name="差 31 2" xfId="4330"/>
    <cellStyle name="差 31 2 2" xfId="4332"/>
    <cellStyle name="差 32" xfId="4343"/>
    <cellStyle name="差 32 2" xfId="4348"/>
    <cellStyle name="差 32 2 2" xfId="4351"/>
    <cellStyle name="差 33" xfId="4360"/>
    <cellStyle name="差 33 2" xfId="4364"/>
    <cellStyle name="差 33 2 2" xfId="4366"/>
    <cellStyle name="差 34" xfId="4379"/>
    <cellStyle name="差 34 2" xfId="4381"/>
    <cellStyle name="差 34 2 2" xfId="4387"/>
    <cellStyle name="差 35" xfId="4390"/>
    <cellStyle name="差 35 2" xfId="4391"/>
    <cellStyle name="差 36" xfId="4392"/>
    <cellStyle name="差 36 2" xfId="4393"/>
    <cellStyle name="差 37" xfId="4394"/>
    <cellStyle name="差 37 2" xfId="4395"/>
    <cellStyle name="差 38" xfId="4396"/>
    <cellStyle name="差 39" xfId="4397"/>
    <cellStyle name="差 4" xfId="4398"/>
    <cellStyle name="差 4 2" xfId="4399"/>
    <cellStyle name="差 4 3" xfId="4400"/>
    <cellStyle name="差 5" xfId="4401"/>
    <cellStyle name="差 5 2" xfId="4402"/>
    <cellStyle name="差 5 3" xfId="4403"/>
    <cellStyle name="差 6" xfId="4404"/>
    <cellStyle name="差 6 2" xfId="4405"/>
    <cellStyle name="差 6 3" xfId="4406"/>
    <cellStyle name="差 7" xfId="4407"/>
    <cellStyle name="差 7 2" xfId="4408"/>
    <cellStyle name="差 7 3" xfId="4409"/>
    <cellStyle name="差 8" xfId="4410"/>
    <cellStyle name="差 8 2" xfId="4411"/>
    <cellStyle name="差 8 3" xfId="4412"/>
    <cellStyle name="差 9" xfId="4413"/>
    <cellStyle name="差 9 2" xfId="4414"/>
    <cellStyle name="差 9 2 2" xfId="4416"/>
    <cellStyle name="差 9 2 3" xfId="4418"/>
    <cellStyle name="差 9 3" xfId="4419"/>
    <cellStyle name="差 9 4" xfId="4420"/>
    <cellStyle name="差_主车间功率表" xfId="4421"/>
    <cellStyle name="差_主车间功率表 2" xfId="4423"/>
    <cellStyle name="常规 10" xfId="4424"/>
    <cellStyle name="常规 10 2" xfId="4425"/>
    <cellStyle name="常规 10 2 2" xfId="4426"/>
    <cellStyle name="常规 11" xfId="4427"/>
    <cellStyle name="常规 11 2" xfId="4428"/>
    <cellStyle name="常规 12" xfId="4430"/>
    <cellStyle name="常规 12 2" xfId="4431"/>
    <cellStyle name="常规 13" xfId="4433"/>
    <cellStyle name="常规 14" xfId="4436"/>
    <cellStyle name="常规 15" xfId="3530"/>
    <cellStyle name="常规 17" xfId="4440"/>
    <cellStyle name="常规 17 2" xfId="507"/>
    <cellStyle name="常规 17 2 2" xfId="3897"/>
    <cellStyle name="常规 17 3" xfId="4441"/>
    <cellStyle name="常规 2" xfId="4443"/>
    <cellStyle name="常规 2 10" xfId="4445"/>
    <cellStyle name="常规 2 10 2" xfId="4447"/>
    <cellStyle name="常规 2 10 2 2" xfId="3900"/>
    <cellStyle name="常规 2 10 3" xfId="4449"/>
    <cellStyle name="常规 2 11" xfId="4451"/>
    <cellStyle name="常规 2 11 2" xfId="4453"/>
    <cellStyle name="常规 2 11 2 2" xfId="4454"/>
    <cellStyle name="常规 2 11 3" xfId="4456"/>
    <cellStyle name="常规 2 12" xfId="4458"/>
    <cellStyle name="常规 2 12 2" xfId="4460"/>
    <cellStyle name="常规 2 12 2 2" xfId="3709"/>
    <cellStyle name="常规 2 12 3" xfId="4462"/>
    <cellStyle name="常规 2 13" xfId="4464"/>
    <cellStyle name="常规 2 13 2" xfId="4466"/>
    <cellStyle name="常规 2 13 2 2" xfId="4467"/>
    <cellStyle name="常规 2 13 3" xfId="4469"/>
    <cellStyle name="常规 2 14" xfId="4471"/>
    <cellStyle name="常规 2 14 2" xfId="1547"/>
    <cellStyle name="常规 2 14 2 2" xfId="4472"/>
    <cellStyle name="常规 2 15" xfId="1863"/>
    <cellStyle name="常规 2 15 2" xfId="1605"/>
    <cellStyle name="常规 2 16" xfId="1877"/>
    <cellStyle name="常规 2 16 2" xfId="738"/>
    <cellStyle name="常规 2 17" xfId="1887"/>
    <cellStyle name="常规 2 17 2" xfId="1628"/>
    <cellStyle name="常规 2 18" xfId="3416"/>
    <cellStyle name="常规 2 18 2" xfId="1632"/>
    <cellStyle name="常规 2 19" xfId="3420"/>
    <cellStyle name="常规 2 19 2" xfId="1636"/>
    <cellStyle name="常规 2 2" xfId="4475"/>
    <cellStyle name="常规 2 2 10" xfId="4476"/>
    <cellStyle name="常规 2 2 11" xfId="4477"/>
    <cellStyle name="常规 2 2 12" xfId="4478"/>
    <cellStyle name="常规 2 2 13" xfId="4222"/>
    <cellStyle name="常规 2 2 14" xfId="4479"/>
    <cellStyle name="常规 2 2 15" xfId="4481"/>
    <cellStyle name="常规 2 2 16" xfId="4483"/>
    <cellStyle name="常规 2 2 17" xfId="2497"/>
    <cellStyle name="常规 2 2 18" xfId="2502"/>
    <cellStyle name="常规 2 2 19" xfId="2505"/>
    <cellStyle name="常规 2 2 2" xfId="4485"/>
    <cellStyle name="常规 2 2 2 10" xfId="4046"/>
    <cellStyle name="常规 2 2 2 11" xfId="4049"/>
    <cellStyle name="常规 2 2 2 12" xfId="4486"/>
    <cellStyle name="常规 2 2 2 13" xfId="4487"/>
    <cellStyle name="常规 2 2 2 14" xfId="4488"/>
    <cellStyle name="常规 2 2 2 15" xfId="4490"/>
    <cellStyle name="常规 2 2 2 16" xfId="4492"/>
    <cellStyle name="常规 2 2 2 17" xfId="4494"/>
    <cellStyle name="常规 2 2 2 18" xfId="4496"/>
    <cellStyle name="常规 2 2 2 19" xfId="4115"/>
    <cellStyle name="常规 2 2 2 2" xfId="4497"/>
    <cellStyle name="常规 2 2 2 20" xfId="4489"/>
    <cellStyle name="常规 2 2 2 21" xfId="4491"/>
    <cellStyle name="常规 2 2 2 22" xfId="4493"/>
    <cellStyle name="常规 2 2 2 23" xfId="4495"/>
    <cellStyle name="常规 2 2 2 24" xfId="4114"/>
    <cellStyle name="常规 2 2 2 25" xfId="2869"/>
    <cellStyle name="常规 2 2 2 26" xfId="2873"/>
    <cellStyle name="常规 2 2 2 27" xfId="4499"/>
    <cellStyle name="常规 2 2 2 28" xfId="4501"/>
    <cellStyle name="常规 2 2 2 29" xfId="4503"/>
    <cellStyle name="常规 2 2 2 3" xfId="4504"/>
    <cellStyle name="常规 2 2 2 30" xfId="2870"/>
    <cellStyle name="常规 2 2 2 31" xfId="2874"/>
    <cellStyle name="常规 2 2 2 32" xfId="4498"/>
    <cellStyle name="常规 2 2 2 33" xfId="4500"/>
    <cellStyle name="常规 2 2 2 34" xfId="4502"/>
    <cellStyle name="常规 2 2 2 35" xfId="4505"/>
    <cellStyle name="常规 2 2 2 36" xfId="4506"/>
    <cellStyle name="常规 2 2 2 37" xfId="4507"/>
    <cellStyle name="常规 2 2 2 38" xfId="4415"/>
    <cellStyle name="常规 2 2 2 4" xfId="153"/>
    <cellStyle name="常规 2 2 2 5" xfId="118"/>
    <cellStyle name="常规 2 2 2 6" xfId="177"/>
    <cellStyle name="常规 2 2 2 7" xfId="190"/>
    <cellStyle name="常规 2 2 2 8" xfId="222"/>
    <cellStyle name="常规 2 2 2 9" xfId="236"/>
    <cellStyle name="常规 2 2 20" xfId="4480"/>
    <cellStyle name="常规 2 2 21" xfId="4482"/>
    <cellStyle name="常规 2 2 22" xfId="2498"/>
    <cellStyle name="常规 2 2 23" xfId="2503"/>
    <cellStyle name="常规 2 2 24" xfId="2506"/>
    <cellStyle name="常规 2 2 25" xfId="4509"/>
    <cellStyle name="常规 2 2 26" xfId="4511"/>
    <cellStyle name="常规 2 2 27" xfId="4513"/>
    <cellStyle name="常规 2 2 28" xfId="4515"/>
    <cellStyle name="常规 2 2 29" xfId="4517"/>
    <cellStyle name="常规 2 2 3" xfId="4519"/>
    <cellStyle name="常规 2 2 3 2" xfId="4520"/>
    <cellStyle name="常规 2 2 30" xfId="4508"/>
    <cellStyle name="常规 2 2 31" xfId="4510"/>
    <cellStyle name="常规 2 2 32" xfId="4512"/>
    <cellStyle name="常规 2 2 33" xfId="4514"/>
    <cellStyle name="常规 2 2 34" xfId="4516"/>
    <cellStyle name="常规 2 2 35" xfId="2390"/>
    <cellStyle name="常规 2 2 36" xfId="215"/>
    <cellStyle name="常规 2 2 37" xfId="150"/>
    <cellStyle name="常规 2 2 38" xfId="4521"/>
    <cellStyle name="常规 2 2 4" xfId="4522"/>
    <cellStyle name="常规 2 2 4 2" xfId="4523"/>
    <cellStyle name="常规 2 2 5" xfId="4524"/>
    <cellStyle name="常规 2 2 6" xfId="4525"/>
    <cellStyle name="常规 2 2 7" xfId="4526"/>
    <cellStyle name="常规 2 2 8" xfId="3604"/>
    <cellStyle name="常规 2 2 9" xfId="486"/>
    <cellStyle name="常规 2 20" xfId="1862"/>
    <cellStyle name="常规 2 20 2" xfId="1604"/>
    <cellStyle name="常规 2 21" xfId="1876"/>
    <cellStyle name="常规 2 21 2" xfId="739"/>
    <cellStyle name="常规 2 22" xfId="1886"/>
    <cellStyle name="常规 2 22 2" xfId="1627"/>
    <cellStyle name="常规 2 23" xfId="3417"/>
    <cellStyle name="常规 2 23 2" xfId="1631"/>
    <cellStyle name="常规 2 24" xfId="3421"/>
    <cellStyle name="常规 2 24 2" xfId="1635"/>
    <cellStyle name="常规 2 25" xfId="4528"/>
    <cellStyle name="常规 2 25 2" xfId="1641"/>
    <cellStyle name="常规 2 26" xfId="4530"/>
    <cellStyle name="常规 2 26 2" xfId="1653"/>
    <cellStyle name="常规 2 27" xfId="4532"/>
    <cellStyle name="常规 2 27 2" xfId="2958"/>
    <cellStyle name="常规 2 28" xfId="4534"/>
    <cellStyle name="常规 2 28 2" xfId="292"/>
    <cellStyle name="常规 2 29" xfId="4536"/>
    <cellStyle name="常规 2 3" xfId="4538"/>
    <cellStyle name="常规 2 3 2" xfId="4539"/>
    <cellStyle name="常规 2 3 2 2" xfId="4540"/>
    <cellStyle name="常规 2 3 3" xfId="4541"/>
    <cellStyle name="常规 2 30" xfId="4527"/>
    <cellStyle name="常规 2 30 2" xfId="1640"/>
    <cellStyle name="常规 2 30 2 2" xfId="4158"/>
    <cellStyle name="常规 2 30 3" xfId="4542"/>
    <cellStyle name="常规 2 30 4" xfId="4543"/>
    <cellStyle name="常规 2 31" xfId="4529"/>
    <cellStyle name="常规 2 31 2" xfId="1652"/>
    <cellStyle name="常规 2 31 2 2" xfId="4548"/>
    <cellStyle name="常规 2 31 3" xfId="209"/>
    <cellStyle name="常规 2 31 4" xfId="4549"/>
    <cellStyle name="常规 2 32" xfId="4531"/>
    <cellStyle name="常规 2 32 2" xfId="2959"/>
    <cellStyle name="常规 2 32 2 2" xfId="4550"/>
    <cellStyle name="常规 2 32 3" xfId="2962"/>
    <cellStyle name="常规 2 32 4" xfId="4551"/>
    <cellStyle name="常规 2 33" xfId="4533"/>
    <cellStyle name="常规 2 33 2" xfId="291"/>
    <cellStyle name="常规 2 33 2 2" xfId="4552"/>
    <cellStyle name="常规 2 33 3" xfId="252"/>
    <cellStyle name="常规 2 33 4" xfId="4553"/>
    <cellStyle name="常规 2 34" xfId="4535"/>
    <cellStyle name="常规 2 34 2" xfId="296"/>
    <cellStyle name="常规 2 34 2 2" xfId="4554"/>
    <cellStyle name="常规 2 34 3" xfId="75"/>
    <cellStyle name="常规 2 34 4" xfId="79"/>
    <cellStyle name="常规 2 35" xfId="4556"/>
    <cellStyle name="常规 2 35 2" xfId="333"/>
    <cellStyle name="常规 2 36" xfId="4558"/>
    <cellStyle name="常规 2 36 2" xfId="365"/>
    <cellStyle name="常规 2 37" xfId="4560"/>
    <cellStyle name="常规 2 37 2" xfId="414"/>
    <cellStyle name="常规 2 38" xfId="4562"/>
    <cellStyle name="常规 2 39" xfId="1738"/>
    <cellStyle name="常规 2 4" xfId="4564"/>
    <cellStyle name="常规 2 4 2" xfId="4567"/>
    <cellStyle name="常规 2 4 3" xfId="4570"/>
    <cellStyle name="常规 2 40" xfId="4555"/>
    <cellStyle name="常规 2 41" xfId="4557"/>
    <cellStyle name="常规 2 42" xfId="4559"/>
    <cellStyle name="常规 2 43" xfId="4561"/>
    <cellStyle name="常规 2 44" xfId="1737"/>
    <cellStyle name="常规 2 45" xfId="762"/>
    <cellStyle name="常规 2 46" xfId="765"/>
    <cellStyle name="常规 2 47" xfId="4571"/>
    <cellStyle name="常规 2 48" xfId="4572"/>
    <cellStyle name="常规 2 49" xfId="4574"/>
    <cellStyle name="常规 2 5" xfId="4575"/>
    <cellStyle name="常规 2 5 2" xfId="4576"/>
    <cellStyle name="常规 2 5 3" xfId="4577"/>
    <cellStyle name="常规 2 6" xfId="4578"/>
    <cellStyle name="常规 2 6 2" xfId="4580"/>
    <cellStyle name="常规 2 6 3" xfId="4581"/>
    <cellStyle name="常规 2 7" xfId="4235"/>
    <cellStyle name="常规 2 7 2" xfId="4582"/>
    <cellStyle name="常规 2 7 3" xfId="4583"/>
    <cellStyle name="常规 2 8" xfId="4584"/>
    <cellStyle name="常规 2 8 2" xfId="4586"/>
    <cellStyle name="常规 2 8 3" xfId="4588"/>
    <cellStyle name="常规 2 9" xfId="4590"/>
    <cellStyle name="常规 2 9 2" xfId="4594"/>
    <cellStyle name="常规 2 9 2 2" xfId="4598"/>
    <cellStyle name="常规 2 9 3" xfId="4601"/>
    <cellStyle name="常规 21" xfId="3534"/>
    <cellStyle name="常规 3" xfId="4606"/>
    <cellStyle name="常规 3 10" xfId="4607"/>
    <cellStyle name="常规 3 11" xfId="4608"/>
    <cellStyle name="常规 3 12" xfId="4609"/>
    <cellStyle name="常规 3 13" xfId="4610"/>
    <cellStyle name="常规 3 2" xfId="4613"/>
    <cellStyle name="常规 3 2 2" xfId="4616"/>
    <cellStyle name="常规 3 2 2 2" xfId="4617"/>
    <cellStyle name="常规 3 2 3" xfId="4620"/>
    <cellStyle name="常规 3 2 4" xfId="4621"/>
    <cellStyle name="常规 3 3" xfId="4624"/>
    <cellStyle name="常规 3 3 2" xfId="774"/>
    <cellStyle name="常规 3 3 2 2" xfId="780"/>
    <cellStyle name="常规 3 3 3" xfId="795"/>
    <cellStyle name="常规 3 4" xfId="4627"/>
    <cellStyle name="常规 3 4 2" xfId="4628"/>
    <cellStyle name="常规 3 4 2 2" xfId="4629"/>
    <cellStyle name="常规 3 4 3" xfId="36"/>
    <cellStyle name="常规 3 5" xfId="4630"/>
    <cellStyle name="常规 3 5 2" xfId="4631"/>
    <cellStyle name="常规 3 5 2 2" xfId="4422"/>
    <cellStyle name="常规 3 5 3" xfId="4632"/>
    <cellStyle name="常规 3 6" xfId="4633"/>
    <cellStyle name="常规 3 6 2" xfId="4634"/>
    <cellStyle name="常规 3 6 2 2" xfId="4637"/>
    <cellStyle name="常规 3 6 3" xfId="4640"/>
    <cellStyle name="常规 3 7" xfId="4238"/>
    <cellStyle name="常规 3 7 2" xfId="4643"/>
    <cellStyle name="常规 3 8" xfId="4644"/>
    <cellStyle name="常规 3 8 2" xfId="199"/>
    <cellStyle name="常规 3 9" xfId="4645"/>
    <cellStyle name="常规 4" xfId="4649"/>
    <cellStyle name="常规 4 2" xfId="4652"/>
    <cellStyle name="常规 4 2 2" xfId="4656"/>
    <cellStyle name="常规 4 3" xfId="4661"/>
    <cellStyle name="常规 4 4" xfId="4657"/>
    <cellStyle name="常规 5" xfId="4664"/>
    <cellStyle name="常规 5 10" xfId="4665"/>
    <cellStyle name="常规 5 11" xfId="4666"/>
    <cellStyle name="常规 5 12" xfId="4667"/>
    <cellStyle name="常规 5 2" xfId="2507"/>
    <cellStyle name="常规 5 2 2" xfId="2513"/>
    <cellStyle name="常规 5 2 3" xfId="2519"/>
    <cellStyle name="常规 5 2 4" xfId="2523"/>
    <cellStyle name="常规 5 3" xfId="2525"/>
    <cellStyle name="常规 5 3 2" xfId="2530"/>
    <cellStyle name="常规 5 4" xfId="2539"/>
    <cellStyle name="常规 5 4 2" xfId="2548"/>
    <cellStyle name="常规 5 5" xfId="2564"/>
    <cellStyle name="常规 5 5 2" xfId="2567"/>
    <cellStyle name="常规 5 6" xfId="2575"/>
    <cellStyle name="常规 5 6 2" xfId="4668"/>
    <cellStyle name="常规 5 7" xfId="2579"/>
    <cellStyle name="常规 5 7 2" xfId="4671"/>
    <cellStyle name="常规 5 8" xfId="919"/>
    <cellStyle name="常规 5 9" xfId="932"/>
    <cellStyle name="常规 6" xfId="4674"/>
    <cellStyle name="常规 6 2" xfId="4677"/>
    <cellStyle name="常规 6 2 2" xfId="4680"/>
    <cellStyle name="常规 6 2 3" xfId="4683"/>
    <cellStyle name="常规 6 3" xfId="4686"/>
    <cellStyle name="常规 6 3 2" xfId="4687"/>
    <cellStyle name="常规 6 4" xfId="4690"/>
    <cellStyle name="常规 7" xfId="4694"/>
    <cellStyle name="常规 7 2" xfId="4698"/>
    <cellStyle name="常规 7 2 2" xfId="4702"/>
    <cellStyle name="常规 7 3" xfId="4706"/>
    <cellStyle name="常规 7 3 2" xfId="4075"/>
    <cellStyle name="常规 7 4" xfId="4710"/>
    <cellStyle name="常规 8" xfId="4715"/>
    <cellStyle name="常规 8 2" xfId="4721"/>
    <cellStyle name="常规 8 2 2" xfId="4727"/>
    <cellStyle name="常规 8 3" xfId="4733"/>
    <cellStyle name="常规 8 3 2" xfId="4735"/>
    <cellStyle name="常规 8 4" xfId="4741"/>
    <cellStyle name="常规 9" xfId="4746"/>
    <cellStyle name="常规 9 2" xfId="2878"/>
    <cellStyle name="常规 9 2 2" xfId="2884"/>
    <cellStyle name="常规 9 3" xfId="2902"/>
    <cellStyle name="常规 9 3 2" xfId="2906"/>
    <cellStyle name="常规 9 4" xfId="2913"/>
    <cellStyle name="常规_越南特驱IO清册(最新1)" xfId="4747"/>
    <cellStyle name="常规_越南特驱IO清册(最新1) 2" xfId="840"/>
    <cellStyle name="超级链接" xfId="4748"/>
    <cellStyle name="超级链接 2" xfId="4749"/>
    <cellStyle name="好" xfId="137"/>
    <cellStyle name="好 10" xfId="4442"/>
    <cellStyle name="好 10 2" xfId="4474"/>
    <cellStyle name="好 10 2 2" xfId="4484"/>
    <cellStyle name="好 10 2 3" xfId="4518"/>
    <cellStyle name="好 10 3" xfId="4537"/>
    <cellStyle name="好 10 4" xfId="4563"/>
    <cellStyle name="好 11" xfId="4605"/>
    <cellStyle name="好 11 2" xfId="4612"/>
    <cellStyle name="好 11 2 2" xfId="4615"/>
    <cellStyle name="好 11 2 3" xfId="4619"/>
    <cellStyle name="好 11 3" xfId="4623"/>
    <cellStyle name="好 11 4" xfId="4626"/>
    <cellStyle name="好 12" xfId="4648"/>
    <cellStyle name="好 12 2" xfId="4651"/>
    <cellStyle name="好 12 2 2" xfId="4654"/>
    <cellStyle name="好 12 2 3" xfId="4751"/>
    <cellStyle name="好 12 3" xfId="4660"/>
    <cellStyle name="好 12 4" xfId="4653"/>
    <cellStyle name="好 13" xfId="4663"/>
    <cellStyle name="好 13 2" xfId="2508"/>
    <cellStyle name="好 13 2 2" xfId="2517"/>
    <cellStyle name="好 13 2 3" xfId="2522"/>
    <cellStyle name="好 13 3" xfId="2529"/>
    <cellStyle name="好 13 4" xfId="2543"/>
    <cellStyle name="好 14" xfId="4673"/>
    <cellStyle name="好 14 2" xfId="4676"/>
    <cellStyle name="好 14 2 2" xfId="4679"/>
    <cellStyle name="好 14 2 3" xfId="4682"/>
    <cellStyle name="好 14 3" xfId="4685"/>
    <cellStyle name="好 14 4" xfId="4689"/>
    <cellStyle name="好 15" xfId="4692"/>
    <cellStyle name="好 15 2" xfId="4696"/>
    <cellStyle name="好 15 2 2" xfId="4700"/>
    <cellStyle name="好 15 2 3" xfId="4753"/>
    <cellStyle name="好 15 3" xfId="4704"/>
    <cellStyle name="好 15 4" xfId="4708"/>
    <cellStyle name="好 16" xfId="4713"/>
    <cellStyle name="好 16 2" xfId="4719"/>
    <cellStyle name="好 16 2 2" xfId="4725"/>
    <cellStyle name="好 16 2 3" xfId="4757"/>
    <cellStyle name="好 16 3" xfId="4731"/>
    <cellStyle name="好 16 4" xfId="4739"/>
    <cellStyle name="好 17" xfId="4744"/>
    <cellStyle name="好 17 2" xfId="2876"/>
    <cellStyle name="好 17 2 2" xfId="2882"/>
    <cellStyle name="好 17 2 3" xfId="2890"/>
    <cellStyle name="好 17 3" xfId="2900"/>
    <cellStyle name="好 17 4" xfId="2911"/>
    <cellStyle name="好 18" xfId="4761"/>
    <cellStyle name="好 18 2" xfId="2968"/>
    <cellStyle name="好 18 2 2" xfId="1615"/>
    <cellStyle name="好 18 2 3" xfId="2973"/>
    <cellStyle name="好 18 3" xfId="2978"/>
    <cellStyle name="好 18 4" xfId="2985"/>
    <cellStyle name="好 19" xfId="4765"/>
    <cellStyle name="好 19 2" xfId="3044"/>
    <cellStyle name="好 19 2 2" xfId="3049"/>
    <cellStyle name="好 19 2 3" xfId="3054"/>
    <cellStyle name="好 19 3" xfId="3059"/>
    <cellStyle name="好 19 4" xfId="3066"/>
    <cellStyle name="好 2" xfId="4767"/>
    <cellStyle name="好 2 2" xfId="4768"/>
    <cellStyle name="好 2 3" xfId="3176"/>
    <cellStyle name="好 20" xfId="4693"/>
    <cellStyle name="好 20 2" xfId="4697"/>
    <cellStyle name="好 20 2 2" xfId="4701"/>
    <cellStyle name="好 20 2 3" xfId="4754"/>
    <cellStyle name="好 20 3" xfId="4705"/>
    <cellStyle name="好 20 4" xfId="4709"/>
    <cellStyle name="好 21" xfId="4714"/>
    <cellStyle name="好 21 2" xfId="4720"/>
    <cellStyle name="好 21 2 2" xfId="4726"/>
    <cellStyle name="好 21 2 3" xfId="4758"/>
    <cellStyle name="好 21 3" xfId="4732"/>
    <cellStyle name="好 21 4" xfId="4740"/>
    <cellStyle name="好 22" xfId="4745"/>
    <cellStyle name="好 22 2" xfId="2875"/>
    <cellStyle name="好 22 2 2" xfId="2881"/>
    <cellStyle name="好 22 2 3" xfId="2889"/>
    <cellStyle name="好 22 3" xfId="2899"/>
    <cellStyle name="好 22 4" xfId="2910"/>
    <cellStyle name="好 23" xfId="4762"/>
    <cellStyle name="好 23 2" xfId="2967"/>
    <cellStyle name="好 23 2 2" xfId="1616"/>
    <cellStyle name="好 23 2 3" xfId="2972"/>
    <cellStyle name="好 23 3" xfId="2977"/>
    <cellStyle name="好 23 4" xfId="2984"/>
    <cellStyle name="好 24" xfId="4766"/>
    <cellStyle name="好 24 2" xfId="3043"/>
    <cellStyle name="好 24 2 2" xfId="3048"/>
    <cellStyle name="好 24 2 3" xfId="3053"/>
    <cellStyle name="好 24 3" xfId="3058"/>
    <cellStyle name="好 24 4" xfId="3065"/>
    <cellStyle name="好 25" xfId="3302"/>
    <cellStyle name="好 25 2" xfId="3113"/>
    <cellStyle name="好 25 2 2" xfId="3123"/>
    <cellStyle name="好 25 2 3" xfId="3127"/>
    <cellStyle name="好 25 3" xfId="3131"/>
    <cellStyle name="好 25 4" xfId="3139"/>
    <cellStyle name="好 26" xfId="3309"/>
    <cellStyle name="好 26 2" xfId="3180"/>
    <cellStyle name="好 26 2 2" xfId="3185"/>
    <cellStyle name="好 26 2 3" xfId="3188"/>
    <cellStyle name="好 26 3" xfId="3191"/>
    <cellStyle name="好 26 4" xfId="3196"/>
    <cellStyle name="好 27" xfId="4546"/>
    <cellStyle name="好 27 2" xfId="3237"/>
    <cellStyle name="好 27 2 2" xfId="3244"/>
    <cellStyle name="好 27 2 3" xfId="2664"/>
    <cellStyle name="好 27 3" xfId="3249"/>
    <cellStyle name="好 27 4" xfId="3258"/>
    <cellStyle name="好 28" xfId="4771"/>
    <cellStyle name="好 28 2" xfId="4437"/>
    <cellStyle name="好 28 2 2" xfId="4775"/>
    <cellStyle name="好 28 2 3" xfId="4779"/>
    <cellStyle name="好 28 3" xfId="3529"/>
    <cellStyle name="好 28 4" xfId="3533"/>
    <cellStyle name="好 29" xfId="4782"/>
    <cellStyle name="好 29 2" xfId="4786"/>
    <cellStyle name="好 29 3" xfId="4789"/>
    <cellStyle name="好 3" xfId="4790"/>
    <cellStyle name="好 3 2" xfId="4791"/>
    <cellStyle name="好 3 3" xfId="3230"/>
    <cellStyle name="好 30" xfId="3301"/>
    <cellStyle name="好 30 2" xfId="3112"/>
    <cellStyle name="好 30 2 2" xfId="3122"/>
    <cellStyle name="好 31" xfId="3308"/>
    <cellStyle name="好 31 2" xfId="3179"/>
    <cellStyle name="好 31 2 2" xfId="3184"/>
    <cellStyle name="好 32" xfId="4547"/>
    <cellStyle name="好 32 2" xfId="3236"/>
    <cellStyle name="好 32 2 2" xfId="3243"/>
    <cellStyle name="好 33" xfId="4772"/>
    <cellStyle name="好 33 2" xfId="4438"/>
    <cellStyle name="好 33 2 2" xfId="4776"/>
    <cellStyle name="好 34" xfId="4783"/>
    <cellStyle name="好 34 2" xfId="4787"/>
    <cellStyle name="好 34 2 2" xfId="4793"/>
    <cellStyle name="好 35" xfId="4796"/>
    <cellStyle name="好 35 2" xfId="4799"/>
    <cellStyle name="好 36" xfId="4801"/>
    <cellStyle name="好 36 2" xfId="4802"/>
    <cellStyle name="好 37" xfId="3842"/>
    <cellStyle name="好 37 2" xfId="4803"/>
    <cellStyle name="好 38" xfId="4805"/>
    <cellStyle name="好 39" xfId="4807"/>
    <cellStyle name="好 4" xfId="4808"/>
    <cellStyle name="好 4 2" xfId="4429"/>
    <cellStyle name="好 4 3" xfId="4432"/>
    <cellStyle name="好 5" xfId="4809"/>
    <cellStyle name="好 5 2" xfId="4810"/>
    <cellStyle name="好 5 3" xfId="4811"/>
    <cellStyle name="好 6" xfId="4812"/>
    <cellStyle name="好 6 2" xfId="4813"/>
    <cellStyle name="好 6 3" xfId="4814"/>
    <cellStyle name="好 7" xfId="4815"/>
    <cellStyle name="好 7 2" xfId="4816"/>
    <cellStyle name="好 7 3" xfId="4817"/>
    <cellStyle name="好 8" xfId="4818"/>
    <cellStyle name="好 8 2" xfId="4819"/>
    <cellStyle name="好 8 3" xfId="4820"/>
    <cellStyle name="好 9" xfId="4821"/>
    <cellStyle name="好 9 2" xfId="4822"/>
    <cellStyle name="好 9 2 2" xfId="4823"/>
    <cellStyle name="好 9 2 3" xfId="4824"/>
    <cellStyle name="好 9 3" xfId="4825"/>
    <cellStyle name="好 9 4" xfId="4826"/>
    <cellStyle name="好_主车间功率表" xfId="386"/>
    <cellStyle name="好_主车间功率表 2" xfId="4827"/>
    <cellStyle name="好_主车间功率表_1" xfId="4828"/>
    <cellStyle name="好_主车间功率表_1 2" xfId="2378"/>
    <cellStyle name="后继超级链接" xfId="4829"/>
    <cellStyle name="后继超级链接 2" xfId="4830"/>
    <cellStyle name="汇总" xfId="131"/>
    <cellStyle name="汇总 10" xfId="4831"/>
    <cellStyle name="汇总 10 2" xfId="4832"/>
    <cellStyle name="汇总 10 2 2" xfId="4833"/>
    <cellStyle name="汇总 10 3" xfId="4834"/>
    <cellStyle name="汇总 11" xfId="4835"/>
    <cellStyle name="汇总 11 2" xfId="4836"/>
    <cellStyle name="汇总 11 2 2" xfId="4837"/>
    <cellStyle name="汇总 11 3" xfId="4838"/>
    <cellStyle name="汇总 12" xfId="4839"/>
    <cellStyle name="汇总 12 2" xfId="4840"/>
    <cellStyle name="汇总 12 2 2" xfId="4841"/>
    <cellStyle name="汇总 12 3" xfId="4842"/>
    <cellStyle name="汇总 13" xfId="4844"/>
    <cellStyle name="汇总 13 2" xfId="3920"/>
    <cellStyle name="汇总 13 2 2" xfId="1467"/>
    <cellStyle name="汇总 13 3" xfId="3928"/>
    <cellStyle name="汇总 14" xfId="4845"/>
    <cellStyle name="汇总 14 2" xfId="4846"/>
    <cellStyle name="汇总 14 2 2" xfId="4847"/>
    <cellStyle name="汇总 14 3" xfId="4848"/>
    <cellStyle name="汇总 15" xfId="4849"/>
    <cellStyle name="汇总 15 2" xfId="4851"/>
    <cellStyle name="汇总 15 2 2" xfId="4853"/>
    <cellStyle name="汇总 15 3" xfId="4855"/>
    <cellStyle name="汇总 16" xfId="4859"/>
    <cellStyle name="汇总 16 2" xfId="4861"/>
    <cellStyle name="汇总 16 2 2" xfId="4863"/>
    <cellStyle name="汇总 16 3" xfId="4865"/>
    <cellStyle name="汇总 17" xfId="4869"/>
    <cellStyle name="汇总 17 2" xfId="4871"/>
    <cellStyle name="汇总 17 2 2" xfId="4873"/>
    <cellStyle name="汇总 17 3" xfId="4875"/>
    <cellStyle name="汇总 18" xfId="4877"/>
    <cellStyle name="汇总 18 2" xfId="4059"/>
    <cellStyle name="汇总 18 2 2" xfId="1783"/>
    <cellStyle name="汇总 18 3" xfId="4068"/>
    <cellStyle name="汇总 19" xfId="4879"/>
    <cellStyle name="汇总 19 2" xfId="4881"/>
    <cellStyle name="汇总 19 2 2" xfId="4883"/>
    <cellStyle name="汇总 19 3" xfId="4885"/>
    <cellStyle name="汇总 2" xfId="4887"/>
    <cellStyle name="汇总 2 2" xfId="4888"/>
    <cellStyle name="汇总 2 3" xfId="4889"/>
    <cellStyle name="汇总 20" xfId="4850"/>
    <cellStyle name="汇总 20 2" xfId="4852"/>
    <cellStyle name="汇总 20 2 2" xfId="4854"/>
    <cellStyle name="汇总 20 3" xfId="4856"/>
    <cellStyle name="汇总 21" xfId="4860"/>
    <cellStyle name="汇总 21 2" xfId="4862"/>
    <cellStyle name="汇总 21 2 2" xfId="4864"/>
    <cellStyle name="汇总 21 3" xfId="4866"/>
    <cellStyle name="汇总 22" xfId="4870"/>
    <cellStyle name="汇总 22 2" xfId="4872"/>
    <cellStyle name="汇总 22 2 2" xfId="4874"/>
    <cellStyle name="汇总 22 3" xfId="4876"/>
    <cellStyle name="汇总 23" xfId="4878"/>
    <cellStyle name="汇总 23 2" xfId="4058"/>
    <cellStyle name="汇总 23 2 2" xfId="1782"/>
    <cellStyle name="汇总 23 3" xfId="4067"/>
    <cellStyle name="汇总 24" xfId="4880"/>
    <cellStyle name="汇总 24 2" xfId="4882"/>
    <cellStyle name="汇总 24 2 2" xfId="4884"/>
    <cellStyle name="汇总 24 3" xfId="4886"/>
    <cellStyle name="汇总 25" xfId="4890"/>
    <cellStyle name="汇总 25 2" xfId="4892"/>
    <cellStyle name="汇总 25 2 2" xfId="4894"/>
    <cellStyle name="汇总 25 3" xfId="4896"/>
    <cellStyle name="汇总 26" xfId="3299"/>
    <cellStyle name="汇总 26 2" xfId="3304"/>
    <cellStyle name="汇总 26 2 2" xfId="3116"/>
    <cellStyle name="汇总 26 3" xfId="3310"/>
    <cellStyle name="汇总 27" xfId="3315"/>
    <cellStyle name="汇总 27 2" xfId="4897"/>
    <cellStyle name="汇总 27 2 2" xfId="4899"/>
    <cellStyle name="汇总 27 3" xfId="4901"/>
    <cellStyle name="汇总 28" xfId="3318"/>
    <cellStyle name="汇总 28 2" xfId="4180"/>
    <cellStyle name="汇总 28 2 2" xfId="2159"/>
    <cellStyle name="汇总 28 3" xfId="4185"/>
    <cellStyle name="汇总 29" xfId="4902"/>
    <cellStyle name="汇总 29 2" xfId="4904"/>
    <cellStyle name="汇总 3" xfId="4908"/>
    <cellStyle name="汇总 3 2" xfId="4909"/>
    <cellStyle name="汇总 30" xfId="4891"/>
    <cellStyle name="汇总 30 2" xfId="4893"/>
    <cellStyle name="汇总 30 2 2" xfId="4895"/>
    <cellStyle name="汇总 31" xfId="3298"/>
    <cellStyle name="汇总 31 2" xfId="3303"/>
    <cellStyle name="汇总 31 2 2" xfId="3115"/>
    <cellStyle name="汇总 32" xfId="3314"/>
    <cellStyle name="汇总 32 2" xfId="4898"/>
    <cellStyle name="汇总 32 2 2" xfId="4900"/>
    <cellStyle name="汇总 33" xfId="3317"/>
    <cellStyle name="汇总 33 2" xfId="4181"/>
    <cellStyle name="汇总 33 2 2" xfId="2158"/>
    <cellStyle name="汇总 34" xfId="4903"/>
    <cellStyle name="汇总 34 2" xfId="4905"/>
    <cellStyle name="汇总 34 2 2" xfId="4910"/>
    <cellStyle name="汇总 35" xfId="4911"/>
    <cellStyle name="汇总 35 2" xfId="4912"/>
    <cellStyle name="汇总 36" xfId="4913"/>
    <cellStyle name="汇总 36 2" xfId="4914"/>
    <cellStyle name="汇总 37" xfId="4915"/>
    <cellStyle name="汇总 37 2" xfId="37"/>
    <cellStyle name="汇总 4" xfId="4916"/>
    <cellStyle name="汇总 4 2" xfId="4917"/>
    <cellStyle name="汇总 5" xfId="4473"/>
    <cellStyle name="汇总 5 2" xfId="4918"/>
    <cellStyle name="汇总 6" xfId="4919"/>
    <cellStyle name="汇总 6 2" xfId="4920"/>
    <cellStyle name="汇总 7" xfId="4922"/>
    <cellStyle name="汇总 7 2" xfId="4924"/>
    <cellStyle name="汇总 8" xfId="4926"/>
    <cellStyle name="汇总 8 2" xfId="4927"/>
    <cellStyle name="汇总 9" xfId="3596"/>
    <cellStyle name="汇总 9 2" xfId="4928"/>
    <cellStyle name="汇总 9 2 2" xfId="4929"/>
    <cellStyle name="汇总 9 3" xfId="4930"/>
    <cellStyle name="计算" xfId="106"/>
    <cellStyle name="计算 10" xfId="4931"/>
    <cellStyle name="计算 10 2" xfId="4932"/>
    <cellStyle name="计算 10 2 2" xfId="4933"/>
    <cellStyle name="计算 10 2 3" xfId="3291"/>
    <cellStyle name="计算 10 3" xfId="4934"/>
    <cellStyle name="计算 10 4" xfId="4937"/>
    <cellStyle name="计算 11" xfId="4938"/>
    <cellStyle name="计算 11 2" xfId="4939"/>
    <cellStyle name="计算 11 2 2" xfId="4940"/>
    <cellStyle name="计算 11 2 3" xfId="4106"/>
    <cellStyle name="计算 11 3" xfId="4941"/>
    <cellStyle name="计算 11 4" xfId="4942"/>
    <cellStyle name="计算 12" xfId="4943"/>
    <cellStyle name="计算 12 2" xfId="4944"/>
    <cellStyle name="计算 12 2 2" xfId="4945"/>
    <cellStyle name="计算 12 2 3" xfId="4109"/>
    <cellStyle name="计算 12 3" xfId="4946"/>
    <cellStyle name="计算 12 4" xfId="4947"/>
    <cellStyle name="计算 13" xfId="4948"/>
    <cellStyle name="计算 13 2" xfId="4949"/>
    <cellStyle name="计算 13 2 2" xfId="2689"/>
    <cellStyle name="计算 13 2 3" xfId="2706"/>
    <cellStyle name="计算 13 3" xfId="4950"/>
    <cellStyle name="计算 13 4" xfId="4951"/>
    <cellStyle name="计算 14" xfId="4952"/>
    <cellStyle name="计算 14 2" xfId="4953"/>
    <cellStyle name="计算 14 2 2" xfId="4954"/>
    <cellStyle name="计算 14 2 3" xfId="4955"/>
    <cellStyle name="计算 14 3" xfId="4956"/>
    <cellStyle name="计算 14 4" xfId="4957"/>
    <cellStyle name="计算 15" xfId="4958"/>
    <cellStyle name="计算 15 2" xfId="4960"/>
    <cellStyle name="计算 15 2 2" xfId="860"/>
    <cellStyle name="计算 15 2 3" xfId="867"/>
    <cellStyle name="计算 15 3" xfId="4962"/>
    <cellStyle name="计算 15 4" xfId="4964"/>
    <cellStyle name="计算 16" xfId="4966"/>
    <cellStyle name="计算 16 2" xfId="4968"/>
    <cellStyle name="计算 16 2 2" xfId="4970"/>
    <cellStyle name="计算 16 2 3" xfId="4972"/>
    <cellStyle name="计算 16 3" xfId="4974"/>
    <cellStyle name="计算 16 4" xfId="4977"/>
    <cellStyle name="计算 17" xfId="4979"/>
    <cellStyle name="计算 17 2" xfId="4981"/>
    <cellStyle name="计算 17 2 2" xfId="4983"/>
    <cellStyle name="计算 17 2 3" xfId="4985"/>
    <cellStyle name="计算 17 3" xfId="4987"/>
    <cellStyle name="计算 17 4" xfId="4989"/>
    <cellStyle name="计算 18" xfId="4991"/>
    <cellStyle name="计算 18 2" xfId="4993"/>
    <cellStyle name="计算 18 2 2" xfId="4995"/>
    <cellStyle name="计算 18 2 3" xfId="4997"/>
    <cellStyle name="计算 18 3" xfId="4999"/>
    <cellStyle name="计算 18 4" xfId="5001"/>
    <cellStyle name="计算 19" xfId="5003"/>
    <cellStyle name="计算 19 2" xfId="5005"/>
    <cellStyle name="计算 19 2 2" xfId="5008"/>
    <cellStyle name="计算 19 2 3" xfId="5010"/>
    <cellStyle name="计算 19 3" xfId="5012"/>
    <cellStyle name="计算 19 4" xfId="5014"/>
    <cellStyle name="计算 2" xfId="5017"/>
    <cellStyle name="计算 2 2" xfId="5018"/>
    <cellStyle name="计算 2 3" xfId="5019"/>
    <cellStyle name="计算 2 4" xfId="5020"/>
    <cellStyle name="计算 20" xfId="4959"/>
    <cellStyle name="计算 20 2" xfId="4961"/>
    <cellStyle name="计算 20 2 2" xfId="859"/>
    <cellStyle name="计算 20 2 3" xfId="866"/>
    <cellStyle name="计算 20 3" xfId="4963"/>
    <cellStyle name="计算 20 4" xfId="4965"/>
    <cellStyle name="计算 21" xfId="4967"/>
    <cellStyle name="计算 21 2" xfId="4969"/>
    <cellStyle name="计算 21 2 2" xfId="4971"/>
    <cellStyle name="计算 21 2 3" xfId="4973"/>
    <cellStyle name="计算 21 3" xfId="4975"/>
    <cellStyle name="计算 21 4" xfId="4978"/>
    <cellStyle name="计算 22" xfId="4980"/>
    <cellStyle name="计算 22 2" xfId="4982"/>
    <cellStyle name="计算 22 2 2" xfId="4984"/>
    <cellStyle name="计算 22 2 3" xfId="4986"/>
    <cellStyle name="计算 22 3" xfId="4988"/>
    <cellStyle name="计算 22 4" xfId="4990"/>
    <cellStyle name="计算 23" xfId="4992"/>
    <cellStyle name="计算 23 2" xfId="4994"/>
    <cellStyle name="计算 23 2 2" xfId="4996"/>
    <cellStyle name="计算 23 2 3" xfId="4998"/>
    <cellStyle name="计算 23 3" xfId="5000"/>
    <cellStyle name="计算 23 4" xfId="5002"/>
    <cellStyle name="计算 24" xfId="5004"/>
    <cellStyle name="计算 24 2" xfId="5006"/>
    <cellStyle name="计算 24 2 2" xfId="5009"/>
    <cellStyle name="计算 24 2 3" xfId="5011"/>
    <cellStyle name="计算 24 3" xfId="5013"/>
    <cellStyle name="计算 24 4" xfId="5015"/>
    <cellStyle name="计算 25" xfId="5021"/>
    <cellStyle name="计算 25 2" xfId="5023"/>
    <cellStyle name="计算 25 2 2" xfId="3557"/>
    <cellStyle name="计算 25 2 3" xfId="5025"/>
    <cellStyle name="计算 25 3" xfId="5026"/>
    <cellStyle name="计算 25 4" xfId="5027"/>
    <cellStyle name="计算 26" xfId="5028"/>
    <cellStyle name="计算 26 2" xfId="5030"/>
    <cellStyle name="计算 26 2 2" xfId="5032"/>
    <cellStyle name="计算 26 2 3" xfId="5034"/>
    <cellStyle name="计算 26 3" xfId="5035"/>
    <cellStyle name="计算 26 4" xfId="5036"/>
    <cellStyle name="计算 27" xfId="5037"/>
    <cellStyle name="计算 27 2" xfId="5039"/>
    <cellStyle name="计算 27 2 2" xfId="5041"/>
    <cellStyle name="计算 27 2 3" xfId="5043"/>
    <cellStyle name="计算 27 3" xfId="5044"/>
    <cellStyle name="计算 27 4" xfId="5045"/>
    <cellStyle name="计算 28" xfId="5046"/>
    <cellStyle name="计算 28 2" xfId="5048"/>
    <cellStyle name="计算 28 2 2" xfId="5050"/>
    <cellStyle name="计算 28 2 3" xfId="5052"/>
    <cellStyle name="计算 28 3" xfId="5053"/>
    <cellStyle name="计算 28 4" xfId="5054"/>
    <cellStyle name="计算 29" xfId="5055"/>
    <cellStyle name="计算 29 2" xfId="5057"/>
    <cellStyle name="计算 29 3" xfId="5059"/>
    <cellStyle name="计算 3" xfId="5060"/>
    <cellStyle name="计算 3 2" xfId="5061"/>
    <cellStyle name="计算 3 3" xfId="5062"/>
    <cellStyle name="计算 30" xfId="5022"/>
    <cellStyle name="计算 30 2" xfId="5024"/>
    <cellStyle name="计算 30 2 2" xfId="3556"/>
    <cellStyle name="计算 31" xfId="5029"/>
    <cellStyle name="计算 31 2" xfId="5031"/>
    <cellStyle name="计算 31 2 2" xfId="5033"/>
    <cellStyle name="计算 32" xfId="5038"/>
    <cellStyle name="计算 32 2" xfId="5040"/>
    <cellStyle name="计算 32 2 2" xfId="5042"/>
    <cellStyle name="计算 33" xfId="5047"/>
    <cellStyle name="计算 33 2" xfId="5049"/>
    <cellStyle name="计算 33 2 2" xfId="5051"/>
    <cellStyle name="计算 34" xfId="5056"/>
    <cellStyle name="计算 34 2" xfId="5058"/>
    <cellStyle name="计算 34 2 2" xfId="5063"/>
    <cellStyle name="计算 35" xfId="4193"/>
    <cellStyle name="计算 35 2" xfId="5064"/>
    <cellStyle name="计算 36" xfId="5065"/>
    <cellStyle name="计算 36 2" xfId="5066"/>
    <cellStyle name="计算 37" xfId="5067"/>
    <cellStyle name="计算 37 2" xfId="2311"/>
    <cellStyle name="计算 4" xfId="5068"/>
    <cellStyle name="计算 4 2" xfId="5069"/>
    <cellStyle name="计算 4 3" xfId="5070"/>
    <cellStyle name="计算 5" xfId="5071"/>
    <cellStyle name="计算 5 2" xfId="5072"/>
    <cellStyle name="计算 5 3" xfId="5073"/>
    <cellStyle name="计算 6" xfId="5074"/>
    <cellStyle name="计算 6 2" xfId="5075"/>
    <cellStyle name="计算 6 3" xfId="5076"/>
    <cellStyle name="计算 7" xfId="3550"/>
    <cellStyle name="计算 7 2" xfId="5077"/>
    <cellStyle name="计算 7 3" xfId="5007"/>
    <cellStyle name="计算 8" xfId="2410"/>
    <cellStyle name="计算 8 2" xfId="5078"/>
    <cellStyle name="计算 8 3" xfId="5079"/>
    <cellStyle name="计算 9" xfId="5080"/>
    <cellStyle name="计算 9 2" xfId="5081"/>
    <cellStyle name="计算 9 2 2" xfId="5082"/>
    <cellStyle name="计算 9 2 3" xfId="5083"/>
    <cellStyle name="计算 9 3" xfId="5084"/>
    <cellStyle name="计算 9 4" xfId="5085"/>
    <cellStyle name="检查单元格" xfId="116"/>
    <cellStyle name="检查单元格 10" xfId="5086"/>
    <cellStyle name="检查单元格 10 2" xfId="5088"/>
    <cellStyle name="检查单元格 10 2 2" xfId="5089"/>
    <cellStyle name="检查单元格 10 2 3" xfId="5090"/>
    <cellStyle name="检查单元格 10 3" xfId="5091"/>
    <cellStyle name="检查单元格 10 4" xfId="5092"/>
    <cellStyle name="检查单元格 11" xfId="5093"/>
    <cellStyle name="检查单元格 11 2" xfId="5094"/>
    <cellStyle name="检查单元格 11 2 2" xfId="5095"/>
    <cellStyle name="检查单元格 11 2 3" xfId="2262"/>
    <cellStyle name="检查单元格 11 3" xfId="5096"/>
    <cellStyle name="检查单元格 11 4" xfId="5097"/>
    <cellStyle name="检查单元格 12" xfId="5098"/>
    <cellStyle name="检查单元格 12 2" xfId="5099"/>
    <cellStyle name="检查单元格 12 2 2" xfId="5100"/>
    <cellStyle name="检查单元格 12 2 3" xfId="5101"/>
    <cellStyle name="检查单元格 12 3" xfId="5102"/>
    <cellStyle name="检查单元格 12 4" xfId="5103"/>
    <cellStyle name="检查单元格 13" xfId="5104"/>
    <cellStyle name="检查单元格 13 2" xfId="5105"/>
    <cellStyle name="检查单元格 13 2 2" xfId="5106"/>
    <cellStyle name="检查单元格 13 2 3" xfId="5107"/>
    <cellStyle name="检查单元格 13 3" xfId="5108"/>
    <cellStyle name="检查单元格 13 4" xfId="5109"/>
    <cellStyle name="检查单元格 14" xfId="5110"/>
    <cellStyle name="检查单元格 14 2" xfId="5111"/>
    <cellStyle name="检查单元格 14 2 2" xfId="5112"/>
    <cellStyle name="检查单元格 14 2 3" xfId="5113"/>
    <cellStyle name="检查单元格 14 3" xfId="5114"/>
    <cellStyle name="检查单元格 14 4" xfId="2293"/>
    <cellStyle name="检查单元格 15" xfId="1580"/>
    <cellStyle name="检查单元格 15 2" xfId="203"/>
    <cellStyle name="检查单元格 15 2 2" xfId="5115"/>
    <cellStyle name="检查单元格 15 2 3" xfId="5117"/>
    <cellStyle name="检查单元格 15 3" xfId="230"/>
    <cellStyle name="检查单元格 15 4" xfId="5119"/>
    <cellStyle name="检查单元格 16" xfId="1587"/>
    <cellStyle name="检查单元格 16 2" xfId="5121"/>
    <cellStyle name="检查单元格 16 2 2" xfId="5123"/>
    <cellStyle name="检查单元格 16 2 3" xfId="5125"/>
    <cellStyle name="检查单元格 16 3" xfId="5127"/>
    <cellStyle name="检查单元格 16 4" xfId="5129"/>
    <cellStyle name="检查单元格 17" xfId="1593"/>
    <cellStyle name="检查单元格 17 2" xfId="5131"/>
    <cellStyle name="检查单元格 17 2 2" xfId="5133"/>
    <cellStyle name="检查单元格 17 2 3" xfId="5135"/>
    <cellStyle name="检查单元格 17 3" xfId="5137"/>
    <cellStyle name="检查单元格 17 4" xfId="5139"/>
    <cellStyle name="检查单元格 18" xfId="5141"/>
    <cellStyle name="检查单元格 18 2" xfId="5143"/>
    <cellStyle name="检查单元格 18 2 2" xfId="5145"/>
    <cellStyle name="检查单元格 18 2 3" xfId="5147"/>
    <cellStyle name="检查单元格 18 3" xfId="5149"/>
    <cellStyle name="检查单元格 18 4" xfId="5151"/>
    <cellStyle name="检查单元格 19" xfId="3751"/>
    <cellStyle name="检查单元格 19 2" xfId="5153"/>
    <cellStyle name="检查单元格 19 2 2" xfId="5155"/>
    <cellStyle name="检查单元格 19 2 3" xfId="5157"/>
    <cellStyle name="检查单元格 19 3" xfId="5159"/>
    <cellStyle name="检查单元格 19 4" xfId="5161"/>
    <cellStyle name="检查单元格 2" xfId="4976"/>
    <cellStyle name="检查单元格 2 2" xfId="5163"/>
    <cellStyle name="检查单元格 2 3" xfId="5164"/>
    <cellStyle name="检查单元格 20" xfId="1581"/>
    <cellStyle name="检查单元格 20 2" xfId="204"/>
    <cellStyle name="检查单元格 20 2 2" xfId="5116"/>
    <cellStyle name="检查单元格 20 2 3" xfId="5118"/>
    <cellStyle name="检查单元格 20 3" xfId="231"/>
    <cellStyle name="检查单元格 20 4" xfId="5120"/>
    <cellStyle name="检查单元格 21" xfId="1588"/>
    <cellStyle name="检查单元格 21 2" xfId="5122"/>
    <cellStyle name="检查单元格 21 2 2" xfId="5124"/>
    <cellStyle name="检查单元格 21 2 3" xfId="5126"/>
    <cellStyle name="检查单元格 21 3" xfId="5128"/>
    <cellStyle name="检查单元格 21 4" xfId="5130"/>
    <cellStyle name="检查单元格 22" xfId="1594"/>
    <cellStyle name="检查单元格 22 2" xfId="5132"/>
    <cellStyle name="检查单元格 22 2 2" xfId="5134"/>
    <cellStyle name="检查单元格 22 2 3" xfId="5136"/>
    <cellStyle name="检查单元格 22 3" xfId="5138"/>
    <cellStyle name="检查单元格 22 4" xfId="5140"/>
    <cellStyle name="检查单元格 23" xfId="5142"/>
    <cellStyle name="检查单元格 23 2" xfId="5144"/>
    <cellStyle name="检查单元格 23 2 2" xfId="5146"/>
    <cellStyle name="检查单元格 23 2 3" xfId="5148"/>
    <cellStyle name="检查单元格 23 3" xfId="5150"/>
    <cellStyle name="检查单元格 23 4" xfId="5152"/>
    <cellStyle name="检查单元格 24" xfId="3750"/>
    <cellStyle name="检查单元格 24 2" xfId="5154"/>
    <cellStyle name="检查单元格 24 2 2" xfId="5156"/>
    <cellStyle name="检查单元格 24 2 3" xfId="5158"/>
    <cellStyle name="检查单元格 24 3" xfId="5160"/>
    <cellStyle name="检查单元格 24 4" xfId="5162"/>
    <cellStyle name="检查单元格 25" xfId="5165"/>
    <cellStyle name="检查单元格 25 2" xfId="5167"/>
    <cellStyle name="检查单元格 25 2 2" xfId="5169"/>
    <cellStyle name="检查单元格 25 2 3" xfId="5171"/>
    <cellStyle name="检查单元格 25 3" xfId="5172"/>
    <cellStyle name="检查单元格 25 4" xfId="5173"/>
    <cellStyle name="检查单元格 26" xfId="5174"/>
    <cellStyle name="检查单元格 26 2" xfId="5176"/>
    <cellStyle name="检查单元格 26 2 2" xfId="5178"/>
    <cellStyle name="检查单元格 26 2 3" xfId="5180"/>
    <cellStyle name="检查单元格 26 3" xfId="5181"/>
    <cellStyle name="检查单元格 26 4" xfId="5182"/>
    <cellStyle name="检查单元格 27" xfId="5183"/>
    <cellStyle name="检查单元格 27 2" xfId="5185"/>
    <cellStyle name="检查单元格 27 2 2" xfId="5187"/>
    <cellStyle name="检查单元格 27 2 3" xfId="5189"/>
    <cellStyle name="检查单元格 27 3" xfId="5190"/>
    <cellStyle name="检查单元格 27 4" xfId="5191"/>
    <cellStyle name="检查单元格 28" xfId="4635"/>
    <cellStyle name="检查单元格 28 2" xfId="4638"/>
    <cellStyle name="检查单元格 28 2 2" xfId="5192"/>
    <cellStyle name="检查单元格 28 2 3" xfId="5194"/>
    <cellStyle name="检查单元格 28 3" xfId="5195"/>
    <cellStyle name="检查单元格 28 4" xfId="5196"/>
    <cellStyle name="检查单元格 29" xfId="4641"/>
    <cellStyle name="检查单元格 29 2" xfId="5197"/>
    <cellStyle name="检查单元格 29 3" xfId="5199"/>
    <cellStyle name="检查单元格 3" xfId="1018"/>
    <cellStyle name="检查单元格 3 2" xfId="3932"/>
    <cellStyle name="检查单元格 3 3" xfId="5200"/>
    <cellStyle name="检查单元格 30" xfId="5166"/>
    <cellStyle name="检查单元格 30 2" xfId="5168"/>
    <cellStyle name="检查单元格 30 2 2" xfId="5170"/>
    <cellStyle name="检查单元格 31" xfId="5175"/>
    <cellStyle name="检查单元格 31 2" xfId="5177"/>
    <cellStyle name="检查单元格 31 2 2" xfId="5179"/>
    <cellStyle name="检查单元格 32" xfId="5184"/>
    <cellStyle name="检查单元格 32 2" xfId="5186"/>
    <cellStyle name="检查单元格 32 2 2" xfId="5188"/>
    <cellStyle name="检查单元格 33" xfId="4636"/>
    <cellStyle name="检查单元格 33 2" xfId="4639"/>
    <cellStyle name="检查单元格 33 2 2" xfId="5193"/>
    <cellStyle name="检查单元格 34" xfId="4642"/>
    <cellStyle name="检查单元格 34 2" xfId="5198"/>
    <cellStyle name="检查单元格 34 2 2" xfId="5201"/>
    <cellStyle name="检查单元格 35" xfId="5202"/>
    <cellStyle name="检查单元格 35 2" xfId="5203"/>
    <cellStyle name="检查单元格 36" xfId="5204"/>
    <cellStyle name="检查单元格 36 2" xfId="5205"/>
    <cellStyle name="检查单元格 37" xfId="5206"/>
    <cellStyle name="检查单元格 37 2" xfId="5207"/>
    <cellStyle name="检查单元格 4" xfId="3935"/>
    <cellStyle name="检查单元格 4 2" xfId="5208"/>
    <cellStyle name="检查单元格 4 3" xfId="5209"/>
    <cellStyle name="检查单元格 5" xfId="5210"/>
    <cellStyle name="检查单元格 5 2" xfId="5211"/>
    <cellStyle name="检查单元格 5 3" xfId="5212"/>
    <cellStyle name="检查单元格 6" xfId="5213"/>
    <cellStyle name="检查单元格 6 2" xfId="5214"/>
    <cellStyle name="检查单元格 6 3" xfId="5215"/>
    <cellStyle name="检查单元格 7" xfId="5216"/>
    <cellStyle name="检查单元格 7 2" xfId="5217"/>
    <cellStyle name="检查单元格 7 3" xfId="5218"/>
    <cellStyle name="检查单元格 8" xfId="5219"/>
    <cellStyle name="检查单元格 8 2" xfId="5220"/>
    <cellStyle name="检查单元格 8 3" xfId="29"/>
    <cellStyle name="检查单元格 9" xfId="5221"/>
    <cellStyle name="检查单元格 9 2" xfId="5222"/>
    <cellStyle name="检查单元格 9 2 2" xfId="5223"/>
    <cellStyle name="检查单元格 9 2 3" xfId="5224"/>
    <cellStyle name="检查单元格 9 3" xfId="5225"/>
    <cellStyle name="检查单元格 9 4" xfId="5226"/>
    <cellStyle name="解释性文本" xfId="70"/>
    <cellStyle name="解释性文本 10" xfId="5227"/>
    <cellStyle name="解释性文本 10 2" xfId="5228"/>
    <cellStyle name="解释性文本 10 2 2" xfId="5229"/>
    <cellStyle name="解释性文本 10 3" xfId="5230"/>
    <cellStyle name="解释性文本 11" xfId="5231"/>
    <cellStyle name="解释性文本 11 2" xfId="5232"/>
    <cellStyle name="解释性文本 11 2 2" xfId="5233"/>
    <cellStyle name="解释性文本 11 3" xfId="5234"/>
    <cellStyle name="解释性文本 12" xfId="5235"/>
    <cellStyle name="解释性文本 12 2" xfId="5236"/>
    <cellStyle name="解释性文本 12 2 2" xfId="5237"/>
    <cellStyle name="解释性文本 12 3" xfId="5238"/>
    <cellStyle name="解释性文本 13" xfId="5239"/>
    <cellStyle name="解释性文本 13 2" xfId="5240"/>
    <cellStyle name="解释性文本 13 2 2" xfId="5241"/>
    <cellStyle name="解释性文本 13 3" xfId="5242"/>
    <cellStyle name="解释性文本 14" xfId="5243"/>
    <cellStyle name="解释性文本 14 2" xfId="5244"/>
    <cellStyle name="解释性文本 14 2 2" xfId="5245"/>
    <cellStyle name="解释性文本 14 3" xfId="5246"/>
    <cellStyle name="解释性文本 15" xfId="5247"/>
    <cellStyle name="解释性文本 15 2" xfId="5249"/>
    <cellStyle name="解释性文本 15 2 2" xfId="5251"/>
    <cellStyle name="解释性文本 15 3" xfId="5253"/>
    <cellStyle name="解释性文本 16" xfId="5255"/>
    <cellStyle name="解释性文本 16 2" xfId="5257"/>
    <cellStyle name="解释性文本 16 2 2" xfId="5259"/>
    <cellStyle name="解释性文本 16 3" xfId="5261"/>
    <cellStyle name="解释性文本 17" xfId="5263"/>
    <cellStyle name="解释性文本 17 2" xfId="3"/>
    <cellStyle name="解释性文本 17 2 2" xfId="3032"/>
    <cellStyle name="解释性文本 17 3" xfId="3775"/>
    <cellStyle name="解释性文本 18" xfId="5265"/>
    <cellStyle name="解释性文本 18 2" xfId="5267"/>
    <cellStyle name="解释性文本 18 2 2" xfId="5269"/>
    <cellStyle name="解释性文本 18 3" xfId="5271"/>
    <cellStyle name="解释性文本 19" xfId="5273"/>
    <cellStyle name="解释性文本 19 2" xfId="5275"/>
    <cellStyle name="解释性文本 19 2 2" xfId="5277"/>
    <cellStyle name="解释性文本 19 3" xfId="5279"/>
    <cellStyle name="解释性文本 2" xfId="5281"/>
    <cellStyle name="解释性文本 2 2" xfId="5282"/>
    <cellStyle name="解释性文本 20" xfId="5248"/>
    <cellStyle name="解释性文本 20 2" xfId="5250"/>
    <cellStyle name="解释性文本 20 2 2" xfId="5252"/>
    <cellStyle name="解释性文本 20 3" xfId="5254"/>
    <cellStyle name="解释性文本 21" xfId="5256"/>
    <cellStyle name="解释性文本 21 2" xfId="5258"/>
    <cellStyle name="解释性文本 21 2 2" xfId="5260"/>
    <cellStyle name="解释性文本 21 3" xfId="5262"/>
    <cellStyle name="解释性文本 22" xfId="5264"/>
    <cellStyle name="解释性文本 22 2" xfId="2"/>
    <cellStyle name="解释性文本 22 2 2" xfId="3031"/>
    <cellStyle name="解释性文本 22 3" xfId="3774"/>
    <cellStyle name="解释性文本 23" xfId="5266"/>
    <cellStyle name="解释性文本 23 2" xfId="5268"/>
    <cellStyle name="解释性文本 23 2 2" xfId="5270"/>
    <cellStyle name="解释性文本 23 3" xfId="5272"/>
    <cellStyle name="解释性文本 24" xfId="5274"/>
    <cellStyle name="解释性文本 24 2" xfId="5276"/>
    <cellStyle name="解释性文本 24 2 2" xfId="5278"/>
    <cellStyle name="解释性文本 24 3" xfId="5280"/>
    <cellStyle name="解释性文本 25" xfId="5283"/>
    <cellStyle name="解释性文本 25 2" xfId="5285"/>
    <cellStyle name="解释性文本 25 2 2" xfId="5287"/>
    <cellStyle name="解释性文本 25 3" xfId="5289"/>
    <cellStyle name="解释性文本 26" xfId="5290"/>
    <cellStyle name="解释性文本 26 2" xfId="5292"/>
    <cellStyle name="解释性文本 26 2 2" xfId="5294"/>
    <cellStyle name="解释性文本 26 3" xfId="5296"/>
    <cellStyle name="解释性文本 27" xfId="5297"/>
    <cellStyle name="解释性文本 27 2" xfId="3891"/>
    <cellStyle name="解释性文本 27 2 2" xfId="3106"/>
    <cellStyle name="解释性文本 27 3" xfId="3894"/>
    <cellStyle name="解释性文本 28" xfId="4669"/>
    <cellStyle name="解释性文本 28 2" xfId="5299"/>
    <cellStyle name="解释性文本 28 2 2" xfId="5301"/>
    <cellStyle name="解释性文本 28 3" xfId="5303"/>
    <cellStyle name="解释性文本 29" xfId="5305"/>
    <cellStyle name="解释性文本 29 2" xfId="104"/>
    <cellStyle name="解释性文本 3" xfId="5307"/>
    <cellStyle name="解释性文本 3 2" xfId="5308"/>
    <cellStyle name="解释性文本 30" xfId="5284"/>
    <cellStyle name="解释性文本 30 2" xfId="5286"/>
    <cellStyle name="解释性文本 30 2 2" xfId="5288"/>
    <cellStyle name="解释性文本 31" xfId="5291"/>
    <cellStyle name="解释性文本 31 2" xfId="5293"/>
    <cellStyle name="解释性文本 31 2 2" xfId="5295"/>
    <cellStyle name="解释性文本 32" xfId="5298"/>
    <cellStyle name="解释性文本 32 2" xfId="3890"/>
    <cellStyle name="解释性文本 32 2 2" xfId="3105"/>
    <cellStyle name="解释性文本 33" xfId="4670"/>
    <cellStyle name="解释性文本 33 2" xfId="5300"/>
    <cellStyle name="解释性文本 33 2 2" xfId="5302"/>
    <cellStyle name="解释性文本 34" xfId="5306"/>
    <cellStyle name="解释性文本 34 2" xfId="105"/>
    <cellStyle name="解释性文本 34 2 2" xfId="5016"/>
    <cellStyle name="解释性文本 35" xfId="5310"/>
    <cellStyle name="解释性文本 35 2" xfId="5311"/>
    <cellStyle name="解释性文本 36" xfId="5315"/>
    <cellStyle name="解释性文本 36 2" xfId="5316"/>
    <cellStyle name="解释性文本 37" xfId="5317"/>
    <cellStyle name="解释性文本 37 2" xfId="3991"/>
    <cellStyle name="解释性文本 4" xfId="5319"/>
    <cellStyle name="解释性文本 4 2" xfId="5320"/>
    <cellStyle name="解释性文本 5" xfId="5324"/>
    <cellStyle name="解释性文本 5 2" xfId="5325"/>
    <cellStyle name="解释性文本 6" xfId="5327"/>
    <cellStyle name="解释性文本 6 2" xfId="5328"/>
    <cellStyle name="解释性文本 7" xfId="5329"/>
    <cellStyle name="解释性文本 7 2" xfId="5330"/>
    <cellStyle name="解释性文本 8" xfId="5331"/>
    <cellStyle name="解释性文本 8 2" xfId="5332"/>
    <cellStyle name="解释性文本 9" xfId="5333"/>
    <cellStyle name="解释性文本 9 2" xfId="5334"/>
    <cellStyle name="解释性文本 9 2 2" xfId="3699"/>
    <cellStyle name="解释性文本 9 3" xfId="5335"/>
    <cellStyle name="警告文本" xfId="64"/>
    <cellStyle name="警告文本 10" xfId="5336"/>
    <cellStyle name="警告文本 10 2" xfId="5337"/>
    <cellStyle name="警告文本 10 2 2" xfId="5340"/>
    <cellStyle name="警告文本 10 3" xfId="5341"/>
    <cellStyle name="警告文本 11" xfId="5342"/>
    <cellStyle name="警告文本 11 2" xfId="5343"/>
    <cellStyle name="警告文本 11 2 2" xfId="5346"/>
    <cellStyle name="警告文本 11 3" xfId="5347"/>
    <cellStyle name="警告文本 12" xfId="5348"/>
    <cellStyle name="警告文本 12 2" xfId="5349"/>
    <cellStyle name="警告文本 12 2 2" xfId="5354"/>
    <cellStyle name="警告文本 12 3" xfId="5355"/>
    <cellStyle name="警告文本 13" xfId="5356"/>
    <cellStyle name="警告文本 13 2" xfId="4370"/>
    <cellStyle name="警告文本 13 2 2" xfId="5357"/>
    <cellStyle name="警告文本 13 3" xfId="5358"/>
    <cellStyle name="警告文本 14" xfId="5359"/>
    <cellStyle name="警告文本 14 2" xfId="5360"/>
    <cellStyle name="警告文本 14 2 2" xfId="5362"/>
    <cellStyle name="警告文本 14 3" xfId="5363"/>
    <cellStyle name="警告文本 15" xfId="5364"/>
    <cellStyle name="警告文本 15 2" xfId="5366"/>
    <cellStyle name="警告文本 15 2 2" xfId="187"/>
    <cellStyle name="警告文本 15 3" xfId="5369"/>
    <cellStyle name="警告文本 16" xfId="5371"/>
    <cellStyle name="警告文本 16 2" xfId="3971"/>
    <cellStyle name="警告文本 16 2 2" xfId="5373"/>
    <cellStyle name="警告文本 16 3" xfId="5375"/>
    <cellStyle name="警告文本 17" xfId="5377"/>
    <cellStyle name="警告文本 17 2" xfId="5379"/>
    <cellStyle name="警告文本 17 2 2" xfId="5381"/>
    <cellStyle name="警告文本 17 3" xfId="5383"/>
    <cellStyle name="警告文本 18" xfId="5385"/>
    <cellStyle name="警告文本 18 2" xfId="5387"/>
    <cellStyle name="警告文本 18 2 2" xfId="5389"/>
    <cellStyle name="警告文本 18 3" xfId="5391"/>
    <cellStyle name="警告文本 19" xfId="5393"/>
    <cellStyle name="警告文本 19 2" xfId="3648"/>
    <cellStyle name="警告文本 19 2 2" xfId="5395"/>
    <cellStyle name="警告文本 19 3" xfId="5397"/>
    <cellStyle name="警告文本 2" xfId="5399"/>
    <cellStyle name="警告文本 2 2" xfId="5400"/>
    <cellStyle name="警告文本 20" xfId="5365"/>
    <cellStyle name="警告文本 20 2" xfId="5367"/>
    <cellStyle name="警告文本 20 2 2" xfId="188"/>
    <cellStyle name="警告文本 20 3" xfId="5370"/>
    <cellStyle name="警告文本 21" xfId="5372"/>
    <cellStyle name="警告文本 21 2" xfId="3970"/>
    <cellStyle name="警告文本 21 2 2" xfId="5374"/>
    <cellStyle name="警告文本 21 3" xfId="5376"/>
    <cellStyle name="警告文本 22" xfId="5378"/>
    <cellStyle name="警告文本 22 2" xfId="5380"/>
    <cellStyle name="警告文本 22 2 2" xfId="5382"/>
    <cellStyle name="警告文本 22 3" xfId="5384"/>
    <cellStyle name="警告文本 23" xfId="5386"/>
    <cellStyle name="警告文本 23 2" xfId="5388"/>
    <cellStyle name="警告文本 23 2 2" xfId="5390"/>
    <cellStyle name="警告文本 23 3" xfId="5392"/>
    <cellStyle name="警告文本 24" xfId="5394"/>
    <cellStyle name="警告文本 24 2" xfId="3647"/>
    <cellStyle name="警告文本 24 2 2" xfId="5396"/>
    <cellStyle name="警告文本 24 3" xfId="5398"/>
    <cellStyle name="警告文本 25" xfId="2060"/>
    <cellStyle name="警告文本 25 2" xfId="3666"/>
    <cellStyle name="警告文本 25 2 2" xfId="3669"/>
    <cellStyle name="警告文本 25 3" xfId="3671"/>
    <cellStyle name="警告文本 26" xfId="2063"/>
    <cellStyle name="警告文本 26 2" xfId="3693"/>
    <cellStyle name="警告文本 26 2 2" xfId="3153"/>
    <cellStyle name="警告文本 26 3" xfId="3695"/>
    <cellStyle name="警告文本 27" xfId="5401"/>
    <cellStyle name="警告文本 27 2" xfId="3722"/>
    <cellStyle name="警告文本 27 2 2" xfId="3725"/>
    <cellStyle name="警告文本 27 3" xfId="3727"/>
    <cellStyle name="警告文本 28" xfId="5403"/>
    <cellStyle name="警告文本 28 2" xfId="3736"/>
    <cellStyle name="警告文本 28 2 2" xfId="5405"/>
    <cellStyle name="警告文本 28 3" xfId="5407"/>
    <cellStyle name="警告文本 29" xfId="5408"/>
    <cellStyle name="警告文本 29 2" xfId="3741"/>
    <cellStyle name="警告文本 3" xfId="5410"/>
    <cellStyle name="警告文本 3 2" xfId="5411"/>
    <cellStyle name="警告文本 30" xfId="2061"/>
    <cellStyle name="警告文本 30 2" xfId="3665"/>
    <cellStyle name="警告文本 30 2 2" xfId="3668"/>
    <cellStyle name="警告文本 31" xfId="2064"/>
    <cellStyle name="警告文本 31 2" xfId="3692"/>
    <cellStyle name="警告文本 31 2 2" xfId="3152"/>
    <cellStyle name="警告文本 32" xfId="5402"/>
    <cellStyle name="警告文本 32 2" xfId="3721"/>
    <cellStyle name="警告文本 32 2 2" xfId="3724"/>
    <cellStyle name="警告文本 33" xfId="5404"/>
    <cellStyle name="警告文本 33 2" xfId="3735"/>
    <cellStyle name="警告文本 33 2 2" xfId="5406"/>
    <cellStyle name="警告文本 34" xfId="5409"/>
    <cellStyle name="警告文本 34 2" xfId="3740"/>
    <cellStyle name="警告文本 34 2 2" xfId="5412"/>
    <cellStyle name="警告文本 35" xfId="5413"/>
    <cellStyle name="警告文本 35 2" xfId="3745"/>
    <cellStyle name="警告文本 36" xfId="5414"/>
    <cellStyle name="警告文本 36 2" xfId="5415"/>
    <cellStyle name="警告文本 37" xfId="5416"/>
    <cellStyle name="警告文本 37 2" xfId="2696"/>
    <cellStyle name="警告文本 4" xfId="5417"/>
    <cellStyle name="警告文本 4 2" xfId="5418"/>
    <cellStyle name="警告文本 5" xfId="5419"/>
    <cellStyle name="警告文本 5 2" xfId="5420"/>
    <cellStyle name="警告文本 6" xfId="5421"/>
    <cellStyle name="警告文本 6 2" xfId="5422"/>
    <cellStyle name="警告文本 7" xfId="5423"/>
    <cellStyle name="警告文本 7 2" xfId="5424"/>
    <cellStyle name="警告文本 8" xfId="5425"/>
    <cellStyle name="警告文本 8 2" xfId="5426"/>
    <cellStyle name="警告文本 9" xfId="5427"/>
    <cellStyle name="警告文本 9 2" xfId="5428"/>
    <cellStyle name="警告文本 9 2 2" xfId="5429"/>
    <cellStyle name="警告文本 9 3" xfId="5430"/>
    <cellStyle name="链接单元格" xfId="130"/>
    <cellStyle name="链接单元格 10" xfId="5431"/>
    <cellStyle name="链接单元格 10 2" xfId="5432"/>
    <cellStyle name="链接单元格 10 2 2" xfId="5433"/>
    <cellStyle name="链接单元格 10 3" xfId="5434"/>
    <cellStyle name="链接单元格 11" xfId="3558"/>
    <cellStyle name="链接单元格 11 2" xfId="3560"/>
    <cellStyle name="链接单元格 11 2 2" xfId="5435"/>
    <cellStyle name="链接单元格 11 3" xfId="2727"/>
    <cellStyle name="链接单元格 12" xfId="3563"/>
    <cellStyle name="链接单元格 12 2" xfId="5436"/>
    <cellStyle name="链接单元格 12 2 2" xfId="5437"/>
    <cellStyle name="链接单元格 12 3" xfId="5438"/>
    <cellStyle name="链接单元格 13" xfId="3565"/>
    <cellStyle name="链接单元格 13 2" xfId="5439"/>
    <cellStyle name="链接单元格 13 2 2" xfId="5440"/>
    <cellStyle name="链接单元格 13 3" xfId="5441"/>
    <cellStyle name="链接单元格 14" xfId="5442"/>
    <cellStyle name="链接单元格 14 2" xfId="5443"/>
    <cellStyle name="链接单元格 14 2 2" xfId="5444"/>
    <cellStyle name="链接单元格 14 3" xfId="5445"/>
    <cellStyle name="链接单元格 15" xfId="3513"/>
    <cellStyle name="链接单元格 15 2" xfId="5446"/>
    <cellStyle name="链接单元格 15 2 2" xfId="5448"/>
    <cellStyle name="链接单元格 15 3" xfId="5450"/>
    <cellStyle name="链接单元格 16" xfId="3516"/>
    <cellStyle name="链接单元格 16 2" xfId="5452"/>
    <cellStyle name="链接单元格 16 2 2" xfId="5454"/>
    <cellStyle name="链接单元格 16 3" xfId="5456"/>
    <cellStyle name="链接单元格 17" xfId="5458"/>
    <cellStyle name="链接单元格 17 2" xfId="5460"/>
    <cellStyle name="链接单元格 17 2 2" xfId="5463"/>
    <cellStyle name="链接单元格 17 3" xfId="5465"/>
    <cellStyle name="链接单元格 18" xfId="5467"/>
    <cellStyle name="链接单元格 18 2" xfId="5469"/>
    <cellStyle name="链接单元格 18 2 2" xfId="5471"/>
    <cellStyle name="链接单元格 18 3" xfId="5473"/>
    <cellStyle name="链接单元格 19" xfId="5475"/>
    <cellStyle name="链接单元格 19 2" xfId="5477"/>
    <cellStyle name="链接单元格 19 2 2" xfId="4935"/>
    <cellStyle name="链接单元格 19 3" xfId="5479"/>
    <cellStyle name="链接单元格 2" xfId="5481"/>
    <cellStyle name="链接单元格 2 2" xfId="5482"/>
    <cellStyle name="链接单元格 20" xfId="3512"/>
    <cellStyle name="链接单元格 20 2" xfId="5447"/>
    <cellStyle name="链接单元格 20 2 2" xfId="5449"/>
    <cellStyle name="链接单元格 20 3" xfId="5451"/>
    <cellStyle name="链接单元格 21" xfId="3515"/>
    <cellStyle name="链接单元格 21 2" xfId="5453"/>
    <cellStyle name="链接单元格 21 2 2" xfId="5455"/>
    <cellStyle name="链接单元格 21 3" xfId="5457"/>
    <cellStyle name="链接单元格 22" xfId="5459"/>
    <cellStyle name="链接单元格 22 2" xfId="5461"/>
    <cellStyle name="链接单元格 22 2 2" xfId="5464"/>
    <cellStyle name="链接单元格 22 3" xfId="5466"/>
    <cellStyle name="链接单元格 23" xfId="5468"/>
    <cellStyle name="链接单元格 23 2" xfId="5470"/>
    <cellStyle name="链接单元格 23 2 2" xfId="5472"/>
    <cellStyle name="链接单元格 23 3" xfId="5474"/>
    <cellStyle name="链接单元格 24" xfId="5476"/>
    <cellStyle name="链接单元格 24 2" xfId="5478"/>
    <cellStyle name="链接单元格 24 2 2" xfId="4936"/>
    <cellStyle name="链接单元格 24 3" xfId="5480"/>
    <cellStyle name="链接单元格 25" xfId="5483"/>
    <cellStyle name="链接单元格 25 2" xfId="5485"/>
    <cellStyle name="链接单元格 25 2 2" xfId="44"/>
    <cellStyle name="链接单元格 25 3" xfId="136"/>
    <cellStyle name="链接单元格 26" xfId="5487"/>
    <cellStyle name="链接单元格 26 2" xfId="5489"/>
    <cellStyle name="链接单元格 26 2 2" xfId="3707"/>
    <cellStyle name="链接单元格 26 3" xfId="5491"/>
    <cellStyle name="链接单元格 27" xfId="5492"/>
    <cellStyle name="链接单元格 27 2" xfId="5494"/>
    <cellStyle name="链接单元格 27 2 2" xfId="5496"/>
    <cellStyle name="链接单元格 27 3" xfId="5498"/>
    <cellStyle name="链接单元格 28" xfId="5499"/>
    <cellStyle name="链接单元格 28 2" xfId="5501"/>
    <cellStyle name="链接单元格 28 2 2" xfId="4906"/>
    <cellStyle name="链接单元格 28 3" xfId="5503"/>
    <cellStyle name="链接单元格 29" xfId="2933"/>
    <cellStyle name="链接单元格 29 2" xfId="5504"/>
    <cellStyle name="链接单元格 3" xfId="5506"/>
    <cellStyle name="链接单元格 3 2" xfId="5507"/>
    <cellStyle name="链接单元格 30" xfId="5484"/>
    <cellStyle name="链接单元格 30 2" xfId="5486"/>
    <cellStyle name="链接单元格 30 2 2" xfId="43"/>
    <cellStyle name="链接单元格 31" xfId="5488"/>
    <cellStyle name="链接单元格 31 2" xfId="5490"/>
    <cellStyle name="链接单元格 31 2 2" xfId="3706"/>
    <cellStyle name="链接单元格 32" xfId="5493"/>
    <cellStyle name="链接单元格 32 2" xfId="5495"/>
    <cellStyle name="链接单元格 32 2 2" xfId="5497"/>
    <cellStyle name="链接单元格 33" xfId="5500"/>
    <cellStyle name="链接单元格 33 2" xfId="5502"/>
    <cellStyle name="链接单元格 33 2 2" xfId="4907"/>
    <cellStyle name="链接单元格 34" xfId="2932"/>
    <cellStyle name="链接单元格 34 2" xfId="5505"/>
    <cellStyle name="链接单元格 34 2 2" xfId="5508"/>
    <cellStyle name="链接单元格 35" xfId="5509"/>
    <cellStyle name="链接单元格 35 2" xfId="5510"/>
    <cellStyle name="链接单元格 36" xfId="5511"/>
    <cellStyle name="链接单元格 36 2" xfId="5512"/>
    <cellStyle name="链接单元格 37" xfId="5513"/>
    <cellStyle name="链接单元格 37 2" xfId="5515"/>
    <cellStyle name="链接单元格 4" xfId="5516"/>
    <cellStyle name="链接单元格 4 2" xfId="5517"/>
    <cellStyle name="链接单元格 5" xfId="5518"/>
    <cellStyle name="链接单元格 5 2" xfId="5519"/>
    <cellStyle name="链接单元格 6" xfId="5520"/>
    <cellStyle name="链接单元格 6 2" xfId="5521"/>
    <cellStyle name="链接单元格 7" xfId="4718"/>
    <cellStyle name="链接单元格 7 2" xfId="4724"/>
    <cellStyle name="链接单元格 8" xfId="4730"/>
    <cellStyle name="链接单元格 8 2" xfId="4734"/>
    <cellStyle name="链接单元格 9" xfId="4738"/>
    <cellStyle name="链接单元格 9 2" xfId="5522"/>
    <cellStyle name="链接单元格 9 2 2" xfId="5523"/>
    <cellStyle name="链接单元格 9 3" xfId="3562"/>
    <cellStyle name="强调文字颜色 1" xfId="154"/>
    <cellStyle name="强调文字颜色 1 10" xfId="5524"/>
    <cellStyle name="强调文字颜色 1 10 2" xfId="1246"/>
    <cellStyle name="强调文字颜色 1 10 2 2" xfId="5525"/>
    <cellStyle name="强调文字颜色 1 10 2 3" xfId="5526"/>
    <cellStyle name="强调文字颜色 1 10 3" xfId="5527"/>
    <cellStyle name="强调文字颜色 1 10 4" xfId="5528"/>
    <cellStyle name="强调文字颜色 1 11" xfId="5529"/>
    <cellStyle name="强调文字颜色 1 11 2" xfId="5530"/>
    <cellStyle name="强调文字颜色 1 11 2 2" xfId="5531"/>
    <cellStyle name="强调文字颜色 1 11 2 3" xfId="5532"/>
    <cellStyle name="强调文字颜色 1 11 3" xfId="5533"/>
    <cellStyle name="强调文字颜色 1 11 4" xfId="5534"/>
    <cellStyle name="强调文字颜色 1 12" xfId="5535"/>
    <cellStyle name="强调文字颜色 1 12 2" xfId="5536"/>
    <cellStyle name="强调文字颜色 1 12 2 2" xfId="5537"/>
    <cellStyle name="强调文字颜色 1 12 2 3" xfId="5538"/>
    <cellStyle name="强调文字颜色 1 12 3" xfId="5539"/>
    <cellStyle name="强调文字颜色 1 12 4" xfId="5540"/>
    <cellStyle name="强调文字颜色 1 13" xfId="5541"/>
    <cellStyle name="强调文字颜色 1 13 2" xfId="5542"/>
    <cellStyle name="强调文字颜色 1 13 2 2" xfId="5543"/>
    <cellStyle name="强调文字颜色 1 13 2 3" xfId="5545"/>
    <cellStyle name="强调文字颜色 1 13 3" xfId="5546"/>
    <cellStyle name="强调文字颜色 1 13 4" xfId="5547"/>
    <cellStyle name="强调文字颜色 1 14" xfId="5548"/>
    <cellStyle name="强调文字颜色 1 14 2" xfId="5549"/>
    <cellStyle name="强调文字颜色 1 14 2 2" xfId="5550"/>
    <cellStyle name="强调文字颜色 1 14 2 3" xfId="5551"/>
    <cellStyle name="强调文字颜色 1 14 3" xfId="5553"/>
    <cellStyle name="强调文字颜色 1 14 4" xfId="5555"/>
    <cellStyle name="强调文字颜色 1 15" xfId="5556"/>
    <cellStyle name="强调文字颜色 1 15 2" xfId="5558"/>
    <cellStyle name="强调文字颜色 1 15 2 2" xfId="5560"/>
    <cellStyle name="强调文字颜色 1 15 2 3" xfId="5562"/>
    <cellStyle name="强调文字颜色 1 15 3" xfId="5565"/>
    <cellStyle name="强调文字颜色 1 15 4" xfId="5568"/>
    <cellStyle name="强调文字颜色 1 16" xfId="5570"/>
    <cellStyle name="强调文字颜色 1 16 2" xfId="5572"/>
    <cellStyle name="强调文字颜色 1 16 2 2" xfId="5574"/>
    <cellStyle name="强调文字颜色 1 16 2 3" xfId="5576"/>
    <cellStyle name="强调文字颜色 1 16 3" xfId="5579"/>
    <cellStyle name="强调文字颜色 1 16 4" xfId="5582"/>
    <cellStyle name="强调文字颜色 1 17" xfId="5584"/>
    <cellStyle name="强调文字颜色 1 17 2" xfId="5586"/>
    <cellStyle name="强调文字颜色 1 17 2 2" xfId="5588"/>
    <cellStyle name="强调文字颜色 1 17 2 3" xfId="5590"/>
    <cellStyle name="强调文字颜色 1 17 3" xfId="5593"/>
    <cellStyle name="强调文字颜色 1 17 4" xfId="5596"/>
    <cellStyle name="强调文字颜色 1 18" xfId="5598"/>
    <cellStyle name="强调文字颜色 1 18 2" xfId="5600"/>
    <cellStyle name="强调文字颜色 1 18 2 2" xfId="5603"/>
    <cellStyle name="强调文字颜色 1 18 2 3" xfId="5607"/>
    <cellStyle name="强调文字颜色 1 18 3" xfId="81"/>
    <cellStyle name="强调文字颜色 1 18 4" xfId="69"/>
    <cellStyle name="强调文字颜色 1 19" xfId="5609"/>
    <cellStyle name="强调文字颜色 1 19 2" xfId="5611"/>
    <cellStyle name="强调文字颜色 1 19 2 2" xfId="5613"/>
    <cellStyle name="强调文字颜色 1 19 2 3" xfId="5616"/>
    <cellStyle name="强调文字颜色 1 19 3" xfId="5620"/>
    <cellStyle name="强调文字颜色 1 19 4" xfId="5624"/>
    <cellStyle name="强调文字颜色 1 2" xfId="5626"/>
    <cellStyle name="强调文字颜色 1 2 2" xfId="3520"/>
    <cellStyle name="强调文字颜色 1 2 3" xfId="3017"/>
    <cellStyle name="强调文字颜色 1 2 4" xfId="882"/>
    <cellStyle name="强调文字颜色 1 20" xfId="5557"/>
    <cellStyle name="强调文字颜色 1 20 2" xfId="5559"/>
    <cellStyle name="强调文字颜色 1 20 2 2" xfId="5561"/>
    <cellStyle name="强调文字颜色 1 20 2 3" xfId="5563"/>
    <cellStyle name="强调文字颜色 1 20 3" xfId="5566"/>
    <cellStyle name="强调文字颜色 1 20 4" xfId="5569"/>
    <cellStyle name="强调文字颜色 1 21" xfId="5571"/>
    <cellStyle name="强调文字颜色 1 21 2" xfId="5573"/>
    <cellStyle name="强调文字颜色 1 21 2 2" xfId="5575"/>
    <cellStyle name="强调文字颜色 1 21 2 3" xfId="5577"/>
    <cellStyle name="强调文字颜色 1 21 3" xfId="5580"/>
    <cellStyle name="强调文字颜色 1 21 4" xfId="5583"/>
    <cellStyle name="强调文字颜色 1 22" xfId="5585"/>
    <cellStyle name="强调文字颜色 1 22 2" xfId="5587"/>
    <cellStyle name="强调文字颜色 1 22 2 2" xfId="5589"/>
    <cellStyle name="强调文字颜色 1 22 2 3" xfId="5591"/>
    <cellStyle name="强调文字颜色 1 22 3" xfId="5594"/>
    <cellStyle name="强调文字颜色 1 22 4" xfId="5597"/>
    <cellStyle name="强调文字颜色 1 23" xfId="5599"/>
    <cellStyle name="强调文字颜色 1 23 2" xfId="5601"/>
    <cellStyle name="强调文字颜色 1 23 2 2" xfId="5604"/>
    <cellStyle name="强调文字颜色 1 23 2 3" xfId="5608"/>
    <cellStyle name="强调文字颜色 1 23 3" xfId="82"/>
    <cellStyle name="强调文字颜色 1 23 4" xfId="68"/>
    <cellStyle name="强调文字颜色 1 24" xfId="5610"/>
    <cellStyle name="强调文字颜色 1 24 2" xfId="5612"/>
    <cellStyle name="强调文字颜色 1 24 2 2" xfId="5614"/>
    <cellStyle name="强调文字颜色 1 24 2 3" xfId="5617"/>
    <cellStyle name="强调文字颜色 1 24 3" xfId="5621"/>
    <cellStyle name="强调文字颜色 1 24 4" xfId="5625"/>
    <cellStyle name="强调文字颜色 1 25" xfId="5627"/>
    <cellStyle name="强调文字颜色 1 25 2" xfId="4341"/>
    <cellStyle name="强调文字颜色 1 25 2 2" xfId="4345"/>
    <cellStyle name="强调文字颜色 1 25 2 3" xfId="4354"/>
    <cellStyle name="强调文字颜色 1 25 3" xfId="4359"/>
    <cellStyle name="强调文字颜色 1 25 4" xfId="4378"/>
    <cellStyle name="强调文字颜色 1 26" xfId="5629"/>
    <cellStyle name="强调文字颜色 1 26 2" xfId="5631"/>
    <cellStyle name="强调文字颜色 1 26 2 2" xfId="5633"/>
    <cellStyle name="强调文字颜色 1 26 2 3" xfId="71"/>
    <cellStyle name="强调文字颜色 1 26 3" xfId="5639"/>
    <cellStyle name="强调文字颜色 1 26 4" xfId="5642"/>
    <cellStyle name="强调文字颜色 1 27" xfId="5643"/>
    <cellStyle name="强调文字颜色 1 27 2" xfId="5645"/>
    <cellStyle name="强调文字颜色 1 27 2 2" xfId="5647"/>
    <cellStyle name="强调文字颜色 1 27 2 3" xfId="3948"/>
    <cellStyle name="强调文字颜色 1 27 3" xfId="5652"/>
    <cellStyle name="强调文字颜色 1 27 4" xfId="5655"/>
    <cellStyle name="强调文字颜色 1 28" xfId="5656"/>
    <cellStyle name="强调文字颜色 1 28 2" xfId="5658"/>
    <cellStyle name="强调文字颜色 1 28 2 2" xfId="5660"/>
    <cellStyle name="强调文字颜色 1 28 2 3" xfId="4088"/>
    <cellStyle name="强调文字颜色 1 28 3" xfId="5666"/>
    <cellStyle name="强调文字颜色 1 28 4" xfId="5669"/>
    <cellStyle name="强调文字颜色 1 29" xfId="5670"/>
    <cellStyle name="强调文字颜色 1 29 2" xfId="5672"/>
    <cellStyle name="强调文字颜色 1 29 3" xfId="5676"/>
    <cellStyle name="强调文字颜色 1 3" xfId="5677"/>
    <cellStyle name="强调文字颜色 1 3 2" xfId="5678"/>
    <cellStyle name="强调文字颜色 1 3 3" xfId="5679"/>
    <cellStyle name="强调文字颜色 1 30" xfId="5628"/>
    <cellStyle name="强调文字颜色 1 30 2" xfId="4342"/>
    <cellStyle name="强调文字颜色 1 30 2 2" xfId="4346"/>
    <cellStyle name="强调文字颜色 1 31" xfId="5630"/>
    <cellStyle name="强调文字颜色 1 31 2" xfId="5632"/>
    <cellStyle name="强调文字颜色 1 31 2 2" xfId="5634"/>
    <cellStyle name="强调文字颜色 1 32" xfId="5644"/>
    <cellStyle name="强调文字颜色 1 32 2" xfId="5646"/>
    <cellStyle name="强调文字颜色 1 32 2 2" xfId="5648"/>
    <cellStyle name="强调文字颜色 1 33" xfId="5657"/>
    <cellStyle name="强调文字颜色 1 33 2" xfId="5659"/>
    <cellStyle name="强调文字颜色 1 33 2 2" xfId="5661"/>
    <cellStyle name="强调文字颜色 1 34" xfId="5671"/>
    <cellStyle name="强调文字颜色 1 34 2" xfId="5673"/>
    <cellStyle name="强调文字颜色 1 34 2 2" xfId="5680"/>
    <cellStyle name="强调文字颜色 1 35" xfId="5683"/>
    <cellStyle name="强调文字颜色 1 35 2" xfId="5684"/>
    <cellStyle name="强调文字颜色 1 36" xfId="5685"/>
    <cellStyle name="强调文字颜色 1 36 2" xfId="5686"/>
    <cellStyle name="强调文字颜色 1 37" xfId="5687"/>
    <cellStyle name="强调文字颜色 1 37 2" xfId="5689"/>
    <cellStyle name="强调文字颜色 1 4" xfId="5690"/>
    <cellStyle name="强调文字颜色 1 4 2" xfId="5691"/>
    <cellStyle name="强调文字颜色 1 4 3" xfId="5692"/>
    <cellStyle name="强调文字颜色 1 5" xfId="5693"/>
    <cellStyle name="强调文字颜色 1 5 2" xfId="5694"/>
    <cellStyle name="强调文字颜色 1 5 3" xfId="5695"/>
    <cellStyle name="强调文字颜色 1 6" xfId="5696"/>
    <cellStyle name="强调文字颜色 1 6 2" xfId="5697"/>
    <cellStyle name="强调文字颜色 1 6 3" xfId="5698"/>
    <cellStyle name="强调文字颜色 1 7" xfId="5699"/>
    <cellStyle name="强调文字颜色 1 7 2" xfId="653"/>
    <cellStyle name="强调文字颜色 1 7 3" xfId="3091"/>
    <cellStyle name="强调文字颜色 1 8" xfId="5700"/>
    <cellStyle name="强调文字颜色 1 8 2" xfId="5701"/>
    <cellStyle name="强调文字颜色 1 8 3" xfId="5702"/>
    <cellStyle name="强调文字颜色 1 9" xfId="5703"/>
    <cellStyle name="强调文字颜色 1 9 2" xfId="5704"/>
    <cellStyle name="强调文字颜色 1 9 2 2" xfId="5707"/>
    <cellStyle name="强调文字颜色 1 9 2 3" xfId="5710"/>
    <cellStyle name="强调文字颜色 1 9 3" xfId="5711"/>
    <cellStyle name="强调文字颜色 1 9 4" xfId="5712"/>
    <cellStyle name="强调文字颜色 2" xfId="119"/>
    <cellStyle name="强调文字颜色 2 10" xfId="5713"/>
    <cellStyle name="强调文字颜色 2 10 2" xfId="927"/>
    <cellStyle name="强调文字颜色 2 10 2 2" xfId="17"/>
    <cellStyle name="强调文字颜色 2 10 2 3" xfId="1088"/>
    <cellStyle name="强调文字颜色 2 10 3" xfId="1103"/>
    <cellStyle name="强调文字颜色 2 10 4" xfId="1138"/>
    <cellStyle name="强调文字颜色 2 11" xfId="5714"/>
    <cellStyle name="强调文字颜色 2 11 2" xfId="5716"/>
    <cellStyle name="强调文字颜色 2 11 2 2" xfId="5717"/>
    <cellStyle name="强调文字颜色 2 11 2 3" xfId="5688"/>
    <cellStyle name="强调文字颜色 2 11 3" xfId="5718"/>
    <cellStyle name="强调文字颜色 2 11 4" xfId="5719"/>
    <cellStyle name="强调文字颜色 2 12" xfId="5635"/>
    <cellStyle name="强调文字颜色 2 12 2" xfId="5720"/>
    <cellStyle name="强调文字颜色 2 12 2 2" xfId="5721"/>
    <cellStyle name="强调文字颜色 2 12 2 3" xfId="5722"/>
    <cellStyle name="强调文字颜色 2 12 3" xfId="5723"/>
    <cellStyle name="强调文字颜色 2 12 4" xfId="5724"/>
    <cellStyle name="强调文字颜色 2 13" xfId="72"/>
    <cellStyle name="强调文字颜色 2 13 2" xfId="5725"/>
    <cellStyle name="强调文字颜色 2 13 2 2" xfId="5726"/>
    <cellStyle name="强调文字颜色 2 13 2 3" xfId="5727"/>
    <cellStyle name="强调文字颜色 2 13 3" xfId="5728"/>
    <cellStyle name="强调文字颜色 2 13 4" xfId="5729"/>
    <cellStyle name="强调文字颜色 2 14" xfId="5730"/>
    <cellStyle name="强调文字颜色 2 14 2" xfId="5731"/>
    <cellStyle name="强调文字颜色 2 14 2 2" xfId="5732"/>
    <cellStyle name="强调文字颜色 2 14 2 3" xfId="5733"/>
    <cellStyle name="强调文字颜色 2 14 3" xfId="5734"/>
    <cellStyle name="强调文字颜色 2 14 4" xfId="5735"/>
    <cellStyle name="强调文字颜色 2 15" xfId="5736"/>
    <cellStyle name="强调文字颜色 2 15 2" xfId="1479"/>
    <cellStyle name="强调文字颜色 2 15 2 2" xfId="1487"/>
    <cellStyle name="强调文字颜色 2 15 2 3" xfId="1495"/>
    <cellStyle name="强调文字颜色 2 15 3" xfId="1511"/>
    <cellStyle name="强调文字颜色 2 15 4" xfId="1398"/>
    <cellStyle name="强调文字颜色 2 16" xfId="5352"/>
    <cellStyle name="强调文字颜色 2 16 2" xfId="5738"/>
    <cellStyle name="强调文字颜色 2 16 2 2" xfId="5740"/>
    <cellStyle name="强调文字颜色 2 16 2 3" xfId="5743"/>
    <cellStyle name="强调文字颜色 2 16 3" xfId="5745"/>
    <cellStyle name="强调文字颜色 2 16 4" xfId="5747"/>
    <cellStyle name="强调文字颜色 2 17" xfId="5749"/>
    <cellStyle name="强调文字颜色 2 17 2" xfId="5751"/>
    <cellStyle name="强调文字颜色 2 17 2 2" xfId="5754"/>
    <cellStyle name="强调文字颜色 2 17 2 3" xfId="5756"/>
    <cellStyle name="强调文字颜色 2 17 3" xfId="5758"/>
    <cellStyle name="强调文字颜色 2 17 4" xfId="5760"/>
    <cellStyle name="强调文字颜色 2 18" xfId="5762"/>
    <cellStyle name="强调文字颜色 2 18 2" xfId="5764"/>
    <cellStyle name="强调文字颜色 2 18 2 2" xfId="5766"/>
    <cellStyle name="强调文字颜色 2 18 2 3" xfId="5769"/>
    <cellStyle name="强调文字颜色 2 18 3" xfId="5771"/>
    <cellStyle name="强调文字颜色 2 18 4" xfId="5773"/>
    <cellStyle name="强调文字颜色 2 19" xfId="5775"/>
    <cellStyle name="强调文字颜色 2 19 2" xfId="5777"/>
    <cellStyle name="强调文字颜色 2 19 2 2" xfId="5779"/>
    <cellStyle name="强调文字颜色 2 19 2 3" xfId="5782"/>
    <cellStyle name="强调文字颜色 2 19 3" xfId="5784"/>
    <cellStyle name="强调文字颜色 2 19 4" xfId="5786"/>
    <cellStyle name="强调文字颜色 2 2" xfId="5788"/>
    <cellStyle name="强调文字颜色 2 2 2" xfId="5789"/>
    <cellStyle name="强调文字颜色 2 2 3" xfId="5790"/>
    <cellStyle name="强调文字颜色 2 20" xfId="5737"/>
    <cellStyle name="强调文字颜色 2 20 2" xfId="1480"/>
    <cellStyle name="强调文字颜色 2 20 2 2" xfId="1488"/>
    <cellStyle name="强调文字颜色 2 20 2 3" xfId="1496"/>
    <cellStyle name="强调文字颜色 2 20 3" xfId="1512"/>
    <cellStyle name="强调文字颜色 2 20 4" xfId="1399"/>
    <cellStyle name="强调文字颜色 2 21" xfId="5353"/>
    <cellStyle name="强调文字颜色 2 21 2" xfId="5739"/>
    <cellStyle name="强调文字颜色 2 21 2 2" xfId="5741"/>
    <cellStyle name="强调文字颜色 2 21 2 3" xfId="5744"/>
    <cellStyle name="强调文字颜色 2 21 3" xfId="5746"/>
    <cellStyle name="强调文字颜色 2 21 4" xfId="5748"/>
    <cellStyle name="强调文字颜色 2 22" xfId="5750"/>
    <cellStyle name="强调文字颜色 2 22 2" xfId="5752"/>
    <cellStyle name="强调文字颜色 2 22 2 2" xfId="5755"/>
    <cellStyle name="强调文字颜色 2 22 2 3" xfId="5757"/>
    <cellStyle name="强调文字颜色 2 22 3" xfId="5759"/>
    <cellStyle name="强调文字颜色 2 22 4" xfId="5761"/>
    <cellStyle name="强调文字颜色 2 23" xfId="5763"/>
    <cellStyle name="强调文字颜色 2 23 2" xfId="5765"/>
    <cellStyle name="强调文字颜色 2 23 2 2" xfId="5767"/>
    <cellStyle name="强调文字颜色 2 23 2 3" xfId="5770"/>
    <cellStyle name="强调文字颜色 2 23 3" xfId="5772"/>
    <cellStyle name="强调文字颜色 2 23 4" xfId="5774"/>
    <cellStyle name="强调文字颜色 2 24" xfId="5776"/>
    <cellStyle name="强调文字颜色 2 24 2" xfId="5778"/>
    <cellStyle name="强调文字颜色 2 24 2 2" xfId="5780"/>
    <cellStyle name="强调文字颜色 2 24 2 3" xfId="5783"/>
    <cellStyle name="强调文字颜色 2 24 3" xfId="5785"/>
    <cellStyle name="强调文字颜色 2 24 4" xfId="5787"/>
    <cellStyle name="强调文字颜色 2 25" xfId="5791"/>
    <cellStyle name="强调文字颜色 2 25 2" xfId="110"/>
    <cellStyle name="强调文字颜色 2 25 2 2" xfId="1796"/>
    <cellStyle name="强调文字颜色 2 25 2 3" xfId="1811"/>
    <cellStyle name="强调文字颜色 2 25 3" xfId="1826"/>
    <cellStyle name="强调文字颜色 2 25 4" xfId="1859"/>
    <cellStyle name="强调文字颜色 2 26" xfId="5793"/>
    <cellStyle name="强调文字颜色 2 26 2" xfId="5795"/>
    <cellStyle name="强调文字颜色 2 26 2 2" xfId="5797"/>
    <cellStyle name="强调文字颜色 2 26 2 3" xfId="5801"/>
    <cellStyle name="强调文字颜色 2 26 3" xfId="5802"/>
    <cellStyle name="强调文字颜色 2 26 4" xfId="5803"/>
    <cellStyle name="强调文字颜色 2 27" xfId="5804"/>
    <cellStyle name="强调文字颜色 2 27 2" xfId="5806"/>
    <cellStyle name="强调文字颜色 2 27 2 2" xfId="5321"/>
    <cellStyle name="强调文字颜色 2 27 2 3" xfId="5326"/>
    <cellStyle name="强调文字颜色 2 27 3" xfId="5808"/>
    <cellStyle name="强调文字颜色 2 27 4" xfId="5809"/>
    <cellStyle name="强调文字颜色 2 28" xfId="5810"/>
    <cellStyle name="强调文字颜色 2 28 2" xfId="5812"/>
    <cellStyle name="强调文字颜色 2 28 2 2" xfId="5814"/>
    <cellStyle name="强调文字颜色 2 28 2 3" xfId="5818"/>
    <cellStyle name="强调文字颜色 2 28 3" xfId="5819"/>
    <cellStyle name="强调文字颜色 2 28 4" xfId="5820"/>
    <cellStyle name="强调文字颜色 2 29" xfId="5821"/>
    <cellStyle name="强调文字颜色 2 29 2" xfId="5823"/>
    <cellStyle name="强调文字颜色 2 29 3" xfId="5825"/>
    <cellStyle name="强调文字颜色 2 3" xfId="5826"/>
    <cellStyle name="强调文字颜色 2 3 2" xfId="5827"/>
    <cellStyle name="强调文字颜色 2 3 3" xfId="5828"/>
    <cellStyle name="强调文字颜色 2 30" xfId="5792"/>
    <cellStyle name="强调文字颜色 2 30 2" xfId="109"/>
    <cellStyle name="强调文字颜色 2 30 2 2" xfId="1797"/>
    <cellStyle name="强调文字颜色 2 31" xfId="5794"/>
    <cellStyle name="强调文字颜色 2 31 2" xfId="5796"/>
    <cellStyle name="强调文字颜色 2 31 2 2" xfId="5798"/>
    <cellStyle name="强调文字颜色 2 32" xfId="5805"/>
    <cellStyle name="强调文字颜色 2 32 2" xfId="5807"/>
    <cellStyle name="强调文字颜色 2 32 2 2" xfId="5322"/>
    <cellStyle name="强调文字颜色 2 33" xfId="5811"/>
    <cellStyle name="强调文字颜色 2 33 2" xfId="5813"/>
    <cellStyle name="强调文字颜色 2 33 2 2" xfId="5815"/>
    <cellStyle name="强调文字颜色 2 34" xfId="5822"/>
    <cellStyle name="强调文字颜色 2 34 2" xfId="5824"/>
    <cellStyle name="强调文字颜色 2 34 2 2" xfId="5829"/>
    <cellStyle name="强调文字颜色 2 35" xfId="4773"/>
    <cellStyle name="强调文字颜色 2 35 2" xfId="2160"/>
    <cellStyle name="强调文字颜色 2 36" xfId="4777"/>
    <cellStyle name="强调文字颜色 2 36 2" xfId="5832"/>
    <cellStyle name="强调文字颜色 2 37" xfId="5833"/>
    <cellStyle name="强调文字颜色 2 37 2" xfId="5742"/>
    <cellStyle name="强调文字颜色 2 4" xfId="5834"/>
    <cellStyle name="强调文字颜色 2 4 2" xfId="5835"/>
    <cellStyle name="强调文字颜色 2 4 3" xfId="5836"/>
    <cellStyle name="强调文字颜色 2 5" xfId="5837"/>
    <cellStyle name="强调文字颜色 2 5 2" xfId="5838"/>
    <cellStyle name="强调文字颜色 2 5 3" xfId="5839"/>
    <cellStyle name="强调文字颜色 2 6" xfId="5840"/>
    <cellStyle name="强调文字颜色 2 6 2" xfId="5841"/>
    <cellStyle name="强调文字颜色 2 6 3" xfId="5842"/>
    <cellStyle name="强调文字颜色 2 7" xfId="5843"/>
    <cellStyle name="强调文字颜色 2 7 2" xfId="5844"/>
    <cellStyle name="强调文字颜色 2 7 3" xfId="5845"/>
    <cellStyle name="强调文字颜色 2 8" xfId="5846"/>
    <cellStyle name="强调文字颜色 2 8 2" xfId="5847"/>
    <cellStyle name="强调文字颜色 2 8 3" xfId="5848"/>
    <cellStyle name="强调文字颜色 2 9" xfId="5849"/>
    <cellStyle name="强调文字颜色 2 9 2" xfId="5850"/>
    <cellStyle name="强调文字颜色 2 9 2 2" xfId="5851"/>
    <cellStyle name="强调文字颜色 2 9 2 3" xfId="5852"/>
    <cellStyle name="强调文字颜色 2 9 3" xfId="5853"/>
    <cellStyle name="强调文字颜色 2 9 4" xfId="5854"/>
    <cellStyle name="强调文字颜色 3" xfId="178"/>
    <cellStyle name="强调文字颜色 3 10" xfId="5855"/>
    <cellStyle name="强调文字颜色 3 10 2" xfId="2030"/>
    <cellStyle name="强调文字颜色 3 10 2 2" xfId="5856"/>
    <cellStyle name="强调文字颜色 3 10 2 3" xfId="5859"/>
    <cellStyle name="强调文字颜色 3 10 3" xfId="5860"/>
    <cellStyle name="强调文字颜色 3 10 4" xfId="3447"/>
    <cellStyle name="强调文字颜色 3 11" xfId="5861"/>
    <cellStyle name="强调文字颜色 3 11 2" xfId="5862"/>
    <cellStyle name="强调文字颜色 3 11 2 2" xfId="5863"/>
    <cellStyle name="强调文字颜色 3 11 2 3" xfId="5866"/>
    <cellStyle name="强调文字颜色 3 11 3" xfId="5867"/>
    <cellStyle name="强调文字颜色 3 11 4" xfId="5868"/>
    <cellStyle name="强调文字颜色 3 12" xfId="5869"/>
    <cellStyle name="强调文字颜色 3 12 2" xfId="5870"/>
    <cellStyle name="强调文字颜色 3 12 2 2" xfId="5871"/>
    <cellStyle name="强调文字颜色 3 12 2 3" xfId="5874"/>
    <cellStyle name="强调文字颜色 3 12 3" xfId="5875"/>
    <cellStyle name="强调文字颜色 3 12 4" xfId="5876"/>
    <cellStyle name="强调文字颜色 3 13" xfId="5877"/>
    <cellStyle name="强调文字颜色 3 13 2" xfId="5878"/>
    <cellStyle name="强调文字颜色 3 13 2 2" xfId="5879"/>
    <cellStyle name="强调文字颜色 3 13 2 3" xfId="5882"/>
    <cellStyle name="强调文字颜色 3 13 3" xfId="5883"/>
    <cellStyle name="强调文字颜色 3 13 4" xfId="5884"/>
    <cellStyle name="强调文字颜色 3 14" xfId="5885"/>
    <cellStyle name="强调文字颜色 3 14 2" xfId="5886"/>
    <cellStyle name="强调文字颜色 3 14 2 2" xfId="5887"/>
    <cellStyle name="强调文字颜色 3 14 2 3" xfId="5890"/>
    <cellStyle name="强调文字颜色 3 14 3" xfId="5891"/>
    <cellStyle name="强调文字颜色 3 14 4" xfId="5892"/>
    <cellStyle name="强调文字颜色 3 15" xfId="5893"/>
    <cellStyle name="强调文字颜色 3 15 2" xfId="5895"/>
    <cellStyle name="强调文字颜色 3 15 2 2" xfId="5897"/>
    <cellStyle name="强调文字颜色 3 15 2 3" xfId="5901"/>
    <cellStyle name="强调文字颜色 3 15 3" xfId="5903"/>
    <cellStyle name="强调文字颜色 3 15 4" xfId="5905"/>
    <cellStyle name="强调文字颜色 3 16" xfId="5907"/>
    <cellStyle name="强调文字颜色 3 16 2" xfId="5909"/>
    <cellStyle name="强调文字颜色 3 16 2 2" xfId="3848"/>
    <cellStyle name="强调文字颜色 3 16 2 3" xfId="3853"/>
    <cellStyle name="强调文字颜色 3 16 3" xfId="5911"/>
    <cellStyle name="强调文字颜色 3 16 4" xfId="5913"/>
    <cellStyle name="强调文字颜色 3 17" xfId="4565"/>
    <cellStyle name="强调文字颜色 3 17 2" xfId="5915"/>
    <cellStyle name="强调文字颜色 3 17 2 2" xfId="5917"/>
    <cellStyle name="强调文字颜色 3 17 2 3" xfId="5921"/>
    <cellStyle name="强调文字颜色 3 17 3" xfId="5923"/>
    <cellStyle name="强调文字颜色 3 17 4" xfId="5925"/>
    <cellStyle name="强调文字颜色 3 18" xfId="4568"/>
    <cellStyle name="强调文字颜色 3 18 2" xfId="5927"/>
    <cellStyle name="强调文字颜色 3 18 2 2" xfId="5929"/>
    <cellStyle name="强调文字颜色 3 18 2 3" xfId="5934"/>
    <cellStyle name="强调文字颜色 3 18 3" xfId="5936"/>
    <cellStyle name="强调文字颜色 3 18 4" xfId="5938"/>
    <cellStyle name="强调文字颜色 3 19" xfId="2620"/>
    <cellStyle name="强调文字颜色 3 19 2" xfId="5940"/>
    <cellStyle name="强调文字颜色 3 19 2 2" xfId="4338"/>
    <cellStyle name="强调文字颜色 3 19 2 3" xfId="5943"/>
    <cellStyle name="强调文字颜色 3 19 3" xfId="5945"/>
    <cellStyle name="强调文字颜色 3 19 4" xfId="5947"/>
    <cellStyle name="强调文字颜色 3 2" xfId="5949"/>
    <cellStyle name="强调文字颜色 3 2 2" xfId="5950"/>
    <cellStyle name="强调文字颜色 3 2 3" xfId="5951"/>
    <cellStyle name="强调文字颜色 3 20" xfId="5894"/>
    <cellStyle name="强调文字颜色 3 20 2" xfId="5896"/>
    <cellStyle name="强调文字颜色 3 20 2 2" xfId="5898"/>
    <cellStyle name="强调文字颜色 3 20 2 3" xfId="5902"/>
    <cellStyle name="强调文字颜色 3 20 3" xfId="5904"/>
    <cellStyle name="强调文字颜色 3 20 4" xfId="5906"/>
    <cellStyle name="强调文字颜色 3 21" xfId="5908"/>
    <cellStyle name="强调文字颜色 3 21 2" xfId="5910"/>
    <cellStyle name="强调文字颜色 3 21 2 2" xfId="3847"/>
    <cellStyle name="强调文字颜色 3 21 2 3" xfId="3852"/>
    <cellStyle name="强调文字颜色 3 21 3" xfId="5912"/>
    <cellStyle name="强调文字颜色 3 21 4" xfId="5914"/>
    <cellStyle name="强调文字颜色 3 22" xfId="4566"/>
    <cellStyle name="强调文字颜色 3 22 2" xfId="5916"/>
    <cellStyle name="强调文字颜色 3 22 2 2" xfId="5918"/>
    <cellStyle name="强调文字颜色 3 22 2 3" xfId="5922"/>
    <cellStyle name="强调文字颜色 3 22 3" xfId="5924"/>
    <cellStyle name="强调文字颜色 3 22 4" xfId="5926"/>
    <cellStyle name="强调文字颜色 3 23" xfId="4569"/>
    <cellStyle name="强调文字颜色 3 23 2" xfId="5928"/>
    <cellStyle name="强调文字颜色 3 23 2 2" xfId="5930"/>
    <cellStyle name="强调文字颜色 3 23 2 3" xfId="5935"/>
    <cellStyle name="强调文字颜色 3 23 3" xfId="5937"/>
    <cellStyle name="强调文字颜色 3 23 4" xfId="5939"/>
    <cellStyle name="强调文字颜色 3 24" xfId="2619"/>
    <cellStyle name="强调文字颜色 3 24 2" xfId="5941"/>
    <cellStyle name="强调文字颜色 3 24 2 2" xfId="4339"/>
    <cellStyle name="强调文字颜色 3 24 2 3" xfId="5944"/>
    <cellStyle name="强调文字颜色 3 24 3" xfId="5946"/>
    <cellStyle name="强调文字颜色 3 24 4" xfId="5948"/>
    <cellStyle name="强调文字颜色 3 25" xfId="2624"/>
    <cellStyle name="强调文字颜色 3 25 2" xfId="5952"/>
    <cellStyle name="强调文字颜色 3 25 2 2" xfId="5954"/>
    <cellStyle name="强调文字颜色 3 25 2 3" xfId="5957"/>
    <cellStyle name="强调文字颜色 3 25 3" xfId="4252"/>
    <cellStyle name="强调文字颜色 3 25 4" xfId="4254"/>
    <cellStyle name="强调文字颜色 3 26" xfId="5958"/>
    <cellStyle name="强调文字颜色 3 26 2" xfId="5960"/>
    <cellStyle name="强调文字颜色 3 26 2 2" xfId="2825"/>
    <cellStyle name="强调文字颜色 3 26 2 3" xfId="2840"/>
    <cellStyle name="强调文字颜色 3 26 3" xfId="5962"/>
    <cellStyle name="强调文字颜色 3 26 4" xfId="5963"/>
    <cellStyle name="强调文字颜色 3 27" xfId="5964"/>
    <cellStyle name="强调文字颜色 3 27 2" xfId="5966"/>
    <cellStyle name="强调文字颜色 3 27 2 2" xfId="2273"/>
    <cellStyle name="强调文字颜色 3 27 2 3" xfId="2282"/>
    <cellStyle name="强调文字颜色 3 27 3" xfId="5968"/>
    <cellStyle name="强调文字颜色 3 27 4" xfId="5969"/>
    <cellStyle name="强调文字颜色 3 28" xfId="5970"/>
    <cellStyle name="强调文字颜色 3 28 2" xfId="5972"/>
    <cellStyle name="强调文字颜色 3 28 2 2" xfId="5974"/>
    <cellStyle name="强调文字颜色 3 28 2 3" xfId="5978"/>
    <cellStyle name="强调文字颜色 3 28 3" xfId="5979"/>
    <cellStyle name="强调文字颜色 3 28 4" xfId="5980"/>
    <cellStyle name="强调文字颜色 3 29" xfId="5981"/>
    <cellStyle name="强调文字颜色 3 29 2" xfId="5983"/>
    <cellStyle name="强调文字颜色 3 29 3" xfId="5985"/>
    <cellStyle name="强调文字颜色 3 3" xfId="4444"/>
    <cellStyle name="强调文字颜色 3 3 2" xfId="4446"/>
    <cellStyle name="强调文字颜色 3 3 3" xfId="4448"/>
    <cellStyle name="强调文字颜色 3 30" xfId="2623"/>
    <cellStyle name="强调文字颜色 3 30 2" xfId="5953"/>
    <cellStyle name="强调文字颜色 3 30 2 2" xfId="5955"/>
    <cellStyle name="强调文字颜色 3 31" xfId="5959"/>
    <cellStyle name="强调文字颜色 3 31 2" xfId="5961"/>
    <cellStyle name="强调文字颜色 3 31 2 2" xfId="2824"/>
    <cellStyle name="强调文字颜色 3 32" xfId="5965"/>
    <cellStyle name="强调文字颜色 3 32 2" xfId="5967"/>
    <cellStyle name="强调文字颜色 3 32 2 2" xfId="2272"/>
    <cellStyle name="强调文字颜色 3 33" xfId="5971"/>
    <cellStyle name="强调文字颜色 3 33 2" xfId="5973"/>
    <cellStyle name="强调文字颜色 3 33 2 2" xfId="5975"/>
    <cellStyle name="强调文字颜色 3 34" xfId="5982"/>
    <cellStyle name="强调文字颜色 3 34 2" xfId="5984"/>
    <cellStyle name="强调文字颜色 3 34 2 2" xfId="5986"/>
    <cellStyle name="强调文字颜色 3 35" xfId="5989"/>
    <cellStyle name="强调文字颜色 3 35 2" xfId="4843"/>
    <cellStyle name="强调文字颜色 3 36" xfId="5990"/>
    <cellStyle name="强调文字颜色 3 36 2" xfId="5991"/>
    <cellStyle name="强调文字颜色 3 37" xfId="5992"/>
    <cellStyle name="强调文字颜色 3 37 2" xfId="5800"/>
    <cellStyle name="强调文字颜色 3 4" xfId="4450"/>
    <cellStyle name="强调文字颜色 3 4 2" xfId="4452"/>
    <cellStyle name="强调文字颜色 3 4 3" xfId="4455"/>
    <cellStyle name="强调文字颜色 3 5" xfId="4457"/>
    <cellStyle name="强调文字颜色 3 5 2" xfId="4459"/>
    <cellStyle name="强调文字颜色 3 5 3" xfId="4461"/>
    <cellStyle name="强调文字颜色 3 6" xfId="4463"/>
    <cellStyle name="强调文字颜色 3 6 2" xfId="4465"/>
    <cellStyle name="强调文字颜色 3 6 3" xfId="4468"/>
    <cellStyle name="强调文字颜色 3 7" xfId="4470"/>
    <cellStyle name="强调文字颜色 3 7 2" xfId="1548"/>
    <cellStyle name="强调文字颜色 3 7 3" xfId="5993"/>
    <cellStyle name="强调文字颜色 3 8" xfId="1864"/>
    <cellStyle name="强调文字颜色 3 8 2" xfId="1606"/>
    <cellStyle name="强调文字颜色 3 8 3" xfId="5994"/>
    <cellStyle name="强调文字颜色 3 9" xfId="1878"/>
    <cellStyle name="强调文字颜色 3 9 2" xfId="740"/>
    <cellStyle name="强调文字颜色 3 9 2 2" xfId="5995"/>
    <cellStyle name="强调文字颜色 3 9 2 3" xfId="4579"/>
    <cellStyle name="强调文字颜色 3 9 3" xfId="5996"/>
    <cellStyle name="强调文字颜色 3 9 4" xfId="5997"/>
    <cellStyle name="强调文字颜色 4" xfId="191"/>
    <cellStyle name="强调文字颜色 4 10" xfId="5998"/>
    <cellStyle name="强调文字颜色 4 10 2" xfId="2351"/>
    <cellStyle name="强调文字颜色 4 10 2 2" xfId="6001"/>
    <cellStyle name="强调文字颜色 4 10 2 3" xfId="5605"/>
    <cellStyle name="强调文字颜色 4 10 3" xfId="6004"/>
    <cellStyle name="强调文字颜色 4 10 4" xfId="3633"/>
    <cellStyle name="强调文字颜色 4 11" xfId="6005"/>
    <cellStyle name="强调文字颜色 4 11 2" xfId="4921"/>
    <cellStyle name="强调文字颜色 4 11 2 2" xfId="4923"/>
    <cellStyle name="强调文字颜色 4 11 2 3" xfId="5615"/>
    <cellStyle name="强调文字颜色 4 11 3" xfId="4925"/>
    <cellStyle name="强调文字颜色 4 11 4" xfId="3597"/>
    <cellStyle name="强调文字颜色 4 12" xfId="6006"/>
    <cellStyle name="强调文字颜色 4 12 2" xfId="6007"/>
    <cellStyle name="强调文字颜色 4 12 2 2" xfId="6008"/>
    <cellStyle name="强调文字颜色 4 12 2 3" xfId="4347"/>
    <cellStyle name="强调文字颜色 4 12 3" xfId="6009"/>
    <cellStyle name="强调文字颜色 4 12 4" xfId="6010"/>
    <cellStyle name="强调文字颜色 4 13" xfId="6011"/>
    <cellStyle name="强调文字颜色 4 13 2" xfId="6012"/>
    <cellStyle name="强调文字颜色 4 13 2 2" xfId="5715"/>
    <cellStyle name="强调文字颜色 4 13 2 3" xfId="5636"/>
    <cellStyle name="强调文字颜色 4 13 3" xfId="6013"/>
    <cellStyle name="强调文字颜色 4 13 4" xfId="6014"/>
    <cellStyle name="强调文字颜色 4 14" xfId="6015"/>
    <cellStyle name="强调文字颜色 4 14 2" xfId="6016"/>
    <cellStyle name="强调文字颜色 4 14 2 2" xfId="1474"/>
    <cellStyle name="强调文字颜色 4 14 2 3" xfId="5649"/>
    <cellStyle name="强调文字颜色 4 14 3" xfId="6017"/>
    <cellStyle name="强调文字颜色 4 14 4" xfId="6018"/>
    <cellStyle name="强调文字颜色 4 15" xfId="6019"/>
    <cellStyle name="强调文字颜色 4 15 2" xfId="6021"/>
    <cellStyle name="强调文字颜色 4 15 2 2" xfId="6023"/>
    <cellStyle name="强调文字颜色 4 15 2 3" xfId="5662"/>
    <cellStyle name="强调文字颜色 4 15 3" xfId="6025"/>
    <cellStyle name="强调文字颜色 4 15 4" xfId="6027"/>
    <cellStyle name="强调文字颜色 4 16" xfId="6029"/>
    <cellStyle name="强调文字颜色 4 16 2" xfId="6031"/>
    <cellStyle name="强调文字颜色 4 16 2 2" xfId="6033"/>
    <cellStyle name="强调文字颜色 4 16 2 3" xfId="5681"/>
    <cellStyle name="强调文字颜色 4 16 3" xfId="6035"/>
    <cellStyle name="强调文字颜色 4 16 4" xfId="3161"/>
    <cellStyle name="强调文字颜色 4 17" xfId="4592"/>
    <cellStyle name="强调文字颜色 4 17 2" xfId="4596"/>
    <cellStyle name="强调文字颜色 4 17 2 2" xfId="6037"/>
    <cellStyle name="强调文字颜色 4 17 2 3" xfId="6039"/>
    <cellStyle name="强调文字颜色 4 17 3" xfId="6041"/>
    <cellStyle name="强调文字颜色 4 17 4" xfId="6043"/>
    <cellStyle name="强调文字颜色 4 18" xfId="4599"/>
    <cellStyle name="强调文字颜色 4 18 2" xfId="6045"/>
    <cellStyle name="强调文字颜色 4 18 2 2" xfId="6047"/>
    <cellStyle name="强调文字颜色 4 18 2 3" xfId="6049"/>
    <cellStyle name="强调文字颜色 4 18 3" xfId="6051"/>
    <cellStyle name="强调文字颜色 4 18 4" xfId="6053"/>
    <cellStyle name="强调文字颜色 4 19" xfId="6055"/>
    <cellStyle name="强调文字颜色 4 19 2" xfId="6057"/>
    <cellStyle name="强调文字颜色 4 19 2 2" xfId="1790"/>
    <cellStyle name="强调文字颜色 4 19 2 3" xfId="6059"/>
    <cellStyle name="强调文字颜色 4 19 3" xfId="6061"/>
    <cellStyle name="强调文字颜色 4 19 4" xfId="6063"/>
    <cellStyle name="强调文字颜色 4 2" xfId="4573"/>
    <cellStyle name="强调文字颜色 4 2 2" xfId="730"/>
    <cellStyle name="强调文字颜色 4 2 3" xfId="735"/>
    <cellStyle name="强调文字颜色 4 2 4" xfId="6065"/>
    <cellStyle name="强调文字颜色 4 20" xfId="6020"/>
    <cellStyle name="强调文字颜色 4 20 2" xfId="6022"/>
    <cellStyle name="强调文字颜色 4 20 2 2" xfId="6024"/>
    <cellStyle name="强调文字颜色 4 20 2 3" xfId="5663"/>
    <cellStyle name="强调文字颜色 4 20 3" xfId="6026"/>
    <cellStyle name="强调文字颜色 4 20 4" xfId="6028"/>
    <cellStyle name="强调文字颜色 4 21" xfId="6030"/>
    <cellStyle name="强调文字颜色 4 21 2" xfId="6032"/>
    <cellStyle name="强调文字颜色 4 21 2 2" xfId="6034"/>
    <cellStyle name="强调文字颜色 4 21 2 3" xfId="5682"/>
    <cellStyle name="强调文字颜色 4 21 3" xfId="6036"/>
    <cellStyle name="强调文字颜色 4 21 4" xfId="3160"/>
    <cellStyle name="强调文字颜色 4 22" xfId="4593"/>
    <cellStyle name="强调文字颜色 4 22 2" xfId="4597"/>
    <cellStyle name="强调文字颜色 4 22 2 2" xfId="6038"/>
    <cellStyle name="强调文字颜色 4 22 2 3" xfId="6040"/>
    <cellStyle name="强调文字颜色 4 22 3" xfId="6042"/>
    <cellStyle name="强调文字颜色 4 22 4" xfId="6044"/>
    <cellStyle name="强调文字颜色 4 23" xfId="4600"/>
    <cellStyle name="强调文字颜色 4 23 2" xfId="6046"/>
    <cellStyle name="强调文字颜色 4 23 2 2" xfId="6048"/>
    <cellStyle name="强调文字颜色 4 23 2 3" xfId="6050"/>
    <cellStyle name="强调文字颜色 4 23 3" xfId="6052"/>
    <cellStyle name="强调文字颜色 4 23 4" xfId="6054"/>
    <cellStyle name="强调文字颜色 4 24" xfId="6056"/>
    <cellStyle name="强调文字颜色 4 24 2" xfId="6058"/>
    <cellStyle name="强调文字颜色 4 24 2 2" xfId="1791"/>
    <cellStyle name="强调文字颜色 4 24 2 3" xfId="6060"/>
    <cellStyle name="强调文字颜色 4 24 3" xfId="6062"/>
    <cellStyle name="强调文字颜色 4 24 4" xfId="6064"/>
    <cellStyle name="强调文字颜色 4 25" xfId="6066"/>
    <cellStyle name="强调文字颜色 4 25 2" xfId="6068"/>
    <cellStyle name="强调文字颜色 4 25 2 2" xfId="6070"/>
    <cellStyle name="强调文字颜色 4 25 2 3" xfId="6072"/>
    <cellStyle name="强调文字颜色 4 25 3" xfId="4295"/>
    <cellStyle name="强调文字颜色 4 25 4" xfId="4298"/>
    <cellStyle name="强调文字颜色 4 26" xfId="6073"/>
    <cellStyle name="强调文字颜色 4 26 2" xfId="6075"/>
    <cellStyle name="强调文字颜色 4 26 2 2" xfId="6077"/>
    <cellStyle name="强调文字颜色 4 26 2 3" xfId="6079"/>
    <cellStyle name="强调文字颜色 4 26 3" xfId="6080"/>
    <cellStyle name="强调文字颜色 4 26 4" xfId="1649"/>
    <cellStyle name="强调文字颜色 4 27" xfId="6081"/>
    <cellStyle name="强调文字颜色 4 27 2" xfId="6083"/>
    <cellStyle name="强调文字颜色 4 27 2 2" xfId="3121"/>
    <cellStyle name="强调文字颜色 4 27 2 3" xfId="3136"/>
    <cellStyle name="强调文字颜色 4 27 3" xfId="6085"/>
    <cellStyle name="强调文字颜色 4 27 4" xfId="6086"/>
    <cellStyle name="强调文字颜色 4 28" xfId="6087"/>
    <cellStyle name="强调文字颜色 4 28 2" xfId="6089"/>
    <cellStyle name="强调文字颜色 4 28 2 2" xfId="6091"/>
    <cellStyle name="强调文字颜色 4 28 2 3" xfId="6093"/>
    <cellStyle name="强调文字颜色 4 28 3" xfId="6094"/>
    <cellStyle name="强调文字颜色 4 28 4" xfId="6095"/>
    <cellStyle name="强调文字颜色 4 29" xfId="6096"/>
    <cellStyle name="强调文字颜色 4 29 2" xfId="6098"/>
    <cellStyle name="强调文字颜色 4 29 3" xfId="6100"/>
    <cellStyle name="强调文字颜色 4 3" xfId="6101"/>
    <cellStyle name="强调文字颜色 4 3 2" xfId="768"/>
    <cellStyle name="强调文字颜色 4 3 3" xfId="771"/>
    <cellStyle name="强调文字颜色 4 30" xfId="6067"/>
    <cellStyle name="强调文字颜色 4 30 2" xfId="6069"/>
    <cellStyle name="强调文字颜色 4 30 2 2" xfId="6071"/>
    <cellStyle name="强调文字颜色 4 31" xfId="6074"/>
    <cellStyle name="强调文字颜色 4 31 2" xfId="6076"/>
    <cellStyle name="强调文字颜色 4 31 2 2" xfId="6078"/>
    <cellStyle name="强调文字颜色 4 32" xfId="6082"/>
    <cellStyle name="强调文字颜色 4 32 2" xfId="6084"/>
    <cellStyle name="强调文字颜色 4 32 2 2" xfId="3120"/>
    <cellStyle name="强调文字颜色 4 33" xfId="6088"/>
    <cellStyle name="强调文字颜色 4 33 2" xfId="6090"/>
    <cellStyle name="强调文字颜色 4 33 2 2" xfId="6092"/>
    <cellStyle name="强调文字颜色 4 34" xfId="6097"/>
    <cellStyle name="强调文字颜色 4 34 2" xfId="6099"/>
    <cellStyle name="强调文字颜色 4 34 2 2" xfId="2155"/>
    <cellStyle name="强调文字颜色 4 35" xfId="6102"/>
    <cellStyle name="强调文字颜色 4 35 2" xfId="6103"/>
    <cellStyle name="强调文字颜色 4 36" xfId="6104"/>
    <cellStyle name="强调文字颜色 4 36 2" xfId="6105"/>
    <cellStyle name="强调文字颜色 4 37" xfId="4417"/>
    <cellStyle name="强调文字颜色 4 37 2" xfId="6106"/>
    <cellStyle name="强调文字颜色 4 4" xfId="6107"/>
    <cellStyle name="强调文字颜色 4 4 2" xfId="281"/>
    <cellStyle name="强调文字颜色 4 4 3" xfId="54"/>
    <cellStyle name="强调文字颜色 4 5" xfId="6108"/>
    <cellStyle name="强调文字颜色 4 5 2" xfId="803"/>
    <cellStyle name="强调文字颜色 4 5 3" xfId="6109"/>
    <cellStyle name="强调文字颜色 4 6" xfId="6110"/>
    <cellStyle name="强调文字颜色 4 6 2" xfId="3757"/>
    <cellStyle name="强调文字颜色 4 6 3" xfId="6111"/>
    <cellStyle name="强调文字颜色 4 7" xfId="6112"/>
    <cellStyle name="强调文字颜色 4 7 2" xfId="6113"/>
    <cellStyle name="强调文字颜色 4 7 3" xfId="6114"/>
    <cellStyle name="强调文字颜色 4 8" xfId="6116"/>
    <cellStyle name="强调文字颜色 4 8 2" xfId="6118"/>
    <cellStyle name="强调文字颜色 4 8 3" xfId="6120"/>
    <cellStyle name="强调文字颜色 4 9" xfId="6122"/>
    <cellStyle name="强调文字颜色 4 9 2" xfId="6124"/>
    <cellStyle name="强调文字颜色 4 9 2 2" xfId="6126"/>
    <cellStyle name="强调文字颜色 4 9 2 3" xfId="6128"/>
    <cellStyle name="强调文字颜色 4 9 3" xfId="6130"/>
    <cellStyle name="强调文字颜色 4 9 4" xfId="6132"/>
    <cellStyle name="强调文字颜色 5" xfId="223"/>
    <cellStyle name="强调文字颜色 5 10" xfId="6133"/>
    <cellStyle name="强调文字颜色 5 10 2" xfId="2569"/>
    <cellStyle name="强调文字颜色 5 10 2 2" xfId="6134"/>
    <cellStyle name="强调文字颜色 5 10 2 3" xfId="5768"/>
    <cellStyle name="强调文字颜色 5 10 3" xfId="6135"/>
    <cellStyle name="强调文字颜色 5 10 4" xfId="6136"/>
    <cellStyle name="强调文字颜色 5 11" xfId="6137"/>
    <cellStyle name="强调文字颜色 5 11 2" xfId="5304"/>
    <cellStyle name="强调文字颜色 5 11 2 2" xfId="103"/>
    <cellStyle name="强调文字颜色 5 11 2 3" xfId="5781"/>
    <cellStyle name="强调文字颜色 5 11 3" xfId="5309"/>
    <cellStyle name="强调文字颜色 5 11 4" xfId="5314"/>
    <cellStyle name="强调文字颜色 5 12" xfId="6138"/>
    <cellStyle name="强调文字颜色 5 12 2" xfId="6139"/>
    <cellStyle name="强调文字颜色 5 12 2 2" xfId="6140"/>
    <cellStyle name="强调文字颜色 5 12 2 3" xfId="1798"/>
    <cellStyle name="强调文字颜色 5 12 3" xfId="6141"/>
    <cellStyle name="强调文字颜色 5 12 4" xfId="6142"/>
    <cellStyle name="强调文字颜色 5 13" xfId="6143"/>
    <cellStyle name="强调文字颜色 5 13 2" xfId="6144"/>
    <cellStyle name="强调文字颜色 5 13 2 2" xfId="6145"/>
    <cellStyle name="强调文字颜色 5 13 2 3" xfId="5799"/>
    <cellStyle name="强调文字颜色 5 13 3" xfId="6146"/>
    <cellStyle name="强调文字颜色 5 13 4" xfId="6147"/>
    <cellStyle name="强调文字颜色 5 14" xfId="6148"/>
    <cellStyle name="强调文字颜色 5 14 2" xfId="6149"/>
    <cellStyle name="强调文字颜色 5 14 2 2" xfId="5318"/>
    <cellStyle name="强调文字颜色 5 14 2 3" xfId="5323"/>
    <cellStyle name="强调文字颜色 5 14 3" xfId="6150"/>
    <cellStyle name="强调文字颜色 5 14 4" xfId="6151"/>
    <cellStyle name="强调文字颜色 5 15" xfId="6152"/>
    <cellStyle name="强调文字颜色 5 15 2" xfId="6154"/>
    <cellStyle name="强调文字颜色 5 15 2 2" xfId="6156"/>
    <cellStyle name="强调文字颜色 5 15 2 3" xfId="5816"/>
    <cellStyle name="强调文字颜色 5 15 3" xfId="6158"/>
    <cellStyle name="强调文字颜色 5 15 4" xfId="6160"/>
    <cellStyle name="强调文字颜色 5 16" xfId="6162"/>
    <cellStyle name="强调文字颜色 5 16 2" xfId="6164"/>
    <cellStyle name="强调文字颜色 5 16 2 2" xfId="6166"/>
    <cellStyle name="强调文字颜色 5 16 2 3" xfId="5830"/>
    <cellStyle name="强调文字颜色 5 16 3" xfId="6168"/>
    <cellStyle name="强调文字颜色 5 16 4" xfId="6170"/>
    <cellStyle name="强调文字颜色 5 17" xfId="6173"/>
    <cellStyle name="强调文字颜色 5 17 2" xfId="6175"/>
    <cellStyle name="强调文字颜色 5 17 2 2" xfId="6177"/>
    <cellStyle name="强调文字颜色 5 17 2 3" xfId="2166"/>
    <cellStyle name="强调文字颜色 5 17 3" xfId="6179"/>
    <cellStyle name="强调文字颜色 5 17 4" xfId="5338"/>
    <cellStyle name="强调文字颜色 5 18" xfId="6182"/>
    <cellStyle name="强调文字颜色 5 18 2" xfId="6184"/>
    <cellStyle name="强调文字颜色 5 18 2 2" xfId="6186"/>
    <cellStyle name="强调文字颜色 5 18 2 3" xfId="6188"/>
    <cellStyle name="强调文字颜色 5 18 3" xfId="6190"/>
    <cellStyle name="强调文字颜色 5 18 4" xfId="5344"/>
    <cellStyle name="强调文字颜色 5 19" xfId="6192"/>
    <cellStyle name="强调文字颜色 5 19 2" xfId="6194"/>
    <cellStyle name="强调文字颜色 5 19 2 2" xfId="6196"/>
    <cellStyle name="强调文字颜色 5 19 2 3" xfId="6198"/>
    <cellStyle name="强调文字颜色 5 19 3" xfId="6200"/>
    <cellStyle name="强调文字颜色 5 19 4" xfId="5350"/>
    <cellStyle name="强调文字颜色 5 2" xfId="6202"/>
    <cellStyle name="强调文字颜色 5 2 2" xfId="6203"/>
    <cellStyle name="强调文字颜色 5 2 3" xfId="6204"/>
    <cellStyle name="强调文字颜色 5 20" xfId="6153"/>
    <cellStyle name="强调文字颜色 5 20 2" xfId="6155"/>
    <cellStyle name="强调文字颜色 5 20 2 2" xfId="6157"/>
    <cellStyle name="强调文字颜色 5 20 2 3" xfId="5817"/>
    <cellStyle name="强调文字颜色 5 20 3" xfId="6159"/>
    <cellStyle name="强调文字颜色 5 20 4" xfId="6161"/>
    <cellStyle name="强调文字颜色 5 21" xfId="6163"/>
    <cellStyle name="强调文字颜色 5 21 2" xfId="6165"/>
    <cellStyle name="强调文字颜色 5 21 2 2" xfId="6167"/>
    <cellStyle name="强调文字颜色 5 21 2 3" xfId="5831"/>
    <cellStyle name="强调文字颜色 5 21 3" xfId="6169"/>
    <cellStyle name="强调文字颜色 5 21 4" xfId="6171"/>
    <cellStyle name="强调文字颜色 5 22" xfId="6174"/>
    <cellStyle name="强调文字颜色 5 22 2" xfId="6176"/>
    <cellStyle name="强调文字颜色 5 22 2 2" xfId="6178"/>
    <cellStyle name="强调文字颜色 5 22 2 3" xfId="2165"/>
    <cellStyle name="强调文字颜色 5 22 3" xfId="6180"/>
    <cellStyle name="强调文字颜色 5 22 4" xfId="5339"/>
    <cellStyle name="强调文字颜色 5 23" xfId="6183"/>
    <cellStyle name="强调文字颜色 5 23 2" xfId="6185"/>
    <cellStyle name="强调文字颜色 5 23 2 2" xfId="6187"/>
    <cellStyle name="强调文字颜色 5 23 2 3" xfId="6189"/>
    <cellStyle name="强调文字颜色 5 23 3" xfId="6191"/>
    <cellStyle name="强调文字颜色 5 23 4" xfId="5345"/>
    <cellStyle name="强调文字颜色 5 24" xfId="6193"/>
    <cellStyle name="强调文字颜色 5 24 2" xfId="6195"/>
    <cellStyle name="强调文字颜色 5 24 2 2" xfId="6197"/>
    <cellStyle name="强调文字颜色 5 24 2 3" xfId="6199"/>
    <cellStyle name="强调文字颜色 5 24 3" xfId="6201"/>
    <cellStyle name="强调文字颜色 5 24 4" xfId="5351"/>
    <cellStyle name="强调文字颜色 5 25" xfId="6205"/>
    <cellStyle name="强调文字颜色 5 25 2" xfId="6207"/>
    <cellStyle name="强调文字颜色 5 25 2 2" xfId="6209"/>
    <cellStyle name="强调文字颜色 5 25 2 3" xfId="6211"/>
    <cellStyle name="强调文字颜色 5 25 3" xfId="4368"/>
    <cellStyle name="强调文字颜色 5 25 4" xfId="4371"/>
    <cellStyle name="强调文字颜色 5 26" xfId="6212"/>
    <cellStyle name="强调文字颜色 5 26 2" xfId="6214"/>
    <cellStyle name="强调文字颜色 5 26 2 2" xfId="6216"/>
    <cellStyle name="强调文字颜色 5 26 2 3" xfId="6218"/>
    <cellStyle name="强调文字颜色 5 26 3" xfId="6219"/>
    <cellStyle name="强调文字颜色 5 26 4" xfId="5361"/>
    <cellStyle name="强调文字颜色 5 27" xfId="6220"/>
    <cellStyle name="强调文字颜色 5 27 2" xfId="6222"/>
    <cellStyle name="强调文字颜色 5 27 2 2" xfId="6224"/>
    <cellStyle name="强调文字颜色 5 27 2 3" xfId="2443"/>
    <cellStyle name="强调文字颜色 5 27 3" xfId="6226"/>
    <cellStyle name="强调文字颜色 5 27 4" xfId="5368"/>
    <cellStyle name="强调文字颜色 5 28" xfId="3351"/>
    <cellStyle name="强调文字颜色 5 28 2" xfId="6227"/>
    <cellStyle name="强调文字颜色 5 28 2 2" xfId="6229"/>
    <cellStyle name="强调文字颜色 5 28 2 3" xfId="6231"/>
    <cellStyle name="强调文字颜色 5 28 3" xfId="3967"/>
    <cellStyle name="强调文字颜色 5 28 4" xfId="3969"/>
    <cellStyle name="强调文字颜色 5 29" xfId="6232"/>
    <cellStyle name="强调文字颜色 5 29 2" xfId="6234"/>
    <cellStyle name="强调文字颜色 5 29 3" xfId="6236"/>
    <cellStyle name="强调文字颜色 5 3" xfId="6237"/>
    <cellStyle name="强调文字颜色 5 3 2" xfId="6238"/>
    <cellStyle name="强调文字颜色 5 3 3" xfId="6239"/>
    <cellStyle name="强调文字颜色 5 30" xfId="6206"/>
    <cellStyle name="强调文字颜色 5 30 2" xfId="6208"/>
    <cellStyle name="强调文字颜色 5 30 2 2" xfId="6210"/>
    <cellStyle name="强调文字颜色 5 31" xfId="6213"/>
    <cellStyle name="强调文字颜色 5 31 2" xfId="6215"/>
    <cellStyle name="强调文字颜色 5 31 2 2" xfId="6217"/>
    <cellStyle name="强调文字颜色 5 32" xfId="6221"/>
    <cellStyle name="强调文字颜色 5 32 2" xfId="6223"/>
    <cellStyle name="强调文字颜色 5 32 2 2" xfId="6225"/>
    <cellStyle name="强调文字颜色 5 33" xfId="3350"/>
    <cellStyle name="强调文字颜色 5 33 2" xfId="6228"/>
    <cellStyle name="强调文字颜色 5 33 2 2" xfId="6230"/>
    <cellStyle name="强调文字颜色 5 34" xfId="6233"/>
    <cellStyle name="强调文字颜色 5 34 2" xfId="6235"/>
    <cellStyle name="强调文字颜色 5 34 2 2" xfId="6240"/>
    <cellStyle name="强调文字颜色 5 35" xfId="6241"/>
    <cellStyle name="强调文字颜色 5 35 2" xfId="6242"/>
    <cellStyle name="强调文字颜色 5 36" xfId="6243"/>
    <cellStyle name="强调文字颜色 5 36 2" xfId="6244"/>
    <cellStyle name="强调文字颜色 5 37" xfId="6245"/>
    <cellStyle name="强调文字颜色 5 37 2" xfId="6246"/>
    <cellStyle name="强调文字颜色 5 4" xfId="6247"/>
    <cellStyle name="强调文字颜色 5 4 2" xfId="6248"/>
    <cellStyle name="强调文字颜色 5 4 3" xfId="6249"/>
    <cellStyle name="强调文字颜色 5 5" xfId="6250"/>
    <cellStyle name="强调文字颜色 5 5 2" xfId="6251"/>
    <cellStyle name="强调文字颜色 5 5 3" xfId="6252"/>
    <cellStyle name="强调文字颜色 5 6" xfId="6253"/>
    <cellStyle name="强调文字颜色 5 6 2" xfId="6254"/>
    <cellStyle name="强调文字颜色 5 6 3" xfId="6255"/>
    <cellStyle name="强调文字颜色 5 7" xfId="6256"/>
    <cellStyle name="强调文字颜色 5 7 2" xfId="6257"/>
    <cellStyle name="强调文字颜色 5 7 3" xfId="6258"/>
    <cellStyle name="强调文字颜色 5 8" xfId="6259"/>
    <cellStyle name="强调文字颜色 5 8 2" xfId="6260"/>
    <cellStyle name="强调文字颜色 5 8 3" xfId="6261"/>
    <cellStyle name="强调文字颜色 5 9" xfId="6262"/>
    <cellStyle name="强调文字颜色 5 9 2" xfId="6263"/>
    <cellStyle name="强调文字颜色 5 9 2 2" xfId="6264"/>
    <cellStyle name="强调文字颜色 5 9 2 3" xfId="6265"/>
    <cellStyle name="强调文字颜色 5 9 3" xfId="6266"/>
    <cellStyle name="强调文字颜色 5 9 4" xfId="6267"/>
    <cellStyle name="强调文字颜色 6" xfId="237"/>
    <cellStyle name="强调文字颜色 6 10" xfId="1301"/>
    <cellStyle name="强调文字颜色 6 10 2" xfId="2991"/>
    <cellStyle name="强调文字颜色 6 10 2 2" xfId="6268"/>
    <cellStyle name="强调文字颜色 6 10 2 3" xfId="5931"/>
    <cellStyle name="强调文字颜色 6 10 3" xfId="6269"/>
    <cellStyle name="强调文字颜色 6 10 4" xfId="6270"/>
    <cellStyle name="强调文字颜色 6 11" xfId="1307"/>
    <cellStyle name="强调文字颜色 6 11 2" xfId="2995"/>
    <cellStyle name="强调文字颜色 6 11 2 2" xfId="4336"/>
    <cellStyle name="强调文字颜色 6 11 2 3" xfId="4340"/>
    <cellStyle name="强调文字颜色 6 11 3" xfId="6271"/>
    <cellStyle name="强调文字颜色 6 11 4" xfId="6272"/>
    <cellStyle name="强调文字颜色 6 12" xfId="6273"/>
    <cellStyle name="强调文字颜色 6 12 2" xfId="3001"/>
    <cellStyle name="强调文字颜色 6 12 2 2" xfId="3826"/>
    <cellStyle name="强调文字颜色 6 12 2 3" xfId="5956"/>
    <cellStyle name="强调文字颜色 6 12 3" xfId="3828"/>
    <cellStyle name="强调文字颜色 6 12 4" xfId="3830"/>
    <cellStyle name="强调文字颜色 6 13" xfId="6274"/>
    <cellStyle name="强调文字颜色 6 13 2" xfId="3010"/>
    <cellStyle name="强调文字颜色 6 13 2 2" xfId="2805"/>
    <cellStyle name="强调文字颜色 6 13 2 3" xfId="2823"/>
    <cellStyle name="强调文字颜色 6 13 3" xfId="3013"/>
    <cellStyle name="强调文字颜色 6 13 4" xfId="3950"/>
    <cellStyle name="强调文字颜色 6 14" xfId="6275"/>
    <cellStyle name="强调文字颜色 6 14 2" xfId="4085"/>
    <cellStyle name="强调文字颜色 6 14 2 2" xfId="2239"/>
    <cellStyle name="强调文字颜色 6 14 2 3" xfId="2271"/>
    <cellStyle name="强调文字颜色 6 14 3" xfId="4087"/>
    <cellStyle name="强调文字颜色 6 14 4" xfId="4091"/>
    <cellStyle name="强调文字颜色 6 15" xfId="6276"/>
    <cellStyle name="强调文字颜色 6 15 2" xfId="4205"/>
    <cellStyle name="强调文字颜色 6 15 2 2" xfId="4208"/>
    <cellStyle name="强调文字颜色 6 15 2 3" xfId="5976"/>
    <cellStyle name="强调文字颜色 6 15 3" xfId="4211"/>
    <cellStyle name="强调文字颜色 6 15 4" xfId="4215"/>
    <cellStyle name="强调文字颜色 6 16" xfId="6278"/>
    <cellStyle name="强调文字颜色 6 16 2" xfId="6280"/>
    <cellStyle name="强调文字颜色 6 16 2 2" xfId="6282"/>
    <cellStyle name="强调文字颜色 6 16 2 3" xfId="5987"/>
    <cellStyle name="强调文字颜色 6 16 3" xfId="6284"/>
    <cellStyle name="强调文字颜色 6 16 4" xfId="6286"/>
    <cellStyle name="强调文字颜色 6 17" xfId="6288"/>
    <cellStyle name="强调文字颜色 6 17 2" xfId="6290"/>
    <cellStyle name="强调文字颜色 6 17 2 2" xfId="3914"/>
    <cellStyle name="强调文字颜色 6 17 2 3" xfId="3922"/>
    <cellStyle name="强调文字颜色 6 17 3" xfId="6292"/>
    <cellStyle name="强调文字颜色 6 17 4" xfId="6294"/>
    <cellStyle name="强调文字颜色 6 18" xfId="6296"/>
    <cellStyle name="强调文字颜色 6 18 2" xfId="6298"/>
    <cellStyle name="强调文字颜色 6 18 2 2" xfId="6300"/>
    <cellStyle name="强调文字颜色 6 18 2 3" xfId="6302"/>
    <cellStyle name="强调文字颜色 6 18 3" xfId="6304"/>
    <cellStyle name="强调文字颜色 6 18 4" xfId="6306"/>
    <cellStyle name="强调文字颜色 6 19" xfId="6308"/>
    <cellStyle name="强调文字颜色 6 19 2" xfId="6310"/>
    <cellStyle name="强调文字颜色 6 19 2 2" xfId="4857"/>
    <cellStyle name="强调文字颜色 6 19 2 3" xfId="4867"/>
    <cellStyle name="强调文字颜色 6 19 3" xfId="6312"/>
    <cellStyle name="强调文字颜色 6 19 4" xfId="6314"/>
    <cellStyle name="强调文字颜色 6 2" xfId="6316"/>
    <cellStyle name="强调文字颜色 6 2 2" xfId="6317"/>
    <cellStyle name="强调文字颜色 6 2 3" xfId="6318"/>
    <cellStyle name="强调文字颜色 6 20" xfId="6277"/>
    <cellStyle name="强调文字颜色 6 20 2" xfId="4206"/>
    <cellStyle name="强调文字颜色 6 20 2 2" xfId="4209"/>
    <cellStyle name="强调文字颜色 6 20 2 3" xfId="5977"/>
    <cellStyle name="强调文字颜色 6 20 3" xfId="4212"/>
    <cellStyle name="强调文字颜色 6 20 4" xfId="4216"/>
    <cellStyle name="强调文字颜色 6 21" xfId="6279"/>
    <cellStyle name="强调文字颜色 6 21 2" xfId="6281"/>
    <cellStyle name="强调文字颜色 6 21 2 2" xfId="6283"/>
    <cellStyle name="强调文字颜色 6 21 2 3" xfId="5988"/>
    <cellStyle name="强调文字颜色 6 21 3" xfId="6285"/>
    <cellStyle name="强调文字颜色 6 21 4" xfId="6287"/>
    <cellStyle name="强调文字颜色 6 22" xfId="6289"/>
    <cellStyle name="强调文字颜色 6 22 2" xfId="6291"/>
    <cellStyle name="强调文字颜色 6 22 2 2" xfId="3913"/>
    <cellStyle name="强调文字颜色 6 22 2 3" xfId="3921"/>
    <cellStyle name="强调文字颜色 6 22 3" xfId="6293"/>
    <cellStyle name="强调文字颜色 6 22 4" xfId="6295"/>
    <cellStyle name="强调文字颜色 6 23" xfId="6297"/>
    <cellStyle name="强调文字颜色 6 23 2" xfId="6299"/>
    <cellStyle name="强调文字颜色 6 23 2 2" xfId="6301"/>
    <cellStyle name="强调文字颜色 6 23 2 3" xfId="6303"/>
    <cellStyle name="强调文字颜色 6 23 3" xfId="6305"/>
    <cellStyle name="强调文字颜色 6 23 4" xfId="6307"/>
    <cellStyle name="强调文字颜色 6 24" xfId="6309"/>
    <cellStyle name="强调文字颜色 6 24 2" xfId="6311"/>
    <cellStyle name="强调文字颜色 6 24 2 2" xfId="4858"/>
    <cellStyle name="强调文字颜色 6 24 2 3" xfId="4868"/>
    <cellStyle name="强调文字颜色 6 24 3" xfId="6313"/>
    <cellStyle name="强调文字颜色 6 24 4" xfId="6315"/>
    <cellStyle name="强调文字颜色 6 25" xfId="6319"/>
    <cellStyle name="强调文字颜色 6 25 2" xfId="6321"/>
    <cellStyle name="强调文字颜色 6 25 2 2" xfId="6323"/>
    <cellStyle name="强调文字颜色 6 25 2 3" xfId="6325"/>
    <cellStyle name="强调文字颜色 6 25 3" xfId="6326"/>
    <cellStyle name="强调文字颜色 6 25 4" xfId="6327"/>
    <cellStyle name="强调文字颜色 6 26" xfId="6328"/>
    <cellStyle name="强调文字颜色 6 26 2" xfId="6330"/>
    <cellStyle name="强调文字颜色 6 26 2 2" xfId="6332"/>
    <cellStyle name="强调文字颜色 6 26 2 3" xfId="6334"/>
    <cellStyle name="强调文字颜色 6 26 3" xfId="6335"/>
    <cellStyle name="强调文字颜色 6 26 4" xfId="6336"/>
    <cellStyle name="强调文字颜色 6 27" xfId="6337"/>
    <cellStyle name="强调文字颜色 6 27 2" xfId="6339"/>
    <cellStyle name="强调文字颜色 6 27 2 2" xfId="6341"/>
    <cellStyle name="强调文字颜色 6 27 2 3" xfId="6343"/>
    <cellStyle name="强调文字颜色 6 27 3" xfId="6344"/>
    <cellStyle name="强调文字颜色 6 27 4" xfId="6345"/>
    <cellStyle name="强调文字颜色 6 28" xfId="6346"/>
    <cellStyle name="强调文字颜色 6 28 2" xfId="6348"/>
    <cellStyle name="强调文字颜色 6 28 2 2" xfId="6350"/>
    <cellStyle name="强调文字颜色 6 28 2 3" xfId="6352"/>
    <cellStyle name="强调文字颜色 6 28 3" xfId="3999"/>
    <cellStyle name="强调文字颜色 6 28 4" xfId="4002"/>
    <cellStyle name="强调文字颜色 6 29" xfId="6353"/>
    <cellStyle name="强调文字颜色 6 29 2" xfId="6355"/>
    <cellStyle name="强调文字颜色 6 29 3" xfId="6357"/>
    <cellStyle name="强调文字颜色 6 3" xfId="6358"/>
    <cellStyle name="强调文字颜色 6 3 2" xfId="6359"/>
    <cellStyle name="强调文字颜色 6 3 3" xfId="6360"/>
    <cellStyle name="强调文字颜色 6 30" xfId="6320"/>
    <cellStyle name="强调文字颜色 6 30 2" xfId="6322"/>
    <cellStyle name="强调文字颜色 6 30 2 2" xfId="6324"/>
    <cellStyle name="强调文字颜色 6 31" xfId="6329"/>
    <cellStyle name="强调文字颜色 6 31 2" xfId="6331"/>
    <cellStyle name="强调文字颜色 6 31 2 2" xfId="6333"/>
    <cellStyle name="强调文字颜色 6 32" xfId="6338"/>
    <cellStyle name="强调文字颜色 6 32 2" xfId="6340"/>
    <cellStyle name="强调文字颜色 6 32 2 2" xfId="6342"/>
    <cellStyle name="强调文字颜色 6 33" xfId="6347"/>
    <cellStyle name="强调文字颜色 6 33 2" xfId="6349"/>
    <cellStyle name="强调文字颜色 6 33 2 2" xfId="6351"/>
    <cellStyle name="强调文字颜色 6 34" xfId="6354"/>
    <cellStyle name="强调文字颜色 6 34 2" xfId="6356"/>
    <cellStyle name="强调文字颜色 6 34 2 2" xfId="6361"/>
    <cellStyle name="强调文字颜色 6 35" xfId="6362"/>
    <cellStyle name="强调文字颜色 6 35 2" xfId="6363"/>
    <cellStyle name="强调文字颜色 6 36" xfId="6364"/>
    <cellStyle name="强调文字颜色 6 36 2" xfId="6365"/>
    <cellStyle name="强调文字颜色 6 37" xfId="6366"/>
    <cellStyle name="强调文字颜色 6 37 2" xfId="6367"/>
    <cellStyle name="强调文字颜色 6 4" xfId="6368"/>
    <cellStyle name="强调文字颜色 6 4 2" xfId="6369"/>
    <cellStyle name="强调文字颜色 6 4 3" xfId="6370"/>
    <cellStyle name="强调文字颜色 6 5" xfId="6371"/>
    <cellStyle name="强调文字颜色 6 5 2" xfId="6372"/>
    <cellStyle name="强调文字颜色 6 5 3" xfId="6373"/>
    <cellStyle name="强调文字颜色 6 6" xfId="6374"/>
    <cellStyle name="强调文字颜色 6 6 2" xfId="6375"/>
    <cellStyle name="强调文字颜色 6 6 3" xfId="6376"/>
    <cellStyle name="强调文字颜色 6 7" xfId="6377"/>
    <cellStyle name="强调文字颜色 6 7 2" xfId="6378"/>
    <cellStyle name="强调文字颜色 6 7 3" xfId="6379"/>
    <cellStyle name="强调文字颜色 6 8" xfId="6380"/>
    <cellStyle name="强调文字颜色 6 8 2" xfId="6381"/>
    <cellStyle name="强调文字颜色 6 8 3" xfId="6382"/>
    <cellStyle name="强调文字颜色 6 9" xfId="6383"/>
    <cellStyle name="强调文字颜色 6 9 2" xfId="6384"/>
    <cellStyle name="强调文字颜色 6 9 2 2" xfId="6385"/>
    <cellStyle name="强调文字颜色 6 9 2 3" xfId="6386"/>
    <cellStyle name="强调文字颜色 6 9 3" xfId="6387"/>
    <cellStyle name="强调文字颜色 6 9 4" xfId="6388"/>
    <cellStyle name="适中" xfId="141"/>
    <cellStyle name="适中 10" xfId="275"/>
    <cellStyle name="适中 10 2" xfId="5552"/>
    <cellStyle name="适中 10 2 2" xfId="6389"/>
    <cellStyle name="适中 10 2 3" xfId="6390"/>
    <cellStyle name="适中 10 3" xfId="5554"/>
    <cellStyle name="适中 10 4" xfId="6391"/>
    <cellStyle name="适中 11" xfId="6392"/>
    <cellStyle name="适中 11 2" xfId="5564"/>
    <cellStyle name="适中 11 2 2" xfId="6393"/>
    <cellStyle name="适中 11 2 3" xfId="6394"/>
    <cellStyle name="适中 11 3" xfId="5567"/>
    <cellStyle name="适中 11 4" xfId="6395"/>
    <cellStyle name="适中 12" xfId="6396"/>
    <cellStyle name="适中 12 2" xfId="5578"/>
    <cellStyle name="适中 12 2 2" xfId="6397"/>
    <cellStyle name="适中 12 2 3" xfId="6398"/>
    <cellStyle name="适中 12 3" xfId="5581"/>
    <cellStyle name="适中 12 4" xfId="6399"/>
    <cellStyle name="适中 13" xfId="6400"/>
    <cellStyle name="适中 13 2" xfId="5592"/>
    <cellStyle name="适中 13 2 2" xfId="6401"/>
    <cellStyle name="适中 13 2 3" xfId="6402"/>
    <cellStyle name="适中 13 3" xfId="5595"/>
    <cellStyle name="适中 13 4" xfId="6403"/>
    <cellStyle name="适中 14" xfId="6404"/>
    <cellStyle name="适中 14 2" xfId="84"/>
    <cellStyle name="适中 14 2 2" xfId="3375"/>
    <cellStyle name="适中 14 2 3" xfId="3412"/>
    <cellStyle name="适中 14 3" xfId="66"/>
    <cellStyle name="适中 14 4" xfId="52"/>
    <cellStyle name="适中 15" xfId="6405"/>
    <cellStyle name="适中 15 2" xfId="5618"/>
    <cellStyle name="适中 15 2 2" xfId="6407"/>
    <cellStyle name="适中 15 2 3" xfId="6409"/>
    <cellStyle name="适中 15 3" xfId="5622"/>
    <cellStyle name="适中 15 4" xfId="6411"/>
    <cellStyle name="适中 16" xfId="6413"/>
    <cellStyle name="适中 16 2" xfId="4357"/>
    <cellStyle name="适中 16 2 2" xfId="4362"/>
    <cellStyle name="适中 16 2 3" xfId="4372"/>
    <cellStyle name="适中 16 3" xfId="4376"/>
    <cellStyle name="适中 16 4" xfId="4388"/>
    <cellStyle name="适中 17" xfId="6415"/>
    <cellStyle name="适中 17 2" xfId="5637"/>
    <cellStyle name="适中 17 2 2" xfId="6417"/>
    <cellStyle name="适中 17 2 3" xfId="3833"/>
    <cellStyle name="适中 17 3" xfId="5640"/>
    <cellStyle name="适中 17 4" xfId="6419"/>
    <cellStyle name="适中 18" xfId="6421"/>
    <cellStyle name="适中 18 2" xfId="5650"/>
    <cellStyle name="适中 18 2 2" xfId="6423"/>
    <cellStyle name="适中 18 2 3" xfId="3953"/>
    <cellStyle name="适中 18 3" xfId="5653"/>
    <cellStyle name="适中 18 4" xfId="6425"/>
    <cellStyle name="适中 19" xfId="6427"/>
    <cellStyle name="适中 19 2" xfId="5664"/>
    <cellStyle name="适中 19 2 2" xfId="6429"/>
    <cellStyle name="适中 19 2 3" xfId="4093"/>
    <cellStyle name="适中 19 3" xfId="5667"/>
    <cellStyle name="适中 19 4" xfId="6431"/>
    <cellStyle name="适中 2" xfId="6433"/>
    <cellStyle name="适中 2 2" xfId="6434"/>
    <cellStyle name="适中 2 3" xfId="6435"/>
    <cellStyle name="适中 20" xfId="6406"/>
    <cellStyle name="适中 20 2" xfId="5619"/>
    <cellStyle name="适中 20 2 2" xfId="6408"/>
    <cellStyle name="适中 20 2 3" xfId="6410"/>
    <cellStyle name="适中 20 3" xfId="5623"/>
    <cellStyle name="适中 20 4" xfId="6412"/>
    <cellStyle name="适中 21" xfId="6414"/>
    <cellStyle name="适中 21 2" xfId="4358"/>
    <cellStyle name="适中 21 2 2" xfId="4363"/>
    <cellStyle name="适中 21 2 3" xfId="4373"/>
    <cellStyle name="适中 21 3" xfId="4377"/>
    <cellStyle name="适中 21 4" xfId="4389"/>
    <cellStyle name="适中 22" xfId="6416"/>
    <cellStyle name="适中 22 2" xfId="5638"/>
    <cellStyle name="适中 22 2 2" xfId="6418"/>
    <cellStyle name="适中 22 2 3" xfId="3832"/>
    <cellStyle name="适中 22 3" xfId="5641"/>
    <cellStyle name="适中 22 4" xfId="6420"/>
    <cellStyle name="适中 23" xfId="6422"/>
    <cellStyle name="适中 23 2" xfId="5651"/>
    <cellStyle name="适中 23 2 2" xfId="6424"/>
    <cellStyle name="适中 23 2 3" xfId="3952"/>
    <cellStyle name="适中 23 3" xfId="5654"/>
    <cellStyle name="适中 23 4" xfId="6426"/>
    <cellStyle name="适中 24" xfId="6428"/>
    <cellStyle name="适中 24 2" xfId="5665"/>
    <cellStyle name="适中 24 2 2" xfId="6430"/>
    <cellStyle name="适中 24 2 3" xfId="4094"/>
    <cellStyle name="适中 24 3" xfId="5668"/>
    <cellStyle name="适中 24 4" xfId="6432"/>
    <cellStyle name="适中 25" xfId="6436"/>
    <cellStyle name="适中 25 2" xfId="5674"/>
    <cellStyle name="适中 25 2 2" xfId="6438"/>
    <cellStyle name="适中 25 2 3" xfId="4218"/>
    <cellStyle name="适中 25 3" xfId="6440"/>
    <cellStyle name="适中 25 4" xfId="6441"/>
    <cellStyle name="适中 26" xfId="2349"/>
    <cellStyle name="适中 26 2" xfId="6442"/>
    <cellStyle name="适中 26 2 2" xfId="6444"/>
    <cellStyle name="适中 26 2 3" xfId="6446"/>
    <cellStyle name="适中 26 3" xfId="6447"/>
    <cellStyle name="适中 26 4" xfId="6448"/>
    <cellStyle name="适中 27" xfId="2353"/>
    <cellStyle name="适中 27 2" xfId="5999"/>
    <cellStyle name="适中 27 2 2" xfId="6449"/>
    <cellStyle name="适中 27 2 3" xfId="6451"/>
    <cellStyle name="适中 27 3" xfId="5602"/>
    <cellStyle name="适中 27 4" xfId="5606"/>
    <cellStyle name="适中 28" xfId="6002"/>
    <cellStyle name="适中 28 2" xfId="6452"/>
    <cellStyle name="适中 28 2 2" xfId="6454"/>
    <cellStyle name="适中 28 2 3" xfId="6456"/>
    <cellStyle name="适中 28 3" xfId="3377"/>
    <cellStyle name="适中 28 4" xfId="3414"/>
    <cellStyle name="适中 29" xfId="3636"/>
    <cellStyle name="适中 29 2" xfId="3639"/>
    <cellStyle name="适中 29 3" xfId="3464"/>
    <cellStyle name="适中 3" xfId="6457"/>
    <cellStyle name="适中 3 2" xfId="6458"/>
    <cellStyle name="适中 3 3" xfId="6459"/>
    <cellStyle name="适中 30" xfId="6437"/>
    <cellStyle name="适中 30 2" xfId="5675"/>
    <cellStyle name="适中 30 2 2" xfId="6439"/>
    <cellStyle name="适中 31" xfId="2348"/>
    <cellStyle name="适中 31 2" xfId="6443"/>
    <cellStyle name="适中 31 2 2" xfId="6445"/>
    <cellStyle name="适中 32" xfId="2352"/>
    <cellStyle name="适中 32 2" xfId="6000"/>
    <cellStyle name="适中 32 2 2" xfId="6450"/>
    <cellStyle name="适中 33" xfId="6003"/>
    <cellStyle name="适中 33 2" xfId="6453"/>
    <cellStyle name="适中 33 2 2" xfId="6455"/>
    <cellStyle name="适中 34" xfId="3635"/>
    <cellStyle name="适中 34 2" xfId="3638"/>
    <cellStyle name="适中 34 2 2" xfId="6460"/>
    <cellStyle name="适中 35" xfId="3641"/>
    <cellStyle name="适中 35 2" xfId="6461"/>
    <cellStyle name="适中 36" xfId="3644"/>
    <cellStyle name="适中 36 2" xfId="6462"/>
    <cellStyle name="适中 37" xfId="6463"/>
    <cellStyle name="适中 37 2" xfId="6464"/>
    <cellStyle name="适中 38" xfId="6465"/>
    <cellStyle name="适中 39" xfId="3215"/>
    <cellStyle name="适中 4" xfId="2134"/>
    <cellStyle name="适中 4 2" xfId="4171"/>
    <cellStyle name="适中 4 3" xfId="6466"/>
    <cellStyle name="适中 5" xfId="4174"/>
    <cellStyle name="适中 5 2" xfId="6467"/>
    <cellStyle name="适中 5 3" xfId="6470"/>
    <cellStyle name="适中 6" xfId="6471"/>
    <cellStyle name="适中 6 2" xfId="6472"/>
    <cellStyle name="适中 6 3" xfId="6473"/>
    <cellStyle name="适中 7" xfId="6474"/>
    <cellStyle name="适中 7 2" xfId="6475"/>
    <cellStyle name="适中 7 3" xfId="6476"/>
    <cellStyle name="适中 8" xfId="6477"/>
    <cellStyle name="适中 8 2" xfId="243"/>
    <cellStyle name="适中 8 3" xfId="6478"/>
    <cellStyle name="适中 9" xfId="6479"/>
    <cellStyle name="适中 9 2" xfId="6480"/>
    <cellStyle name="适中 9 2 2" xfId="6481"/>
    <cellStyle name="适中 9 2 3" xfId="6482"/>
    <cellStyle name="适中 9 3" xfId="6483"/>
    <cellStyle name="适中 9 4" xfId="5087"/>
    <cellStyle name="输出" xfId="101"/>
    <cellStyle name="输出 10" xfId="6484"/>
    <cellStyle name="输出 10 2" xfId="3796"/>
    <cellStyle name="输出 10 2 2" xfId="6485"/>
    <cellStyle name="输出 10 2 3" xfId="6486"/>
    <cellStyle name="输出 10 3" xfId="6487"/>
    <cellStyle name="输出 10 4" xfId="6488"/>
    <cellStyle name="输出 11" xfId="6489"/>
    <cellStyle name="输出 11 2" xfId="2332"/>
    <cellStyle name="输出 11 2 2" xfId="6490"/>
    <cellStyle name="输出 11 2 3" xfId="6491"/>
    <cellStyle name="输出 11 3" xfId="6492"/>
    <cellStyle name="输出 11 4" xfId="6493"/>
    <cellStyle name="输出 12" xfId="6494"/>
    <cellStyle name="输出 12 2" xfId="3805"/>
    <cellStyle name="输出 12 2 2" xfId="6495"/>
    <cellStyle name="输出 12 2 3" xfId="6496"/>
    <cellStyle name="输出 12 3" xfId="6497"/>
    <cellStyle name="输出 12 4" xfId="6498"/>
    <cellStyle name="输出 13" xfId="6499"/>
    <cellStyle name="输出 13 2" xfId="3809"/>
    <cellStyle name="输出 13 2 2" xfId="5514"/>
    <cellStyle name="输出 13 2 3" xfId="6500"/>
    <cellStyle name="输出 13 3" xfId="6501"/>
    <cellStyle name="输出 13 4" xfId="6502"/>
    <cellStyle name="输出 14" xfId="6503"/>
    <cellStyle name="输出 14 2" xfId="3680"/>
    <cellStyle name="输出 14 2 2" xfId="6504"/>
    <cellStyle name="输出 14 2 3" xfId="6505"/>
    <cellStyle name="输出 14 3" xfId="6506"/>
    <cellStyle name="输出 14 4" xfId="6507"/>
    <cellStyle name="输出 15" xfId="6508"/>
    <cellStyle name="输出 15 2" xfId="3816"/>
    <cellStyle name="输出 15 2 2" xfId="6510"/>
    <cellStyle name="输出 15 2 3" xfId="6512"/>
    <cellStyle name="输出 15 3" xfId="6514"/>
    <cellStyle name="输出 15 4" xfId="6516"/>
    <cellStyle name="输出 16" xfId="6518"/>
    <cellStyle name="输出 16 2" xfId="6520"/>
    <cellStyle name="输出 16 2 2" xfId="6522"/>
    <cellStyle name="输出 16 2 3" xfId="6524"/>
    <cellStyle name="输出 16 3" xfId="5705"/>
    <cellStyle name="输出 16 4" xfId="5708"/>
    <cellStyle name="输出 17" xfId="6526"/>
    <cellStyle name="输出 17 2" xfId="6528"/>
    <cellStyle name="输出 17 2 2" xfId="6530"/>
    <cellStyle name="输出 17 2 3" xfId="6532"/>
    <cellStyle name="输出 17 3" xfId="6534"/>
    <cellStyle name="输出 17 4" xfId="6536"/>
    <cellStyle name="输出 18" xfId="6538"/>
    <cellStyle name="输出 18 2" xfId="6540"/>
    <cellStyle name="输出 18 2 2" xfId="6542"/>
    <cellStyle name="输出 18 2 3" xfId="6544"/>
    <cellStyle name="输出 18 3" xfId="6546"/>
    <cellStyle name="输出 18 4" xfId="6548"/>
    <cellStyle name="输出 19" xfId="6550"/>
    <cellStyle name="输出 19 2" xfId="6552"/>
    <cellStyle name="输出 19 2 2" xfId="6468"/>
    <cellStyle name="输出 19 2 3" xfId="6554"/>
    <cellStyle name="输出 19 3" xfId="6556"/>
    <cellStyle name="输出 19 4" xfId="6558"/>
    <cellStyle name="输出 2" xfId="6560"/>
    <cellStyle name="输出 2 2" xfId="6561"/>
    <cellStyle name="输出 2 3" xfId="6562"/>
    <cellStyle name="输出 2 4" xfId="6563"/>
    <cellStyle name="输出 20" xfId="6509"/>
    <cellStyle name="输出 20 2" xfId="3815"/>
    <cellStyle name="输出 20 2 2" xfId="6511"/>
    <cellStyle name="输出 20 2 3" xfId="6513"/>
    <cellStyle name="输出 20 3" xfId="6515"/>
    <cellStyle name="输出 20 4" xfId="6517"/>
    <cellStyle name="输出 21" xfId="6519"/>
    <cellStyle name="输出 21 2" xfId="6521"/>
    <cellStyle name="输出 21 2 2" xfId="6523"/>
    <cellStyle name="输出 21 2 3" xfId="6525"/>
    <cellStyle name="输出 21 3" xfId="5706"/>
    <cellStyle name="输出 21 4" xfId="5709"/>
    <cellStyle name="输出 22" xfId="6527"/>
    <cellStyle name="输出 22 2" xfId="6529"/>
    <cellStyle name="输出 22 2 2" xfId="6531"/>
    <cellStyle name="输出 22 2 3" xfId="6533"/>
    <cellStyle name="输出 22 3" xfId="6535"/>
    <cellStyle name="输出 22 4" xfId="6537"/>
    <cellStyle name="输出 23" xfId="6539"/>
    <cellStyle name="输出 23 2" xfId="6541"/>
    <cellStyle name="输出 23 2 2" xfId="6543"/>
    <cellStyle name="输出 23 2 3" xfId="6545"/>
    <cellStyle name="输出 23 3" xfId="6547"/>
    <cellStyle name="输出 23 4" xfId="6549"/>
    <cellStyle name="输出 24" xfId="6551"/>
    <cellStyle name="输出 24 2" xfId="6553"/>
    <cellStyle name="输出 24 2 2" xfId="6469"/>
    <cellStyle name="输出 24 2 3" xfId="6555"/>
    <cellStyle name="输出 24 3" xfId="6557"/>
    <cellStyle name="输出 24 4" xfId="6559"/>
    <cellStyle name="输出 25" xfId="6564"/>
    <cellStyle name="输出 25 2" xfId="6566"/>
    <cellStyle name="输出 25 2 2" xfId="6568"/>
    <cellStyle name="输出 25 2 3" xfId="6570"/>
    <cellStyle name="输出 25 3" xfId="6571"/>
    <cellStyle name="输出 25 4" xfId="6572"/>
    <cellStyle name="输出 26" xfId="6573"/>
    <cellStyle name="输出 26 2" xfId="6575"/>
    <cellStyle name="输出 26 2 2" xfId="6577"/>
    <cellStyle name="输出 26 2 3" xfId="6579"/>
    <cellStyle name="输出 26 3" xfId="6580"/>
    <cellStyle name="输出 26 4" xfId="6581"/>
    <cellStyle name="输出 27" xfId="6582"/>
    <cellStyle name="输出 27 2" xfId="6584"/>
    <cellStyle name="输出 27 2 2" xfId="6586"/>
    <cellStyle name="输出 27 2 3" xfId="6588"/>
    <cellStyle name="输出 27 3" xfId="6589"/>
    <cellStyle name="输出 27 4" xfId="6590"/>
    <cellStyle name="输出 28" xfId="2545"/>
    <cellStyle name="输出 28 2" xfId="2550"/>
    <cellStyle name="输出 28 2 2" xfId="6591"/>
    <cellStyle name="输出 28 2 3" xfId="6593"/>
    <cellStyle name="输出 28 3" xfId="2552"/>
    <cellStyle name="输出 28 4" xfId="6594"/>
    <cellStyle name="输出 29" xfId="2555"/>
    <cellStyle name="输出 29 2" xfId="6595"/>
    <cellStyle name="输出 29 3" xfId="5753"/>
    <cellStyle name="输出 3" xfId="6597"/>
    <cellStyle name="输出 3 2" xfId="6598"/>
    <cellStyle name="输出 3 3" xfId="6599"/>
    <cellStyle name="输出 30" xfId="6565"/>
    <cellStyle name="输出 30 2" xfId="6567"/>
    <cellStyle name="输出 30 2 2" xfId="6569"/>
    <cellStyle name="输出 31" xfId="6574"/>
    <cellStyle name="输出 31 2" xfId="6576"/>
    <cellStyle name="输出 31 2 2" xfId="6578"/>
    <cellStyle name="输出 32" xfId="6583"/>
    <cellStyle name="输出 32 2" xfId="6585"/>
    <cellStyle name="输出 32 2 2" xfId="6587"/>
    <cellStyle name="输出 33" xfId="2544"/>
    <cellStyle name="输出 33 2" xfId="2549"/>
    <cellStyle name="输出 33 2 2" xfId="6592"/>
    <cellStyle name="输出 34" xfId="2554"/>
    <cellStyle name="输出 34 2" xfId="6596"/>
    <cellStyle name="输出 34 2 2" xfId="6600"/>
    <cellStyle name="输出 35" xfId="2560"/>
    <cellStyle name="输出 35 2" xfId="6603"/>
    <cellStyle name="输出 36" xfId="2673"/>
    <cellStyle name="输出 36 2" xfId="6604"/>
    <cellStyle name="输出 37" xfId="6605"/>
    <cellStyle name="输出 37 2" xfId="6606"/>
    <cellStyle name="输出 4" xfId="6607"/>
    <cellStyle name="输出 4 2" xfId="4604"/>
    <cellStyle name="输出 4 3" xfId="4647"/>
    <cellStyle name="输出 5" xfId="6608"/>
    <cellStyle name="输出 5 2" xfId="6609"/>
    <cellStyle name="输出 5 3" xfId="6610"/>
    <cellStyle name="输出 6" xfId="6611"/>
    <cellStyle name="输出 6 2" xfId="4122"/>
    <cellStyle name="输出 6 3" xfId="4127"/>
    <cellStyle name="输出 7" xfId="6612"/>
    <cellStyle name="输出 7 2" xfId="6613"/>
    <cellStyle name="输出 7 3" xfId="5462"/>
    <cellStyle name="输出 8" xfId="6614"/>
    <cellStyle name="输出 8 2" xfId="6615"/>
    <cellStyle name="输出 8 3" xfId="6616"/>
    <cellStyle name="输出 9" xfId="6617"/>
    <cellStyle name="输出 9 2" xfId="6618"/>
    <cellStyle name="输出 9 2 2" xfId="6619"/>
    <cellStyle name="输出 9 2 3" xfId="6620"/>
    <cellStyle name="输出 9 3" xfId="6621"/>
    <cellStyle name="输出 9 4" xfId="6622"/>
    <cellStyle name="输入" xfId="28"/>
    <cellStyle name="输入 10" xfId="6115"/>
    <cellStyle name="输入 10 2" xfId="6117"/>
    <cellStyle name="输入 10 2 2" xfId="6623"/>
    <cellStyle name="输入 10 2 3" xfId="6624"/>
    <cellStyle name="输入 10 3" xfId="6119"/>
    <cellStyle name="输入 10 4" xfId="6625"/>
    <cellStyle name="输入 11" xfId="6121"/>
    <cellStyle name="输入 11 2" xfId="6123"/>
    <cellStyle name="输入 11 2 2" xfId="6125"/>
    <cellStyle name="输入 11 2 3" xfId="6127"/>
    <cellStyle name="输入 11 3" xfId="6129"/>
    <cellStyle name="输入 11 4" xfId="6131"/>
    <cellStyle name="输入 12" xfId="1921"/>
    <cellStyle name="输入 12 2" xfId="2045"/>
    <cellStyle name="输入 12 2 2" xfId="6626"/>
    <cellStyle name="输入 12 2 3" xfId="6627"/>
    <cellStyle name="输入 12 3" xfId="6628"/>
    <cellStyle name="输入 12 4" xfId="6629"/>
    <cellStyle name="输入 13" xfId="3432"/>
    <cellStyle name="输入 13 2" xfId="6630"/>
    <cellStyle name="输入 13 2 2" xfId="6631"/>
    <cellStyle name="输入 13 2 3" xfId="6632"/>
    <cellStyle name="输入 13 3" xfId="6633"/>
    <cellStyle name="输入 13 4" xfId="6634"/>
    <cellStyle name="输入 14" xfId="6635"/>
    <cellStyle name="输入 14 2" xfId="6636"/>
    <cellStyle name="输入 14 2 2" xfId="6637"/>
    <cellStyle name="输入 14 2 3" xfId="6638"/>
    <cellStyle name="输入 14 3" xfId="6639"/>
    <cellStyle name="输入 14 4" xfId="3760"/>
    <cellStyle name="输入 15" xfId="6640"/>
    <cellStyle name="输入 15 2" xfId="6642"/>
    <cellStyle name="输入 15 2 2" xfId="5857"/>
    <cellStyle name="输入 15 2 3" xfId="6601"/>
    <cellStyle name="输入 15 3" xfId="6644"/>
    <cellStyle name="输入 15 4" xfId="6646"/>
    <cellStyle name="输入 16" xfId="6648"/>
    <cellStyle name="输入 16 2" xfId="6650"/>
    <cellStyle name="输入 16 2 2" xfId="5864"/>
    <cellStyle name="输入 16 2 3" xfId="6652"/>
    <cellStyle name="输入 16 3" xfId="6654"/>
    <cellStyle name="输入 16 4" xfId="6656"/>
    <cellStyle name="输入 17" xfId="6658"/>
    <cellStyle name="输入 17 2" xfId="6660"/>
    <cellStyle name="输入 17 2 2" xfId="5872"/>
    <cellStyle name="输入 17 2 3" xfId="5312"/>
    <cellStyle name="输入 17 3" xfId="6662"/>
    <cellStyle name="输入 17 4" xfId="6664"/>
    <cellStyle name="输入 18" xfId="6666"/>
    <cellStyle name="输入 18 2" xfId="6668"/>
    <cellStyle name="输入 18 2 2" xfId="5880"/>
    <cellStyle name="输入 18 2 3" xfId="6670"/>
    <cellStyle name="输入 18 3" xfId="6672"/>
    <cellStyle name="输入 18 4" xfId="6674"/>
    <cellStyle name="输入 19" xfId="6676"/>
    <cellStyle name="输入 19 2" xfId="6678"/>
    <cellStyle name="输入 19 2 2" xfId="5888"/>
    <cellStyle name="输入 19 2 3" xfId="6680"/>
    <cellStyle name="输入 19 3" xfId="6682"/>
    <cellStyle name="输入 19 4" xfId="3874"/>
    <cellStyle name="输入 2" xfId="4585"/>
    <cellStyle name="输入 2 2" xfId="4587"/>
    <cellStyle name="输入 2 3" xfId="4589"/>
    <cellStyle name="输入 2 4" xfId="6684"/>
    <cellStyle name="输入 20" xfId="6641"/>
    <cellStyle name="输入 20 2" xfId="6643"/>
    <cellStyle name="输入 20 2 2" xfId="5858"/>
    <cellStyle name="输入 20 2 3" xfId="6602"/>
    <cellStyle name="输入 20 3" xfId="6645"/>
    <cellStyle name="输入 20 4" xfId="6647"/>
    <cellStyle name="输入 21" xfId="6649"/>
    <cellStyle name="输入 21 2" xfId="6651"/>
    <cellStyle name="输入 21 2 2" xfId="5865"/>
    <cellStyle name="输入 21 2 3" xfId="6653"/>
    <cellStyle name="输入 21 3" xfId="6655"/>
    <cellStyle name="输入 21 4" xfId="6657"/>
    <cellStyle name="输入 22" xfId="6659"/>
    <cellStyle name="输入 22 2" xfId="6661"/>
    <cellStyle name="输入 22 2 2" xfId="5873"/>
    <cellStyle name="输入 22 2 3" xfId="5313"/>
    <cellStyle name="输入 22 3" xfId="6663"/>
    <cellStyle name="输入 22 4" xfId="6665"/>
    <cellStyle name="输入 23" xfId="6667"/>
    <cellStyle name="输入 23 2" xfId="6669"/>
    <cellStyle name="输入 23 2 2" xfId="5881"/>
    <cellStyle name="输入 23 2 3" xfId="6671"/>
    <cellStyle name="输入 23 3" xfId="6673"/>
    <cellStyle name="输入 23 4" xfId="6675"/>
    <cellStyle name="输入 24" xfId="6677"/>
    <cellStyle name="输入 24 2" xfId="6679"/>
    <cellStyle name="输入 24 2 2" xfId="5889"/>
    <cellStyle name="输入 24 2 3" xfId="6681"/>
    <cellStyle name="输入 24 3" xfId="6683"/>
    <cellStyle name="输入 24 4" xfId="3873"/>
    <cellStyle name="输入 25" xfId="3962"/>
    <cellStyle name="输入 25 2" xfId="6685"/>
    <cellStyle name="输入 25 2 2" xfId="5899"/>
    <cellStyle name="输入 25 2 3" xfId="6687"/>
    <cellStyle name="输入 25 3" xfId="6688"/>
    <cellStyle name="输入 25 4" xfId="6689"/>
    <cellStyle name="输入 26" xfId="6690"/>
    <cellStyle name="输入 26 2" xfId="6692"/>
    <cellStyle name="输入 26 2 2" xfId="3856"/>
    <cellStyle name="输入 26 2 3" xfId="3861"/>
    <cellStyle name="输入 26 3" xfId="6694"/>
    <cellStyle name="输入 26 4" xfId="6695"/>
    <cellStyle name="输入 27" xfId="6696"/>
    <cellStyle name="输入 27 2" xfId="6698"/>
    <cellStyle name="输入 27 2 2" xfId="5919"/>
    <cellStyle name="输入 27 2 3" xfId="6700"/>
    <cellStyle name="输入 27 3" xfId="2251"/>
    <cellStyle name="输入 27 4" xfId="2255"/>
    <cellStyle name="输入 28" xfId="6701"/>
    <cellStyle name="输入 28 2" xfId="1564"/>
    <cellStyle name="输入 28 2 2" xfId="5932"/>
    <cellStyle name="输入 28 2 3" xfId="6703"/>
    <cellStyle name="输入 28 3" xfId="6704"/>
    <cellStyle name="输入 28 4" xfId="5544"/>
    <cellStyle name="输入 29" xfId="6705"/>
    <cellStyle name="输入 29 2" xfId="6707"/>
    <cellStyle name="输入 29 3" xfId="6709"/>
    <cellStyle name="输入 3" xfId="4591"/>
    <cellStyle name="输入 3 2" xfId="4595"/>
    <cellStyle name="输入 3 3" xfId="4602"/>
    <cellStyle name="输入 30" xfId="3961"/>
    <cellStyle name="输入 30 2" xfId="6686"/>
    <cellStyle name="输入 30 2 2" xfId="5900"/>
    <cellStyle name="输入 31" xfId="6691"/>
    <cellStyle name="输入 31 2" xfId="6693"/>
    <cellStyle name="输入 31 2 2" xfId="3855"/>
    <cellStyle name="输入 32" xfId="6697"/>
    <cellStyle name="输入 32 2" xfId="6699"/>
    <cellStyle name="输入 32 2 2" xfId="5920"/>
    <cellStyle name="输入 33" xfId="6702"/>
    <cellStyle name="输入 33 2" xfId="1565"/>
    <cellStyle name="输入 33 2 2" xfId="5933"/>
    <cellStyle name="输入 34" xfId="6706"/>
    <cellStyle name="输入 34 2" xfId="6708"/>
    <cellStyle name="输入 34 2 2" xfId="5942"/>
    <cellStyle name="输入 35" xfId="6710"/>
    <cellStyle name="输入 35 2" xfId="6711"/>
    <cellStyle name="输入 36" xfId="6712"/>
    <cellStyle name="输入 36 2" xfId="6713"/>
    <cellStyle name="输入 37" xfId="6714"/>
    <cellStyle name="输入 37 2" xfId="6715"/>
    <cellStyle name="输入 4" xfId="6716"/>
    <cellStyle name="输入 4 2" xfId="6717"/>
    <cellStyle name="输入 4 3" xfId="6718"/>
    <cellStyle name="输入 5" xfId="6719"/>
    <cellStyle name="输入 5 2" xfId="6720"/>
    <cellStyle name="输入 5 3" xfId="6721"/>
    <cellStyle name="输入 6" xfId="6722"/>
    <cellStyle name="输入 6 2" xfId="6723"/>
    <cellStyle name="输入 6 3" xfId="6724"/>
    <cellStyle name="输入 7" xfId="6725"/>
    <cellStyle name="输入 7 2" xfId="6726"/>
    <cellStyle name="输入 7 3" xfId="6728"/>
    <cellStyle name="输入 8" xfId="6730"/>
    <cellStyle name="输入 8 2" xfId="6172"/>
    <cellStyle name="输入 8 3" xfId="6181"/>
    <cellStyle name="输入 9" xfId="2175"/>
    <cellStyle name="输入 9 2" xfId="6731"/>
    <cellStyle name="输入 9 2 2" xfId="6732"/>
    <cellStyle name="输入 9 2 3" xfId="6733"/>
    <cellStyle name="输入 9 3" xfId="6734"/>
    <cellStyle name="输入 9 4" xfId="4323"/>
    <cellStyle name="样式 1" xfId="1272"/>
    <cellStyle name="样式 1 2" xfId="6735"/>
    <cellStyle name="注释" xfId="63"/>
    <cellStyle name="注释 10" xfId="4603"/>
    <cellStyle name="注释 10 2" xfId="4611"/>
    <cellStyle name="注释 10 2 2" xfId="4614"/>
    <cellStyle name="注释 10 2 3" xfId="4618"/>
    <cellStyle name="注释 10 3" xfId="4622"/>
    <cellStyle name="注释 10 4" xfId="4625"/>
    <cellStyle name="注释 11" xfId="4646"/>
    <cellStyle name="注释 11 2" xfId="4650"/>
    <cellStyle name="注释 11 2 2" xfId="4658"/>
    <cellStyle name="注释 11 2 3" xfId="4750"/>
    <cellStyle name="注释 11 3" xfId="4659"/>
    <cellStyle name="注释 11 4" xfId="4655"/>
    <cellStyle name="注释 12" xfId="4662"/>
    <cellStyle name="注释 12 2" xfId="2510"/>
    <cellStyle name="注释 12 2 2" xfId="2514"/>
    <cellStyle name="注释 12 2 3" xfId="2520"/>
    <cellStyle name="注释 12 3" xfId="2526"/>
    <cellStyle name="注释 12 4" xfId="2540"/>
    <cellStyle name="注释 13" xfId="4672"/>
    <cellStyle name="注释 13 2" xfId="4675"/>
    <cellStyle name="注释 13 2 2" xfId="4678"/>
    <cellStyle name="注释 13 2 3" xfId="4681"/>
    <cellStyle name="注释 13 3" xfId="4684"/>
    <cellStyle name="注释 13 4" xfId="4688"/>
    <cellStyle name="注释 14" xfId="4691"/>
    <cellStyle name="注释 14 2" xfId="4695"/>
    <cellStyle name="注释 14 2 2" xfId="4699"/>
    <cellStyle name="注释 14 2 3" xfId="4752"/>
    <cellStyle name="注释 14 3" xfId="4703"/>
    <cellStyle name="注释 14 4" xfId="4707"/>
    <cellStyle name="注释 15" xfId="4711"/>
    <cellStyle name="注释 15 2" xfId="4716"/>
    <cellStyle name="注释 15 2 2" xfId="4722"/>
    <cellStyle name="注释 15 2 3" xfId="4755"/>
    <cellStyle name="注释 15 3" xfId="4728"/>
    <cellStyle name="注释 15 4" xfId="4736"/>
    <cellStyle name="注释 16" xfId="4742"/>
    <cellStyle name="注释 16 2" xfId="2880"/>
    <cellStyle name="注释 16 2 2" xfId="2886"/>
    <cellStyle name="注释 16 2 3" xfId="2893"/>
    <cellStyle name="注释 16 3" xfId="2904"/>
    <cellStyle name="注释 16 4" xfId="2915"/>
    <cellStyle name="注释 17" xfId="4759"/>
    <cellStyle name="注释 17 2" xfId="2971"/>
    <cellStyle name="注释 17 2 2" xfId="1618"/>
    <cellStyle name="注释 17 2 3" xfId="2976"/>
    <cellStyle name="注释 17 3" xfId="2981"/>
    <cellStyle name="注释 17 4" xfId="2988"/>
    <cellStyle name="注释 18" xfId="4763"/>
    <cellStyle name="注释 18 2" xfId="3047"/>
    <cellStyle name="注释 18 2 2" xfId="3052"/>
    <cellStyle name="注释 18 2 3" xfId="3057"/>
    <cellStyle name="注释 18 3" xfId="3062"/>
    <cellStyle name="注释 18 4" xfId="3069"/>
    <cellStyle name="注释 19" xfId="3306"/>
    <cellStyle name="注释 19 2" xfId="3118"/>
    <cellStyle name="注释 19 2 2" xfId="3126"/>
    <cellStyle name="注释 19 2 3" xfId="3130"/>
    <cellStyle name="注释 19 3" xfId="3134"/>
    <cellStyle name="注释 19 4" xfId="3142"/>
    <cellStyle name="注释 2" xfId="6736"/>
    <cellStyle name="注释 2 2" xfId="3201"/>
    <cellStyle name="注释 2 3" xfId="3204"/>
    <cellStyle name="注释 2 4" xfId="3210"/>
    <cellStyle name="注释 20" xfId="4712"/>
    <cellStyle name="注释 20 2" xfId="4717"/>
    <cellStyle name="注释 20 2 2" xfId="4723"/>
    <cellStyle name="注释 20 2 3" xfId="4756"/>
    <cellStyle name="注释 20 3" xfId="4729"/>
    <cellStyle name="注释 20 4" xfId="4737"/>
    <cellStyle name="注释 21" xfId="4743"/>
    <cellStyle name="注释 21 2" xfId="2879"/>
    <cellStyle name="注释 21 2 2" xfId="2885"/>
    <cellStyle name="注释 21 2 3" xfId="2892"/>
    <cellStyle name="注释 21 3" xfId="2903"/>
    <cellStyle name="注释 21 4" xfId="2914"/>
    <cellStyle name="注释 22" xfId="4760"/>
    <cellStyle name="注释 22 2" xfId="2970"/>
    <cellStyle name="注释 22 2 2" xfId="1617"/>
    <cellStyle name="注释 22 2 3" xfId="2975"/>
    <cellStyle name="注释 22 3" xfId="2980"/>
    <cellStyle name="注释 22 4" xfId="2987"/>
    <cellStyle name="注释 23" xfId="4764"/>
    <cellStyle name="注释 23 2" xfId="3046"/>
    <cellStyle name="注释 23 2 2" xfId="3051"/>
    <cellStyle name="注释 23 2 3" xfId="3056"/>
    <cellStyle name="注释 23 3" xfId="3061"/>
    <cellStyle name="注释 23 4" xfId="3068"/>
    <cellStyle name="注释 24" xfId="3305"/>
    <cellStyle name="注释 24 2" xfId="3117"/>
    <cellStyle name="注释 24 2 2" xfId="3125"/>
    <cellStyle name="注释 24 2 3" xfId="3129"/>
    <cellStyle name="注释 24 3" xfId="3133"/>
    <cellStyle name="注释 24 4" xfId="3141"/>
    <cellStyle name="注释 25" xfId="3312"/>
    <cellStyle name="注释 25 2" xfId="3183"/>
    <cellStyle name="注释 25 2 2" xfId="3187"/>
    <cellStyle name="注释 25 2 3" xfId="3190"/>
    <cellStyle name="注释 25 3" xfId="3193"/>
    <cellStyle name="注释 25 4" xfId="3198"/>
    <cellStyle name="注释 26" xfId="4544"/>
    <cellStyle name="注释 26 2" xfId="3240"/>
    <cellStyle name="注释 26 2 2" xfId="3246"/>
    <cellStyle name="注释 26 2 3" xfId="2666"/>
    <cellStyle name="注释 26 3" xfId="3251"/>
    <cellStyle name="注释 26 4" xfId="3260"/>
    <cellStyle name="注释 27" xfId="4769"/>
    <cellStyle name="注释 27 2" xfId="4434"/>
    <cellStyle name="注释 27 2 2" xfId="4774"/>
    <cellStyle name="注释 27 2 3" xfId="4778"/>
    <cellStyle name="注释 27 3" xfId="3531"/>
    <cellStyle name="注释 27 4" xfId="3535"/>
    <cellStyle name="注释 28" xfId="4780"/>
    <cellStyle name="注释 28 2" xfId="4784"/>
    <cellStyle name="注释 28 2 2" xfId="4792"/>
    <cellStyle name="注释 28 2 3" xfId="6737"/>
    <cellStyle name="注释 28 3" xfId="4788"/>
    <cellStyle name="注释 28 4" xfId="6738"/>
    <cellStyle name="注释 29" xfId="4794"/>
    <cellStyle name="注释 29 2" xfId="4797"/>
    <cellStyle name="注释 29 3" xfId="6739"/>
    <cellStyle name="注释 3" xfId="6727"/>
    <cellStyle name="注释 3 2" xfId="3268"/>
    <cellStyle name="注释 3 3" xfId="3273"/>
    <cellStyle name="注释 30" xfId="3311"/>
    <cellStyle name="注释 30 2" xfId="3182"/>
    <cellStyle name="注释 31" xfId="4545"/>
    <cellStyle name="注释 31 2" xfId="3239"/>
    <cellStyle name="注释 32" xfId="4770"/>
    <cellStyle name="注释 32 2" xfId="4435"/>
    <cellStyle name="注释 33" xfId="4781"/>
    <cellStyle name="注释 33 2" xfId="4785"/>
    <cellStyle name="注释 34" xfId="4795"/>
    <cellStyle name="注释 34 2" xfId="4798"/>
    <cellStyle name="注释 35" xfId="4800"/>
    <cellStyle name="注释 36" xfId="3843"/>
    <cellStyle name="注释 37" xfId="4804"/>
    <cellStyle name="注释 38" xfId="4806"/>
    <cellStyle name="注释 4" xfId="6729"/>
    <cellStyle name="注释 4 2" xfId="4439"/>
    <cellStyle name="注释 4 3" xfId="6740"/>
    <cellStyle name="注释 5" xfId="6741"/>
    <cellStyle name="注释 5 2" xfId="6742"/>
    <cellStyle name="注释 5 3" xfId="6743"/>
    <cellStyle name="注释 6" xfId="6744"/>
    <cellStyle name="注释 6 2" xfId="6745"/>
    <cellStyle name="注释 6 3" xfId="4350"/>
    <cellStyle name="注释 7" xfId="6746"/>
    <cellStyle name="注释 7 2" xfId="2392"/>
    <cellStyle name="注释 7 3" xfId="2394"/>
    <cellStyle name="注释 8" xfId="6747"/>
    <cellStyle name="注释 8 2" xfId="2400"/>
    <cellStyle name="注释 8 3" xfId="2404"/>
    <cellStyle name="注释 9" xfId="6748"/>
    <cellStyle name="注释 9 2" xfId="2413"/>
    <cellStyle name="注释 9 2 2" xfId="719"/>
    <cellStyle name="注释 9 2 3" xfId="6749"/>
    <cellStyle name="注释 9 3" xfId="2415"/>
    <cellStyle name="注释 9 4" xfId="67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selection activeCell="G18" sqref="G18"/>
    </sheetView>
  </sheetViews>
  <sheetFormatPr defaultColWidth="8.875" defaultRowHeight="13.5"/>
  <cols>
    <col min="1" max="1" width="4.75" style="121" customWidth="1"/>
    <col min="2" max="2" width="16.5" style="121" customWidth="1"/>
    <col min="3" max="16384" width="8.875" style="121"/>
  </cols>
  <sheetData>
    <row r="1" spans="1:1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5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1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</row>
    <row r="4" spans="1:1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</row>
    <row r="5" spans="1:15" ht="20.45" customHeight="1">
      <c r="B5" s="123" t="s">
        <v>0</v>
      </c>
      <c r="C5" s="124" t="s">
        <v>1</v>
      </c>
      <c r="D5" s="125"/>
      <c r="E5" s="123"/>
      <c r="F5" s="123" t="s">
        <v>2</v>
      </c>
      <c r="G5" s="126"/>
      <c r="H5" s="126"/>
      <c r="I5" s="126"/>
      <c r="J5" s="126"/>
      <c r="K5" s="126"/>
      <c r="L5" s="123" t="s">
        <v>3</v>
      </c>
      <c r="M5" s="148"/>
      <c r="N5" s="148"/>
    </row>
    <row r="6" spans="1:15">
      <c r="C6" s="127"/>
      <c r="D6" s="127"/>
    </row>
    <row r="7" spans="1:15">
      <c r="B7" s="123" t="s">
        <v>4</v>
      </c>
      <c r="C7" s="149" t="s">
        <v>5</v>
      </c>
      <c r="D7" s="150"/>
      <c r="E7" s="128" t="s">
        <v>6</v>
      </c>
      <c r="F7" s="151"/>
      <c r="G7" s="151"/>
      <c r="H7" s="128" t="s">
        <v>7</v>
      </c>
      <c r="I7" s="151"/>
      <c r="J7" s="151"/>
      <c r="K7" s="128" t="s">
        <v>8</v>
      </c>
      <c r="L7" s="152"/>
      <c r="M7" s="151"/>
      <c r="O7" s="123"/>
    </row>
    <row r="8" spans="1:15">
      <c r="B8" s="129" t="s">
        <v>9</v>
      </c>
      <c r="C8" s="153"/>
      <c r="D8" s="154"/>
      <c r="E8" s="128" t="s">
        <v>6</v>
      </c>
      <c r="F8" s="155"/>
      <c r="G8" s="155"/>
      <c r="H8" s="130" t="s">
        <v>10</v>
      </c>
      <c r="I8" s="153"/>
      <c r="J8" s="154"/>
      <c r="K8" s="128" t="s">
        <v>6</v>
      </c>
      <c r="L8" s="151"/>
      <c r="M8" s="151"/>
      <c r="O8" s="123"/>
    </row>
    <row r="9" spans="1:15">
      <c r="B9" s="123" t="s">
        <v>11</v>
      </c>
      <c r="C9" s="153"/>
      <c r="D9" s="154"/>
      <c r="E9" s="128" t="s">
        <v>6</v>
      </c>
      <c r="F9" s="155"/>
      <c r="G9" s="155"/>
      <c r="H9" s="128" t="s">
        <v>7</v>
      </c>
      <c r="I9" s="155"/>
      <c r="J9" s="155"/>
      <c r="K9" s="128" t="s">
        <v>8</v>
      </c>
      <c r="L9" s="151"/>
      <c r="M9" s="151"/>
      <c r="O9" s="123"/>
    </row>
    <row r="10" spans="1:15">
      <c r="B10" s="123" t="s">
        <v>12</v>
      </c>
      <c r="C10" s="154"/>
      <c r="D10" s="154"/>
      <c r="E10" s="128" t="s">
        <v>6</v>
      </c>
      <c r="F10" s="155"/>
      <c r="G10" s="155"/>
      <c r="H10" s="128" t="s">
        <v>7</v>
      </c>
      <c r="I10" s="155"/>
      <c r="J10" s="155"/>
      <c r="K10" s="128" t="s">
        <v>8</v>
      </c>
      <c r="L10" s="151"/>
      <c r="M10" s="151"/>
      <c r="O10" s="123"/>
    </row>
    <row r="11" spans="1:15">
      <c r="B11" s="123" t="s">
        <v>13</v>
      </c>
      <c r="C11" s="154"/>
      <c r="D11" s="154"/>
      <c r="E11" s="128" t="s">
        <v>6</v>
      </c>
      <c r="F11" s="155"/>
      <c r="G11" s="155"/>
      <c r="H11" s="128" t="s">
        <v>7</v>
      </c>
      <c r="I11" s="155"/>
      <c r="J11" s="155"/>
      <c r="K11" s="128" t="s">
        <v>8</v>
      </c>
      <c r="L11" s="151"/>
      <c r="M11" s="151"/>
      <c r="O11" s="123"/>
    </row>
    <row r="12" spans="1:15">
      <c r="B12" s="123"/>
      <c r="C12" s="131"/>
      <c r="D12" s="131"/>
      <c r="E12" s="132"/>
      <c r="F12" s="128"/>
      <c r="G12" s="131"/>
      <c r="H12" s="131"/>
      <c r="I12" s="145"/>
      <c r="J12" s="128"/>
      <c r="K12" s="131"/>
      <c r="L12" s="131"/>
      <c r="M12" s="131"/>
    </row>
    <row r="13" spans="1:1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1:15">
      <c r="B14" s="123" t="s">
        <v>14</v>
      </c>
    </row>
    <row r="15" spans="1:15">
      <c r="B15" s="129" t="s">
        <v>15</v>
      </c>
    </row>
    <row r="16" spans="1:15">
      <c r="B16" s="129" t="s">
        <v>16</v>
      </c>
    </row>
    <row r="17" spans="1:14">
      <c r="B17" s="129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</row>
    <row r="18" spans="1:14">
      <c r="B18" s="129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</row>
    <row r="19" spans="1:14">
      <c r="B19" s="129"/>
      <c r="C19" s="134"/>
      <c r="D19" s="134"/>
      <c r="E19" s="133"/>
      <c r="F19" s="133"/>
      <c r="G19" s="133"/>
      <c r="H19" s="133"/>
      <c r="I19" s="133"/>
      <c r="J19" s="133"/>
      <c r="K19" s="133"/>
      <c r="L19" s="133"/>
      <c r="M19" s="133"/>
    </row>
    <row r="20" spans="1:14" ht="14.25">
      <c r="B20" s="135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4" ht="14.25">
      <c r="B21" s="135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1:14"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1:14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1:14">
      <c r="B24" s="136"/>
      <c r="C24" s="137"/>
      <c r="D24" s="134"/>
      <c r="E24" s="136"/>
      <c r="F24" s="136"/>
    </row>
    <row r="25" spans="1:14">
      <c r="B25" s="136"/>
      <c r="C25" s="136"/>
    </row>
    <row r="26" spans="1:14">
      <c r="B26" s="129"/>
    </row>
    <row r="27" spans="1:14">
      <c r="B27" s="136"/>
    </row>
    <row r="30" spans="1:14" ht="18.75">
      <c r="A30" s="138"/>
      <c r="B30" s="139" t="s">
        <v>17</v>
      </c>
      <c r="C30" s="140"/>
      <c r="D30" s="140"/>
      <c r="E30" s="140"/>
      <c r="F30" s="140"/>
      <c r="G30" s="141"/>
      <c r="H30" s="138"/>
      <c r="I30" s="138"/>
      <c r="J30" s="138"/>
      <c r="K30" s="138"/>
      <c r="L30" s="138"/>
      <c r="M30" s="138"/>
      <c r="N30" s="138"/>
    </row>
    <row r="31" spans="1:14" ht="18.75">
      <c r="A31" s="142">
        <v>1</v>
      </c>
      <c r="B31" s="143"/>
      <c r="C31" s="156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6"/>
    </row>
    <row r="32" spans="1:14" ht="18">
      <c r="A32" s="142">
        <v>2</v>
      </c>
      <c r="B32" s="143"/>
      <c r="C32" s="159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7"/>
    </row>
    <row r="33" spans="1:14" ht="18">
      <c r="A33" s="142">
        <v>3</v>
      </c>
      <c r="B33" s="143"/>
      <c r="C33" s="159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</row>
    <row r="34" spans="1:14" ht="18">
      <c r="A34" s="142">
        <v>4</v>
      </c>
      <c r="B34" s="143"/>
      <c r="C34" s="159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7"/>
    </row>
    <row r="35" spans="1:14" ht="18">
      <c r="A35" s="142">
        <v>5</v>
      </c>
      <c r="B35" s="143"/>
      <c r="C35" s="159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7"/>
    </row>
    <row r="36" spans="1:14" ht="18">
      <c r="A36" s="142">
        <v>6</v>
      </c>
      <c r="B36" s="143"/>
      <c r="C36" s="159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7"/>
    </row>
    <row r="37" spans="1:14" ht="18">
      <c r="A37" s="142">
        <v>7</v>
      </c>
      <c r="B37" s="144"/>
      <c r="C37" s="159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</row>
    <row r="38" spans="1:14" ht="18">
      <c r="A38" s="142">
        <v>8</v>
      </c>
      <c r="B38" s="144"/>
      <c r="C38" s="159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7"/>
    </row>
    <row r="39" spans="1:14" ht="18">
      <c r="A39" s="142">
        <v>9</v>
      </c>
      <c r="B39" s="144"/>
      <c r="C39" s="159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7"/>
    </row>
    <row r="40" spans="1:14" ht="18">
      <c r="A40" s="142">
        <v>10</v>
      </c>
      <c r="B40" s="144"/>
      <c r="C40" s="159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7"/>
    </row>
    <row r="41" spans="1:14" ht="18">
      <c r="A41" s="142">
        <v>11</v>
      </c>
      <c r="B41" s="144"/>
      <c r="C41" s="159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7"/>
    </row>
    <row r="42" spans="1:14" ht="18">
      <c r="A42" s="142">
        <v>12</v>
      </c>
      <c r="B42" s="144"/>
      <c r="C42" s="159"/>
      <c r="D42" s="157"/>
      <c r="E42" s="157"/>
      <c r="F42" s="157"/>
      <c r="G42" s="157"/>
      <c r="H42" s="157"/>
      <c r="I42" s="157"/>
      <c r="J42" s="157"/>
      <c r="K42" s="157"/>
      <c r="L42" s="157"/>
      <c r="M42" s="158"/>
      <c r="N42" s="147"/>
    </row>
    <row r="43" spans="1:14" ht="18">
      <c r="A43" s="142">
        <v>13</v>
      </c>
      <c r="B43" s="144"/>
      <c r="C43" s="159"/>
      <c r="D43" s="157"/>
      <c r="E43" s="157"/>
      <c r="F43" s="157"/>
      <c r="G43" s="157"/>
      <c r="H43" s="157"/>
      <c r="I43" s="157"/>
      <c r="J43" s="157"/>
      <c r="K43" s="157"/>
      <c r="L43" s="157"/>
      <c r="M43" s="158"/>
      <c r="N43" s="147"/>
    </row>
  </sheetData>
  <protectedRanges>
    <protectedRange sqref="K9:L9 H10:M11 E2:M6 J12:M12 B2:D8 B12:H12 K7:L7 H9:I9 E7:I7 B9:G11 E8:M8 B22:B27 C13:M27 B13:B17" name="区域1" securityDescriptor=""/>
  </protectedRanges>
  <mergeCells count="34">
    <mergeCell ref="C41:M41"/>
    <mergeCell ref="C42:M42"/>
    <mergeCell ref="C43:M43"/>
    <mergeCell ref="C36:M36"/>
    <mergeCell ref="C37:M37"/>
    <mergeCell ref="C38:M38"/>
    <mergeCell ref="C39:M39"/>
    <mergeCell ref="C40:M40"/>
    <mergeCell ref="C31:M31"/>
    <mergeCell ref="C32:M32"/>
    <mergeCell ref="C33:M33"/>
    <mergeCell ref="C34:M34"/>
    <mergeCell ref="C35:M35"/>
    <mergeCell ref="C10:D10"/>
    <mergeCell ref="F10:G10"/>
    <mergeCell ref="I10:J10"/>
    <mergeCell ref="L10:M10"/>
    <mergeCell ref="C11:D11"/>
    <mergeCell ref="F11:G11"/>
    <mergeCell ref="I11:J11"/>
    <mergeCell ref="L11:M11"/>
    <mergeCell ref="C8:D8"/>
    <mergeCell ref="F8:G8"/>
    <mergeCell ref="I8:J8"/>
    <mergeCell ref="L8:M8"/>
    <mergeCell ref="C9:D9"/>
    <mergeCell ref="F9:G9"/>
    <mergeCell ref="I9:J9"/>
    <mergeCell ref="L9:M9"/>
    <mergeCell ref="M5:N5"/>
    <mergeCell ref="C7:D7"/>
    <mergeCell ref="F7:G7"/>
    <mergeCell ref="I7:J7"/>
    <mergeCell ref="L7:M7"/>
  </mergeCells>
  <phoneticPr fontId="68" type="noConversion"/>
  <pageMargins left="0.69930555555555596" right="0.69930555555555596" top="0.75" bottom="0.75" header="0.3" footer="0.3"/>
  <pageSetup paperSize="9" orientation="portrait"/>
  <headerFooter alignWithMargins="0"/>
  <legacyDrawing r:id="rId1"/>
  <oleObjects>
    <oleObject progId="Visio.Drawing.11" shapeId="1026" r:id="rId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1:R220"/>
  <sheetViews>
    <sheetView topLeftCell="A181" zoomScale="96" zoomScaleNormal="96" workbookViewId="0">
      <selection activeCell="C205" sqref="C205:C206"/>
    </sheetView>
  </sheetViews>
  <sheetFormatPr defaultColWidth="9" defaultRowHeight="12"/>
  <cols>
    <col min="1" max="1" width="3.375" style="1" customWidth="1"/>
    <col min="2" max="2" width="5" style="1" customWidth="1"/>
    <col min="3" max="3" width="8.75" style="105" customWidth="1"/>
    <col min="4" max="4" width="8.5" style="1" customWidth="1"/>
    <col min="5" max="5" width="15.875" style="106" customWidth="1"/>
    <col min="6" max="7" width="19.625" style="106" customWidth="1"/>
    <col min="8" max="8" width="12.25" style="1" customWidth="1"/>
    <col min="9" max="9" width="19.625" style="106" customWidth="1"/>
    <col min="10" max="10" width="19.625" style="1" customWidth="1"/>
    <col min="11" max="11" width="9.375" style="1" customWidth="1"/>
    <col min="12" max="13" width="2.625" style="1" customWidth="1"/>
    <col min="14" max="14" width="7.5" style="1" customWidth="1"/>
    <col min="15" max="15" width="6.625" style="1" customWidth="1"/>
    <col min="16" max="16" width="5.25" style="1" customWidth="1"/>
    <col min="17" max="17" width="8.75" style="1" customWidth="1"/>
    <col min="18" max="18" width="28.625" style="1" customWidth="1"/>
    <col min="19" max="16384" width="9" style="1"/>
  </cols>
  <sheetData>
    <row r="1" spans="2:18">
      <c r="B1" s="107" t="s">
        <v>18</v>
      </c>
    </row>
    <row r="2" spans="2:18">
      <c r="B2" s="107" t="s">
        <v>19</v>
      </c>
      <c r="C2" s="108" t="s">
        <v>20</v>
      </c>
      <c r="D2" s="107" t="s">
        <v>21</v>
      </c>
      <c r="E2" s="107" t="s">
        <v>22</v>
      </c>
      <c r="F2" s="107" t="s">
        <v>23</v>
      </c>
      <c r="G2" s="107" t="s">
        <v>23</v>
      </c>
      <c r="H2" s="107" t="s">
        <v>24</v>
      </c>
      <c r="I2" s="107" t="s">
        <v>23</v>
      </c>
      <c r="J2" s="107" t="s">
        <v>24</v>
      </c>
      <c r="K2" s="107" t="s">
        <v>25</v>
      </c>
    </row>
    <row r="3" spans="2:18" ht="16.5" customHeight="1">
      <c r="B3" s="109">
        <v>1</v>
      </c>
      <c r="C3" s="110" t="s">
        <v>26</v>
      </c>
      <c r="D3" s="109"/>
      <c r="E3" s="78">
        <v>1005</v>
      </c>
      <c r="F3" s="78" t="s">
        <v>27</v>
      </c>
      <c r="G3" s="78" t="s">
        <v>27</v>
      </c>
      <c r="H3" s="109" t="s">
        <v>28</v>
      </c>
      <c r="I3" s="67" t="s">
        <v>29</v>
      </c>
      <c r="J3" s="109" t="s">
        <v>30</v>
      </c>
      <c r="K3" s="109" t="s">
        <v>31</v>
      </c>
      <c r="L3" s="111" t="s">
        <v>32</v>
      </c>
      <c r="M3" s="111" t="s">
        <v>33</v>
      </c>
      <c r="N3" s="111" t="s">
        <v>34</v>
      </c>
      <c r="O3" s="111" t="str">
        <f t="shared" ref="O3" si="0">M3&amp;N3</f>
        <v>-2A2</v>
      </c>
      <c r="P3" s="111">
        <v>1</v>
      </c>
      <c r="Q3" s="112" t="str">
        <f t="shared" ref="Q3" si="1">C3</f>
        <v>I0.0</v>
      </c>
      <c r="R3" s="111" t="str">
        <f>E3&amp;L3&amp;I3&amp;L3&amp;J3</f>
        <v>1005¶Fan¶Running</v>
      </c>
    </row>
    <row r="4" spans="2:18" ht="14.25">
      <c r="B4" s="109">
        <v>2</v>
      </c>
      <c r="C4" s="110" t="s">
        <v>35</v>
      </c>
      <c r="D4" s="109"/>
      <c r="E4" s="78">
        <v>1006</v>
      </c>
      <c r="F4" s="78" t="s">
        <v>36</v>
      </c>
      <c r="G4" s="78" t="s">
        <v>36</v>
      </c>
      <c r="H4" s="109" t="s">
        <v>28</v>
      </c>
      <c r="I4" s="67" t="s">
        <v>37</v>
      </c>
      <c r="J4" s="109" t="s">
        <v>30</v>
      </c>
      <c r="K4" s="109" t="s">
        <v>31</v>
      </c>
      <c r="L4" s="111" t="s">
        <v>32</v>
      </c>
      <c r="M4" s="111" t="s">
        <v>33</v>
      </c>
      <c r="N4" s="111" t="s">
        <v>34</v>
      </c>
      <c r="O4" s="111" t="str">
        <f t="shared" ref="O4:O35" si="2">M4&amp;N4</f>
        <v>-2A2</v>
      </c>
      <c r="P4" s="111">
        <v>2</v>
      </c>
      <c r="Q4" s="112" t="str">
        <f t="shared" ref="Q4:Q35" si="3">C4</f>
        <v>I0.1</v>
      </c>
      <c r="R4" s="111" t="str">
        <f>E4&amp;L4&amp;I4&amp;L4&amp;J4</f>
        <v>1006¶chain conveyor¶Running</v>
      </c>
    </row>
    <row r="5" spans="2:18" ht="14.25">
      <c r="B5" s="109">
        <v>3</v>
      </c>
      <c r="C5" s="110" t="s">
        <v>38</v>
      </c>
      <c r="D5" s="109"/>
      <c r="E5" s="78">
        <v>1006</v>
      </c>
      <c r="F5" s="78" t="s">
        <v>36</v>
      </c>
      <c r="G5" s="78" t="s">
        <v>36</v>
      </c>
      <c r="H5" s="109" t="s">
        <v>39</v>
      </c>
      <c r="I5" s="67" t="s">
        <v>37</v>
      </c>
      <c r="J5" s="109" t="s">
        <v>40</v>
      </c>
      <c r="K5" s="109" t="s">
        <v>31</v>
      </c>
      <c r="L5" s="111" t="s">
        <v>32</v>
      </c>
      <c r="M5" s="111" t="s">
        <v>33</v>
      </c>
      <c r="N5" s="111" t="s">
        <v>34</v>
      </c>
      <c r="O5" s="111" t="str">
        <f t="shared" si="2"/>
        <v>-2A2</v>
      </c>
      <c r="P5" s="111">
        <v>3</v>
      </c>
      <c r="Q5" s="112" t="str">
        <f t="shared" si="3"/>
        <v>I0.2</v>
      </c>
      <c r="R5" s="111" t="str">
        <f t="shared" ref="R5" si="4">E5&amp;L5&amp;I5&amp;L5&amp;J5</f>
        <v>1006¶chain conveyor¶E-STOP</v>
      </c>
    </row>
    <row r="6" spans="2:18" ht="14.25">
      <c r="B6" s="109">
        <v>4</v>
      </c>
      <c r="C6" s="110" t="s">
        <v>41</v>
      </c>
      <c r="D6" s="109"/>
      <c r="E6" s="78">
        <v>1008</v>
      </c>
      <c r="F6" s="78" t="s">
        <v>27</v>
      </c>
      <c r="G6" s="78" t="s">
        <v>27</v>
      </c>
      <c r="H6" s="109" t="s">
        <v>28</v>
      </c>
      <c r="I6" s="67" t="s">
        <v>29</v>
      </c>
      <c r="J6" s="109" t="s">
        <v>30</v>
      </c>
      <c r="K6" s="109" t="s">
        <v>31</v>
      </c>
      <c r="L6" s="111" t="s">
        <v>32</v>
      </c>
      <c r="M6" s="111" t="s">
        <v>33</v>
      </c>
      <c r="N6" s="111" t="s">
        <v>34</v>
      </c>
      <c r="O6" s="111" t="str">
        <f t="shared" si="2"/>
        <v>-2A2</v>
      </c>
      <c r="P6" s="111">
        <v>4</v>
      </c>
      <c r="Q6" s="112" t="str">
        <f t="shared" si="3"/>
        <v>I0.3</v>
      </c>
      <c r="R6" s="111" t="str">
        <f>E6&amp;L6&amp;I6&amp;L6&amp;J6</f>
        <v>1008¶Fan¶Running</v>
      </c>
    </row>
    <row r="7" spans="2:18" ht="14.25">
      <c r="B7" s="109">
        <v>5</v>
      </c>
      <c r="C7" s="110" t="s">
        <v>42</v>
      </c>
      <c r="D7" s="109"/>
      <c r="E7" s="78">
        <v>1007</v>
      </c>
      <c r="F7" s="78" t="s">
        <v>43</v>
      </c>
      <c r="G7" s="78" t="s">
        <v>43</v>
      </c>
      <c r="H7" s="109" t="s">
        <v>28</v>
      </c>
      <c r="I7" s="67" t="s">
        <v>44</v>
      </c>
      <c r="J7" s="109" t="s">
        <v>30</v>
      </c>
      <c r="K7" s="109" t="s">
        <v>31</v>
      </c>
      <c r="L7" s="111" t="s">
        <v>32</v>
      </c>
      <c r="M7" s="111" t="s">
        <v>33</v>
      </c>
      <c r="N7" s="111" t="s">
        <v>34</v>
      </c>
      <c r="O7" s="111" t="str">
        <f t="shared" si="2"/>
        <v>-2A2</v>
      </c>
      <c r="P7" s="111">
        <v>5</v>
      </c>
      <c r="Q7" s="112" t="str">
        <f t="shared" si="3"/>
        <v>I0.4</v>
      </c>
      <c r="R7" s="111" t="str">
        <f>E7&amp;L7&amp;I7&amp;L7&amp;J7</f>
        <v>1007¶Elevator¶Running</v>
      </c>
    </row>
    <row r="8" spans="2:18" ht="14.25">
      <c r="B8" s="109">
        <v>6</v>
      </c>
      <c r="C8" s="110" t="s">
        <v>45</v>
      </c>
      <c r="D8" s="109"/>
      <c r="E8" s="78">
        <v>1007</v>
      </c>
      <c r="F8" s="78" t="s">
        <v>43</v>
      </c>
      <c r="G8" s="78" t="s">
        <v>43</v>
      </c>
      <c r="H8" s="109" t="s">
        <v>39</v>
      </c>
      <c r="I8" s="67" t="s">
        <v>44</v>
      </c>
      <c r="J8" s="109" t="s">
        <v>40</v>
      </c>
      <c r="K8" s="109" t="s">
        <v>31</v>
      </c>
      <c r="L8" s="111" t="s">
        <v>32</v>
      </c>
      <c r="M8" s="111" t="s">
        <v>33</v>
      </c>
      <c r="N8" s="111" t="s">
        <v>34</v>
      </c>
      <c r="O8" s="111" t="str">
        <f t="shared" si="2"/>
        <v>-2A2</v>
      </c>
      <c r="P8" s="111">
        <v>6</v>
      </c>
      <c r="Q8" s="112" t="str">
        <f t="shared" si="3"/>
        <v>I0.5</v>
      </c>
      <c r="R8" s="111" t="str">
        <f>E8&amp;L8&amp;I8&amp;L8&amp;J8</f>
        <v>1007¶Elevator¶E-STOP</v>
      </c>
    </row>
    <row r="9" spans="2:18" ht="14.25">
      <c r="B9" s="109">
        <v>7</v>
      </c>
      <c r="C9" s="110" t="s">
        <v>46</v>
      </c>
      <c r="D9" s="109"/>
      <c r="E9" s="78">
        <v>1011</v>
      </c>
      <c r="F9" s="78" t="s">
        <v>27</v>
      </c>
      <c r="G9" s="78" t="s">
        <v>27</v>
      </c>
      <c r="H9" s="109" t="s">
        <v>28</v>
      </c>
      <c r="I9" s="67" t="s">
        <v>29</v>
      </c>
      <c r="J9" s="109" t="s">
        <v>30</v>
      </c>
      <c r="K9" s="109" t="s">
        <v>31</v>
      </c>
      <c r="L9" s="111" t="s">
        <v>32</v>
      </c>
      <c r="M9" s="111" t="s">
        <v>33</v>
      </c>
      <c r="N9" s="111" t="s">
        <v>34</v>
      </c>
      <c r="O9" s="111" t="str">
        <f t="shared" si="2"/>
        <v>-2A2</v>
      </c>
      <c r="P9" s="111">
        <v>7</v>
      </c>
      <c r="Q9" s="112" t="str">
        <f t="shared" si="3"/>
        <v>I0.6</v>
      </c>
      <c r="R9" s="111" t="str">
        <f>E9&amp;L9&amp;I9&amp;L9&amp;J11</f>
        <v>1011¶Fan¶E-STOP</v>
      </c>
    </row>
    <row r="10" spans="2:18" ht="14.25">
      <c r="B10" s="109">
        <v>8</v>
      </c>
      <c r="C10" s="110" t="s">
        <v>47</v>
      </c>
      <c r="D10" s="109"/>
      <c r="E10" s="78">
        <v>1010</v>
      </c>
      <c r="F10" s="78" t="s">
        <v>48</v>
      </c>
      <c r="G10" s="78" t="s">
        <v>48</v>
      </c>
      <c r="H10" s="109" t="s">
        <v>28</v>
      </c>
      <c r="I10" s="67" t="s">
        <v>49</v>
      </c>
      <c r="J10" s="109" t="s">
        <v>30</v>
      </c>
      <c r="K10" s="109" t="s">
        <v>31</v>
      </c>
      <c r="L10" s="111" t="s">
        <v>32</v>
      </c>
      <c r="M10" s="111" t="s">
        <v>33</v>
      </c>
      <c r="N10" s="111" t="s">
        <v>34</v>
      </c>
      <c r="O10" s="111" t="str">
        <f t="shared" si="2"/>
        <v>-2A2</v>
      </c>
      <c r="P10" s="111">
        <v>8</v>
      </c>
      <c r="Q10" s="112" t="str">
        <f t="shared" si="3"/>
        <v>I0.7</v>
      </c>
      <c r="R10" s="111" t="str">
        <f>E10&amp;L10&amp;I10&amp;L10&amp;J11</f>
        <v>1010¶precleaner¶E-STOP</v>
      </c>
    </row>
    <row r="11" spans="2:18" ht="14.25">
      <c r="B11" s="109">
        <v>9</v>
      </c>
      <c r="C11" s="110" t="s">
        <v>50</v>
      </c>
      <c r="D11" s="109"/>
      <c r="E11" s="78">
        <v>1010</v>
      </c>
      <c r="F11" s="78" t="s">
        <v>48</v>
      </c>
      <c r="G11" s="78" t="s">
        <v>48</v>
      </c>
      <c r="H11" s="109" t="s">
        <v>39</v>
      </c>
      <c r="I11" s="67" t="s">
        <v>49</v>
      </c>
      <c r="J11" s="109" t="s">
        <v>40</v>
      </c>
      <c r="K11" s="109" t="s">
        <v>31</v>
      </c>
      <c r="L11" s="111" t="s">
        <v>32</v>
      </c>
      <c r="M11" s="111" t="s">
        <v>33</v>
      </c>
      <c r="N11" s="111" t="s">
        <v>34</v>
      </c>
      <c r="O11" s="111" t="str">
        <f t="shared" si="2"/>
        <v>-2A2</v>
      </c>
      <c r="P11" s="111">
        <v>9</v>
      </c>
      <c r="Q11" s="112" t="str">
        <f t="shared" si="3"/>
        <v>I1.0</v>
      </c>
      <c r="R11" s="111" t="str">
        <f t="shared" ref="R11" si="5">E11&amp;L11&amp;I11&amp;L11&amp;J11</f>
        <v>1010¶precleaner¶E-STOP</v>
      </c>
    </row>
    <row r="12" spans="2:18" ht="14.25">
      <c r="B12" s="109">
        <v>10</v>
      </c>
      <c r="C12" s="110" t="s">
        <v>51</v>
      </c>
      <c r="D12" s="109"/>
      <c r="E12" s="78">
        <v>1013</v>
      </c>
      <c r="F12" s="78" t="s">
        <v>52</v>
      </c>
      <c r="G12" s="78" t="s">
        <v>52</v>
      </c>
      <c r="H12" s="109" t="s">
        <v>28</v>
      </c>
      <c r="I12" s="67" t="s">
        <v>53</v>
      </c>
      <c r="J12" s="109" t="s">
        <v>30</v>
      </c>
      <c r="K12" s="109" t="s">
        <v>31</v>
      </c>
      <c r="L12" s="111" t="s">
        <v>32</v>
      </c>
      <c r="M12" s="111" t="s">
        <v>33</v>
      </c>
      <c r="N12" s="111" t="s">
        <v>34</v>
      </c>
      <c r="O12" s="111" t="str">
        <f t="shared" si="2"/>
        <v>-2A2</v>
      </c>
      <c r="P12" s="111">
        <v>10</v>
      </c>
      <c r="Q12" s="112" t="str">
        <f t="shared" si="3"/>
        <v>I1.1</v>
      </c>
      <c r="R12" s="111" t="str">
        <f>E12&amp;L12&amp;I12&amp;L12&amp;J14</f>
        <v>1013¶distributor¶Running</v>
      </c>
    </row>
    <row r="13" spans="2:18" ht="14.25">
      <c r="B13" s="109">
        <v>11</v>
      </c>
      <c r="C13" s="110" t="s">
        <v>54</v>
      </c>
      <c r="D13" s="109"/>
      <c r="E13" s="78" t="s">
        <v>55</v>
      </c>
      <c r="F13" s="78" t="s">
        <v>27</v>
      </c>
      <c r="G13" s="78" t="s">
        <v>27</v>
      </c>
      <c r="H13" s="109" t="s">
        <v>28</v>
      </c>
      <c r="I13" s="67" t="s">
        <v>29</v>
      </c>
      <c r="J13" s="109" t="s">
        <v>30</v>
      </c>
      <c r="K13" s="109" t="s">
        <v>31</v>
      </c>
      <c r="L13" s="111" t="s">
        <v>32</v>
      </c>
      <c r="M13" s="111" t="s">
        <v>33</v>
      </c>
      <c r="N13" s="111" t="s">
        <v>34</v>
      </c>
      <c r="O13" s="111" t="str">
        <f t="shared" si="2"/>
        <v>-2A2</v>
      </c>
      <c r="P13" s="111">
        <v>11</v>
      </c>
      <c r="Q13" s="112" t="str">
        <f t="shared" si="3"/>
        <v>I1.2</v>
      </c>
      <c r="R13" s="111" t="str">
        <f>E13&amp;L13&amp;I13&amp;L13&amp;J14</f>
        <v>2001_1¶Fan¶Running</v>
      </c>
    </row>
    <row r="14" spans="2:18" ht="14.25">
      <c r="B14" s="109">
        <v>12</v>
      </c>
      <c r="C14" s="110" t="s">
        <v>56</v>
      </c>
      <c r="D14" s="109"/>
      <c r="E14" s="78" t="s">
        <v>57</v>
      </c>
      <c r="F14" s="78" t="s">
        <v>27</v>
      </c>
      <c r="G14" s="78" t="s">
        <v>27</v>
      </c>
      <c r="H14" s="109" t="s">
        <v>28</v>
      </c>
      <c r="I14" s="67" t="s">
        <v>29</v>
      </c>
      <c r="J14" s="109" t="s">
        <v>30</v>
      </c>
      <c r="K14" s="109" t="s">
        <v>31</v>
      </c>
      <c r="L14" s="111" t="s">
        <v>32</v>
      </c>
      <c r="M14" s="111" t="s">
        <v>33</v>
      </c>
      <c r="N14" s="111" t="s">
        <v>34</v>
      </c>
      <c r="O14" s="111" t="str">
        <f t="shared" si="2"/>
        <v>-2A2</v>
      </c>
      <c r="P14" s="111">
        <v>12</v>
      </c>
      <c r="Q14" s="112" t="str">
        <f t="shared" si="3"/>
        <v>I1.3</v>
      </c>
      <c r="R14" s="111" t="str">
        <f t="shared" ref="R14" si="6">E14&amp;L14&amp;I14&amp;L14&amp;J14</f>
        <v>2001_2¶Fan¶Running</v>
      </c>
    </row>
    <row r="15" spans="2:18" ht="14.25">
      <c r="B15" s="109">
        <v>13</v>
      </c>
      <c r="C15" s="110" t="s">
        <v>58</v>
      </c>
      <c r="D15" s="109"/>
      <c r="E15" s="78" t="s">
        <v>59</v>
      </c>
      <c r="F15" s="78" t="s">
        <v>27</v>
      </c>
      <c r="G15" s="78" t="s">
        <v>27</v>
      </c>
      <c r="H15" s="109" t="s">
        <v>28</v>
      </c>
      <c r="I15" s="67" t="s">
        <v>29</v>
      </c>
      <c r="J15" s="109" t="s">
        <v>30</v>
      </c>
      <c r="K15" s="109" t="s">
        <v>31</v>
      </c>
      <c r="L15" s="111" t="s">
        <v>32</v>
      </c>
      <c r="M15" s="111" t="s">
        <v>33</v>
      </c>
      <c r="N15" s="111" t="s">
        <v>34</v>
      </c>
      <c r="O15" s="111" t="str">
        <f t="shared" si="2"/>
        <v>-2A2</v>
      </c>
      <c r="P15" s="111">
        <v>13</v>
      </c>
      <c r="Q15" s="112" t="str">
        <f t="shared" si="3"/>
        <v>I1.4</v>
      </c>
      <c r="R15" s="111" t="str">
        <f>E15&amp;L15&amp;I15&amp;L15&amp;J15</f>
        <v>2001_3¶Fan¶Running</v>
      </c>
    </row>
    <row r="16" spans="2:18" ht="14.25">
      <c r="B16" s="109">
        <v>14</v>
      </c>
      <c r="C16" s="110" t="s">
        <v>60</v>
      </c>
      <c r="D16" s="109"/>
      <c r="E16" s="78" t="s">
        <v>61</v>
      </c>
      <c r="F16" s="78" t="s">
        <v>27</v>
      </c>
      <c r="G16" s="78" t="s">
        <v>27</v>
      </c>
      <c r="H16" s="109" t="s">
        <v>28</v>
      </c>
      <c r="I16" s="67" t="s">
        <v>29</v>
      </c>
      <c r="J16" s="109" t="s">
        <v>30</v>
      </c>
      <c r="K16" s="109" t="s">
        <v>31</v>
      </c>
      <c r="L16" s="111" t="s">
        <v>32</v>
      </c>
      <c r="M16" s="111" t="s">
        <v>33</v>
      </c>
      <c r="N16" s="111" t="s">
        <v>34</v>
      </c>
      <c r="O16" s="111" t="str">
        <f t="shared" si="2"/>
        <v>-2A2</v>
      </c>
      <c r="P16" s="111">
        <v>14</v>
      </c>
      <c r="Q16" s="112" t="str">
        <f t="shared" si="3"/>
        <v>I1.5</v>
      </c>
      <c r="R16" s="111" t="str">
        <f>E16&amp;L16&amp;I16&amp;L16&amp;J16</f>
        <v>2001_4¶Fan¶Running</v>
      </c>
    </row>
    <row r="17" spans="2:18" ht="14.25">
      <c r="B17" s="109">
        <v>15</v>
      </c>
      <c r="C17" s="110" t="s">
        <v>62</v>
      </c>
      <c r="D17" s="109"/>
      <c r="E17" s="78">
        <v>2017</v>
      </c>
      <c r="F17" s="78" t="s">
        <v>27</v>
      </c>
      <c r="G17" s="78" t="s">
        <v>27</v>
      </c>
      <c r="H17" s="109" t="s">
        <v>28</v>
      </c>
      <c r="I17" s="67" t="s">
        <v>29</v>
      </c>
      <c r="J17" s="109" t="s">
        <v>30</v>
      </c>
      <c r="K17" s="109" t="s">
        <v>31</v>
      </c>
      <c r="L17" s="111" t="s">
        <v>32</v>
      </c>
      <c r="M17" s="111" t="s">
        <v>33</v>
      </c>
      <c r="N17" s="111" t="s">
        <v>34</v>
      </c>
      <c r="O17" s="111" t="str">
        <f t="shared" si="2"/>
        <v>-2A2</v>
      </c>
      <c r="P17" s="111">
        <v>15</v>
      </c>
      <c r="Q17" s="112" t="str">
        <f t="shared" si="3"/>
        <v>I1.6</v>
      </c>
      <c r="R17" s="111" t="str">
        <f>E17&amp;L17&amp;I17&amp;L17&amp;J17</f>
        <v>2017¶Fan¶Running</v>
      </c>
    </row>
    <row r="18" spans="2:18" ht="14.25">
      <c r="B18" s="109">
        <v>16</v>
      </c>
      <c r="C18" s="110" t="s">
        <v>63</v>
      </c>
      <c r="D18" s="109"/>
      <c r="E18" s="78">
        <v>2019</v>
      </c>
      <c r="F18" s="78" t="s">
        <v>64</v>
      </c>
      <c r="G18" s="78" t="s">
        <v>64</v>
      </c>
      <c r="H18" s="109" t="s">
        <v>28</v>
      </c>
      <c r="I18" s="67" t="s">
        <v>65</v>
      </c>
      <c r="J18" s="109" t="s">
        <v>30</v>
      </c>
      <c r="K18" s="109" t="s">
        <v>31</v>
      </c>
      <c r="L18" s="111" t="s">
        <v>32</v>
      </c>
      <c r="M18" s="111" t="s">
        <v>33</v>
      </c>
      <c r="N18" s="111" t="s">
        <v>34</v>
      </c>
      <c r="O18" s="111" t="str">
        <f t="shared" si="2"/>
        <v>-2A2</v>
      </c>
      <c r="P18" s="111">
        <v>16</v>
      </c>
      <c r="Q18" s="112" t="str">
        <f t="shared" si="3"/>
        <v>I1.7</v>
      </c>
      <c r="R18" s="111" t="str">
        <f>E18&amp;L18&amp;I18&amp;L18&amp;J18</f>
        <v>2019¶conveyor¶Running</v>
      </c>
    </row>
    <row r="19" spans="2:18" ht="14.25">
      <c r="B19" s="109">
        <v>17</v>
      </c>
      <c r="C19" s="110" t="s">
        <v>66</v>
      </c>
      <c r="D19" s="109"/>
      <c r="E19" s="78">
        <v>2020</v>
      </c>
      <c r="F19" s="78" t="s">
        <v>43</v>
      </c>
      <c r="G19" s="78" t="s">
        <v>43</v>
      </c>
      <c r="H19" s="109" t="s">
        <v>28</v>
      </c>
      <c r="I19" s="67" t="s">
        <v>44</v>
      </c>
      <c r="J19" s="109" t="s">
        <v>30</v>
      </c>
      <c r="K19" s="109" t="s">
        <v>31</v>
      </c>
      <c r="L19" s="111" t="s">
        <v>32</v>
      </c>
      <c r="M19" s="111" t="s">
        <v>33</v>
      </c>
      <c r="N19" s="111" t="s">
        <v>67</v>
      </c>
      <c r="O19" s="111" t="str">
        <f t="shared" si="2"/>
        <v>-2A3</v>
      </c>
      <c r="P19" s="111">
        <v>1</v>
      </c>
      <c r="Q19" s="112" t="str">
        <f t="shared" si="3"/>
        <v>I3.0</v>
      </c>
      <c r="R19" s="111" t="str">
        <f>E19&amp;L19&amp;I19&amp;L19&amp;J19</f>
        <v>2020¶Elevator¶Running</v>
      </c>
    </row>
    <row r="20" spans="2:18" ht="14.25">
      <c r="B20" s="109">
        <v>18</v>
      </c>
      <c r="C20" s="110" t="s">
        <v>68</v>
      </c>
      <c r="D20" s="109"/>
      <c r="E20" s="78">
        <v>2020</v>
      </c>
      <c r="F20" s="78" t="s">
        <v>43</v>
      </c>
      <c r="G20" s="78" t="s">
        <v>43</v>
      </c>
      <c r="H20" s="109" t="s">
        <v>39</v>
      </c>
      <c r="I20" s="67" t="s">
        <v>44</v>
      </c>
      <c r="J20" s="109" t="s">
        <v>40</v>
      </c>
      <c r="K20" s="109" t="s">
        <v>31</v>
      </c>
      <c r="L20" s="111" t="s">
        <v>32</v>
      </c>
      <c r="M20" s="111" t="s">
        <v>33</v>
      </c>
      <c r="N20" s="111" t="s">
        <v>67</v>
      </c>
      <c r="O20" s="111" t="str">
        <f t="shared" si="2"/>
        <v>-2A3</v>
      </c>
      <c r="P20" s="111">
        <v>2</v>
      </c>
      <c r="Q20" s="112" t="str">
        <f t="shared" si="3"/>
        <v>I3.1</v>
      </c>
      <c r="R20" s="111" t="str">
        <f t="shared" ref="R20" si="7">E20&amp;L20&amp;I20&amp;L20&amp;J30</f>
        <v>2020¶Elevator¶Running</v>
      </c>
    </row>
    <row r="21" spans="2:18" ht="14.25">
      <c r="B21" s="109">
        <v>19</v>
      </c>
      <c r="C21" s="110" t="s">
        <v>69</v>
      </c>
      <c r="D21" s="109"/>
      <c r="E21" s="78">
        <v>2021</v>
      </c>
      <c r="F21" s="78" t="s">
        <v>27</v>
      </c>
      <c r="G21" s="78" t="s">
        <v>27</v>
      </c>
      <c r="H21" s="109" t="s">
        <v>28</v>
      </c>
      <c r="I21" s="67" t="s">
        <v>29</v>
      </c>
      <c r="J21" s="109" t="s">
        <v>30</v>
      </c>
      <c r="K21" s="109" t="s">
        <v>31</v>
      </c>
      <c r="L21" s="111" t="s">
        <v>32</v>
      </c>
      <c r="M21" s="111" t="s">
        <v>33</v>
      </c>
      <c r="N21" s="111" t="s">
        <v>67</v>
      </c>
      <c r="O21" s="111" t="str">
        <f t="shared" si="2"/>
        <v>-2A3</v>
      </c>
      <c r="P21" s="111">
        <v>3</v>
      </c>
      <c r="Q21" s="112" t="str">
        <f t="shared" si="3"/>
        <v>I3.2</v>
      </c>
      <c r="R21" s="111" t="str">
        <f t="shared" ref="R21:R29" si="8">E21&amp;L21&amp;I21&amp;L21&amp;J31</f>
        <v>2021¶Fan¶Running</v>
      </c>
    </row>
    <row r="22" spans="2:18" ht="14.25">
      <c r="B22" s="109">
        <v>20</v>
      </c>
      <c r="C22" s="110" t="s">
        <v>70</v>
      </c>
      <c r="D22" s="109"/>
      <c r="E22" s="78">
        <v>3105</v>
      </c>
      <c r="F22" s="78" t="s">
        <v>71</v>
      </c>
      <c r="G22" s="78" t="s">
        <v>71</v>
      </c>
      <c r="H22" s="109" t="s">
        <v>28</v>
      </c>
      <c r="I22" s="67" t="s">
        <v>29</v>
      </c>
      <c r="J22" s="109" t="s">
        <v>30</v>
      </c>
      <c r="K22" s="109" t="s">
        <v>31</v>
      </c>
      <c r="L22" s="111" t="s">
        <v>32</v>
      </c>
      <c r="M22" s="111" t="s">
        <v>33</v>
      </c>
      <c r="N22" s="111" t="s">
        <v>67</v>
      </c>
      <c r="O22" s="111" t="str">
        <f t="shared" si="2"/>
        <v>-2A3</v>
      </c>
      <c r="P22" s="111">
        <v>4</v>
      </c>
      <c r="Q22" s="112" t="str">
        <f t="shared" si="3"/>
        <v>I3.3</v>
      </c>
      <c r="R22" s="111" t="str">
        <f t="shared" si="8"/>
        <v>3105¶Fan¶E-STOP</v>
      </c>
    </row>
    <row r="23" spans="2:18" ht="14.25">
      <c r="B23" s="109">
        <v>21</v>
      </c>
      <c r="C23" s="110" t="s">
        <v>72</v>
      </c>
      <c r="D23" s="109"/>
      <c r="E23" s="78">
        <v>2028</v>
      </c>
      <c r="F23" s="78" t="s">
        <v>73</v>
      </c>
      <c r="G23" s="78" t="s">
        <v>73</v>
      </c>
      <c r="H23" s="109" t="s">
        <v>74</v>
      </c>
      <c r="I23" s="67" t="s">
        <v>75</v>
      </c>
      <c r="J23" s="109" t="s">
        <v>30</v>
      </c>
      <c r="K23" s="109" t="s">
        <v>31</v>
      </c>
      <c r="L23" s="111" t="s">
        <v>32</v>
      </c>
      <c r="M23" s="111" t="s">
        <v>33</v>
      </c>
      <c r="N23" s="111" t="s">
        <v>67</v>
      </c>
      <c r="O23" s="111" t="str">
        <f t="shared" si="2"/>
        <v>-2A3</v>
      </c>
      <c r="P23" s="111">
        <v>5</v>
      </c>
      <c r="Q23" s="112" t="str">
        <f t="shared" si="3"/>
        <v>I3.4</v>
      </c>
      <c r="R23" s="111" t="str">
        <f t="shared" si="8"/>
        <v>2028¶Mixer¶Running</v>
      </c>
    </row>
    <row r="24" spans="2:18" ht="14.25">
      <c r="B24" s="109">
        <v>22</v>
      </c>
      <c r="C24" s="110" t="s">
        <v>76</v>
      </c>
      <c r="D24" s="109"/>
      <c r="E24" s="78">
        <v>2028</v>
      </c>
      <c r="F24" s="78" t="s">
        <v>73</v>
      </c>
      <c r="G24" s="78" t="s">
        <v>73</v>
      </c>
      <c r="H24" s="109" t="s">
        <v>39</v>
      </c>
      <c r="I24" s="67" t="s">
        <v>75</v>
      </c>
      <c r="J24" s="109" t="s">
        <v>40</v>
      </c>
      <c r="K24" s="109" t="s">
        <v>31</v>
      </c>
      <c r="L24" s="111" t="s">
        <v>32</v>
      </c>
      <c r="M24" s="111" t="s">
        <v>33</v>
      </c>
      <c r="N24" s="111" t="s">
        <v>67</v>
      </c>
      <c r="O24" s="111" t="str">
        <f t="shared" si="2"/>
        <v>-2A3</v>
      </c>
      <c r="P24" s="111">
        <v>6</v>
      </c>
      <c r="Q24" s="112" t="str">
        <f t="shared" si="3"/>
        <v>I3.5</v>
      </c>
      <c r="R24" s="111" t="str">
        <f t="shared" si="8"/>
        <v>2028¶Mixer¶Running</v>
      </c>
    </row>
    <row r="25" spans="2:18" ht="14.25">
      <c r="B25" s="109">
        <v>23</v>
      </c>
      <c r="C25" s="110" t="s">
        <v>77</v>
      </c>
      <c r="D25" s="109"/>
      <c r="E25" s="78">
        <v>2028</v>
      </c>
      <c r="F25" s="78" t="s">
        <v>73</v>
      </c>
      <c r="G25" s="78" t="s">
        <v>73</v>
      </c>
      <c r="H25" s="109" t="s">
        <v>78</v>
      </c>
      <c r="I25" s="67" t="s">
        <v>75</v>
      </c>
      <c r="J25" s="109" t="s">
        <v>30</v>
      </c>
      <c r="K25" s="109" t="s">
        <v>31</v>
      </c>
      <c r="L25" s="111" t="s">
        <v>32</v>
      </c>
      <c r="M25" s="111" t="s">
        <v>33</v>
      </c>
      <c r="N25" s="111" t="s">
        <v>67</v>
      </c>
      <c r="O25" s="111" t="str">
        <f t="shared" si="2"/>
        <v>-2A3</v>
      </c>
      <c r="P25" s="111">
        <v>7</v>
      </c>
      <c r="Q25" s="112" t="str">
        <f t="shared" si="3"/>
        <v>I3.6</v>
      </c>
      <c r="R25" s="111" t="str">
        <f t="shared" si="8"/>
        <v>2028¶Mixer¶Running</v>
      </c>
    </row>
    <row r="26" spans="2:18" ht="14.25">
      <c r="B26" s="109">
        <v>24</v>
      </c>
      <c r="C26" s="110" t="s">
        <v>79</v>
      </c>
      <c r="D26" s="109"/>
      <c r="E26" s="78">
        <v>2028</v>
      </c>
      <c r="F26" s="78" t="s">
        <v>73</v>
      </c>
      <c r="G26" s="78" t="s">
        <v>73</v>
      </c>
      <c r="H26" s="109" t="s">
        <v>28</v>
      </c>
      <c r="I26" s="67" t="s">
        <v>75</v>
      </c>
      <c r="J26" s="109" t="s">
        <v>30</v>
      </c>
      <c r="K26" s="109" t="s">
        <v>31</v>
      </c>
      <c r="L26" s="111" t="s">
        <v>32</v>
      </c>
      <c r="M26" s="111" t="s">
        <v>33</v>
      </c>
      <c r="N26" s="111" t="s">
        <v>67</v>
      </c>
      <c r="O26" s="111" t="str">
        <f t="shared" si="2"/>
        <v>-2A3</v>
      </c>
      <c r="P26" s="111">
        <v>8</v>
      </c>
      <c r="Q26" s="112" t="str">
        <f t="shared" si="3"/>
        <v>I3.7</v>
      </c>
      <c r="R26" s="111" t="str">
        <f t="shared" si="8"/>
        <v>2028¶Mixer¶Running</v>
      </c>
    </row>
    <row r="27" spans="2:18" ht="14.25">
      <c r="B27" s="109">
        <v>25</v>
      </c>
      <c r="C27" s="110" t="s">
        <v>66</v>
      </c>
      <c r="D27" s="109"/>
      <c r="E27" s="78">
        <v>2028</v>
      </c>
      <c r="F27" s="78" t="s">
        <v>80</v>
      </c>
      <c r="G27" s="78" t="s">
        <v>80</v>
      </c>
      <c r="H27" s="109" t="s">
        <v>81</v>
      </c>
      <c r="I27" s="67" t="s">
        <v>82</v>
      </c>
      <c r="J27" s="109" t="s">
        <v>83</v>
      </c>
      <c r="K27" s="109" t="s">
        <v>31</v>
      </c>
      <c r="L27" s="111" t="s">
        <v>32</v>
      </c>
      <c r="M27" s="111" t="s">
        <v>33</v>
      </c>
      <c r="N27" s="111" t="s">
        <v>67</v>
      </c>
      <c r="O27" s="111" t="str">
        <f t="shared" si="2"/>
        <v>-2A3</v>
      </c>
      <c r="P27" s="111">
        <v>9</v>
      </c>
      <c r="Q27" s="112" t="str">
        <f t="shared" si="3"/>
        <v>I3.0</v>
      </c>
      <c r="R27" s="111" t="str">
        <f t="shared" si="8"/>
        <v>2028¶Mixer Door¶Running</v>
      </c>
    </row>
    <row r="28" spans="2:18" ht="14.25">
      <c r="B28" s="109">
        <v>26</v>
      </c>
      <c r="C28" s="110" t="s">
        <v>68</v>
      </c>
      <c r="D28" s="109"/>
      <c r="E28" s="78">
        <v>2028</v>
      </c>
      <c r="F28" s="78" t="s">
        <v>80</v>
      </c>
      <c r="G28" s="78" t="s">
        <v>80</v>
      </c>
      <c r="H28" s="109" t="s">
        <v>84</v>
      </c>
      <c r="I28" s="67" t="s">
        <v>82</v>
      </c>
      <c r="J28" s="109" t="s">
        <v>85</v>
      </c>
      <c r="K28" s="109" t="s">
        <v>31</v>
      </c>
      <c r="L28" s="111" t="s">
        <v>32</v>
      </c>
      <c r="M28" s="111" t="s">
        <v>33</v>
      </c>
      <c r="N28" s="111" t="s">
        <v>67</v>
      </c>
      <c r="O28" s="111" t="str">
        <f t="shared" si="2"/>
        <v>-2A3</v>
      </c>
      <c r="P28" s="111">
        <v>10</v>
      </c>
      <c r="Q28" s="112" t="str">
        <f t="shared" si="3"/>
        <v>I3.1</v>
      </c>
      <c r="R28" s="111" t="str">
        <f t="shared" si="8"/>
        <v>2028¶Mixer Door¶Running</v>
      </c>
    </row>
    <row r="29" spans="2:18" ht="14.25">
      <c r="B29" s="109">
        <v>27</v>
      </c>
      <c r="C29" s="110" t="s">
        <v>69</v>
      </c>
      <c r="D29" s="109"/>
      <c r="E29" s="78">
        <v>2032</v>
      </c>
      <c r="F29" s="78" t="s">
        <v>86</v>
      </c>
      <c r="G29" s="78" t="s">
        <v>86</v>
      </c>
      <c r="H29" s="109" t="s">
        <v>28</v>
      </c>
      <c r="I29" s="67" t="s">
        <v>87</v>
      </c>
      <c r="J29" s="109" t="s">
        <v>30</v>
      </c>
      <c r="K29" s="109" t="s">
        <v>31</v>
      </c>
      <c r="L29" s="111" t="s">
        <v>32</v>
      </c>
      <c r="M29" s="111" t="s">
        <v>33</v>
      </c>
      <c r="N29" s="111" t="s">
        <v>67</v>
      </c>
      <c r="O29" s="111" t="str">
        <f t="shared" si="2"/>
        <v>-2A3</v>
      </c>
      <c r="P29" s="111">
        <v>11</v>
      </c>
      <c r="Q29" s="112" t="str">
        <f t="shared" si="3"/>
        <v>I3.2</v>
      </c>
      <c r="R29" s="111" t="str">
        <f t="shared" si="8"/>
        <v>2032¶Airlock¶Running</v>
      </c>
    </row>
    <row r="30" spans="2:18" ht="14.25">
      <c r="B30" s="109">
        <v>28</v>
      </c>
      <c r="C30" s="110" t="s">
        <v>70</v>
      </c>
      <c r="D30" s="109"/>
      <c r="E30" s="78">
        <v>2033</v>
      </c>
      <c r="F30" s="78" t="s">
        <v>52</v>
      </c>
      <c r="G30" s="78" t="s">
        <v>52</v>
      </c>
      <c r="H30" s="109" t="s">
        <v>28</v>
      </c>
      <c r="I30" s="67" t="s">
        <v>53</v>
      </c>
      <c r="J30" s="109" t="s">
        <v>30</v>
      </c>
      <c r="K30" s="109" t="s">
        <v>31</v>
      </c>
      <c r="L30" s="111" t="s">
        <v>32</v>
      </c>
      <c r="M30" s="111" t="s">
        <v>33</v>
      </c>
      <c r="N30" s="111" t="s">
        <v>67</v>
      </c>
      <c r="O30" s="111" t="str">
        <f t="shared" si="2"/>
        <v>-2A3</v>
      </c>
      <c r="P30" s="111">
        <v>12</v>
      </c>
      <c r="Q30" s="112" t="str">
        <f t="shared" si="3"/>
        <v>I3.3</v>
      </c>
      <c r="R30" s="111" t="str">
        <f t="shared" ref="R30" si="9">E30&amp;L30&amp;I30&amp;L30&amp;J30</f>
        <v>2033¶distributor¶Running</v>
      </c>
    </row>
    <row r="31" spans="2:18" ht="14.25">
      <c r="B31" s="109">
        <v>29</v>
      </c>
      <c r="C31" s="110" t="s">
        <v>72</v>
      </c>
      <c r="D31" s="109"/>
      <c r="E31" s="78">
        <v>2036</v>
      </c>
      <c r="F31" s="78" t="s">
        <v>88</v>
      </c>
      <c r="G31" s="78" t="s">
        <v>88</v>
      </c>
      <c r="H31" s="109" t="s">
        <v>28</v>
      </c>
      <c r="I31" s="67" t="s">
        <v>29</v>
      </c>
      <c r="J31" s="109" t="s">
        <v>30</v>
      </c>
      <c r="K31" s="109" t="s">
        <v>31</v>
      </c>
      <c r="L31" s="111" t="s">
        <v>32</v>
      </c>
      <c r="M31" s="111" t="s">
        <v>33</v>
      </c>
      <c r="N31" s="111" t="s">
        <v>67</v>
      </c>
      <c r="O31" s="111" t="str">
        <f t="shared" si="2"/>
        <v>-2A3</v>
      </c>
      <c r="P31" s="111">
        <v>13</v>
      </c>
      <c r="Q31" s="112" t="str">
        <f t="shared" si="3"/>
        <v>I3.4</v>
      </c>
      <c r="R31" s="111" t="str">
        <f t="shared" ref="R31:R36" si="10">E31&amp;L31&amp;I31&amp;L31&amp;J31</f>
        <v>2036¶Fan¶Running</v>
      </c>
    </row>
    <row r="32" spans="2:18" ht="14.25">
      <c r="B32" s="109">
        <v>30</v>
      </c>
      <c r="C32" s="110" t="s">
        <v>76</v>
      </c>
      <c r="D32" s="109"/>
      <c r="E32" s="78">
        <v>2007</v>
      </c>
      <c r="F32" s="78" t="s">
        <v>89</v>
      </c>
      <c r="G32" s="78" t="s">
        <v>89</v>
      </c>
      <c r="H32" s="109" t="s">
        <v>39</v>
      </c>
      <c r="I32" s="67" t="s">
        <v>90</v>
      </c>
      <c r="J32" s="109" t="s">
        <v>40</v>
      </c>
      <c r="K32" s="109" t="s">
        <v>31</v>
      </c>
      <c r="L32" s="111" t="s">
        <v>32</v>
      </c>
      <c r="M32" s="111" t="s">
        <v>33</v>
      </c>
      <c r="N32" s="111" t="s">
        <v>67</v>
      </c>
      <c r="O32" s="111" t="str">
        <f t="shared" si="2"/>
        <v>-2A3</v>
      </c>
      <c r="P32" s="111">
        <v>14</v>
      </c>
      <c r="Q32" s="112" t="str">
        <f t="shared" si="3"/>
        <v>I3.5</v>
      </c>
      <c r="R32" s="111" t="str">
        <f t="shared" si="10"/>
        <v>2007¶Screw feeder¶E-STOP</v>
      </c>
    </row>
    <row r="33" spans="2:18" ht="14.25">
      <c r="B33" s="109">
        <v>31</v>
      </c>
      <c r="C33" s="110" t="s">
        <v>77</v>
      </c>
      <c r="D33" s="109"/>
      <c r="E33" s="78" t="s">
        <v>91</v>
      </c>
      <c r="F33" s="78" t="s">
        <v>92</v>
      </c>
      <c r="G33" s="78" t="s">
        <v>92</v>
      </c>
      <c r="H33" s="109" t="s">
        <v>28</v>
      </c>
      <c r="I33" s="67" t="s">
        <v>90</v>
      </c>
      <c r="J33" s="109" t="s">
        <v>30</v>
      </c>
      <c r="K33" s="109" t="s">
        <v>31</v>
      </c>
      <c r="L33" s="111" t="s">
        <v>32</v>
      </c>
      <c r="M33" s="111" t="s">
        <v>33</v>
      </c>
      <c r="N33" s="111" t="s">
        <v>67</v>
      </c>
      <c r="O33" s="111" t="str">
        <f t="shared" si="2"/>
        <v>-2A3</v>
      </c>
      <c r="P33" s="111">
        <v>15</v>
      </c>
      <c r="Q33" s="112" t="str">
        <f t="shared" si="3"/>
        <v>I3.6</v>
      </c>
      <c r="R33" s="111" t="str">
        <f t="shared" si="10"/>
        <v>P01¶Screw feeder¶Running</v>
      </c>
    </row>
    <row r="34" spans="2:18" ht="14.25">
      <c r="B34" s="109">
        <v>32</v>
      </c>
      <c r="C34" s="110" t="s">
        <v>79</v>
      </c>
      <c r="D34" s="109"/>
      <c r="E34" s="78" t="s">
        <v>93</v>
      </c>
      <c r="F34" s="78" t="s">
        <v>92</v>
      </c>
      <c r="G34" s="78" t="s">
        <v>92</v>
      </c>
      <c r="H34" s="109" t="s">
        <v>28</v>
      </c>
      <c r="I34" s="67" t="s">
        <v>90</v>
      </c>
      <c r="J34" s="109" t="s">
        <v>30</v>
      </c>
      <c r="K34" s="109" t="s">
        <v>31</v>
      </c>
      <c r="L34" s="111" t="s">
        <v>32</v>
      </c>
      <c r="M34" s="111" t="s">
        <v>33</v>
      </c>
      <c r="N34" s="111" t="s">
        <v>67</v>
      </c>
      <c r="O34" s="111" t="str">
        <f t="shared" si="2"/>
        <v>-2A3</v>
      </c>
      <c r="P34" s="111">
        <v>16</v>
      </c>
      <c r="Q34" s="112" t="str">
        <f t="shared" si="3"/>
        <v>I3.7</v>
      </c>
      <c r="R34" s="111" t="str">
        <f t="shared" si="10"/>
        <v>P02¶Screw feeder¶Running</v>
      </c>
    </row>
    <row r="35" spans="2:18" ht="14.25">
      <c r="B35" s="109">
        <v>33</v>
      </c>
      <c r="C35" s="110" t="s">
        <v>94</v>
      </c>
      <c r="D35" s="109"/>
      <c r="E35" s="78" t="s">
        <v>95</v>
      </c>
      <c r="F35" s="78" t="s">
        <v>92</v>
      </c>
      <c r="G35" s="78" t="s">
        <v>92</v>
      </c>
      <c r="H35" s="109" t="s">
        <v>28</v>
      </c>
      <c r="I35" s="67" t="s">
        <v>90</v>
      </c>
      <c r="J35" s="109" t="s">
        <v>30</v>
      </c>
      <c r="K35" s="109" t="s">
        <v>31</v>
      </c>
      <c r="L35" s="111" t="s">
        <v>32</v>
      </c>
      <c r="M35" s="111" t="s">
        <v>33</v>
      </c>
      <c r="N35" s="111" t="s">
        <v>96</v>
      </c>
      <c r="O35" s="111" t="str">
        <f t="shared" si="2"/>
        <v>-2A4</v>
      </c>
      <c r="P35" s="111">
        <v>1</v>
      </c>
      <c r="Q35" s="112" t="str">
        <f t="shared" si="3"/>
        <v>I4.0</v>
      </c>
      <c r="R35" s="111" t="str">
        <f t="shared" si="10"/>
        <v>P03¶Screw feeder¶Running</v>
      </c>
    </row>
    <row r="36" spans="2:18" ht="14.25">
      <c r="B36" s="109">
        <v>34</v>
      </c>
      <c r="C36" s="110" t="s">
        <v>97</v>
      </c>
      <c r="D36" s="109"/>
      <c r="E36" s="78" t="s">
        <v>98</v>
      </c>
      <c r="F36" s="78" t="s">
        <v>92</v>
      </c>
      <c r="G36" s="78" t="s">
        <v>92</v>
      </c>
      <c r="H36" s="109" t="s">
        <v>28</v>
      </c>
      <c r="I36" s="67" t="s">
        <v>90</v>
      </c>
      <c r="J36" s="109" t="s">
        <v>30</v>
      </c>
      <c r="K36" s="109" t="s">
        <v>31</v>
      </c>
      <c r="L36" s="111" t="s">
        <v>32</v>
      </c>
      <c r="M36" s="111" t="s">
        <v>33</v>
      </c>
      <c r="N36" s="111" t="s">
        <v>96</v>
      </c>
      <c r="O36" s="111" t="str">
        <f t="shared" ref="O36:O67" si="11">M36&amp;N36</f>
        <v>-2A4</v>
      </c>
      <c r="P36" s="111">
        <v>2</v>
      </c>
      <c r="Q36" s="112" t="str">
        <f t="shared" ref="Q36:Q66" si="12">C36</f>
        <v>I4.1</v>
      </c>
      <c r="R36" s="111" t="str">
        <f t="shared" si="10"/>
        <v>P04¶Screw feeder¶Running</v>
      </c>
    </row>
    <row r="37" spans="2:18" ht="14.25">
      <c r="B37" s="109">
        <v>35</v>
      </c>
      <c r="C37" s="110" t="s">
        <v>99</v>
      </c>
      <c r="D37" s="109"/>
      <c r="E37" s="78">
        <v>2701</v>
      </c>
      <c r="F37" s="78" t="s">
        <v>86</v>
      </c>
      <c r="G37" s="78" t="s">
        <v>86</v>
      </c>
      <c r="H37" s="109" t="s">
        <v>28</v>
      </c>
      <c r="I37" s="67" t="s">
        <v>87</v>
      </c>
      <c r="J37" s="109" t="s">
        <v>30</v>
      </c>
      <c r="K37" s="109" t="s">
        <v>31</v>
      </c>
      <c r="L37" s="111" t="s">
        <v>32</v>
      </c>
      <c r="M37" s="111" t="s">
        <v>33</v>
      </c>
      <c r="N37" s="111" t="s">
        <v>96</v>
      </c>
      <c r="O37" s="111" t="str">
        <f t="shared" si="11"/>
        <v>-2A4</v>
      </c>
      <c r="P37" s="111">
        <v>3</v>
      </c>
      <c r="Q37" s="112" t="str">
        <f t="shared" si="12"/>
        <v>I4.2</v>
      </c>
      <c r="R37" s="111" t="str">
        <f t="shared" ref="R37" si="13">E37&amp;L37&amp;I37&amp;L37&amp;J37</f>
        <v>2701¶Airlock¶Running</v>
      </c>
    </row>
    <row r="38" spans="2:18" ht="14.25">
      <c r="B38" s="109">
        <v>36</v>
      </c>
      <c r="C38" s="110" t="s">
        <v>100</v>
      </c>
      <c r="D38" s="109"/>
      <c r="E38" s="78">
        <v>2702</v>
      </c>
      <c r="F38" s="78" t="s">
        <v>27</v>
      </c>
      <c r="G38" s="78" t="s">
        <v>27</v>
      </c>
      <c r="H38" s="109" t="s">
        <v>28</v>
      </c>
      <c r="I38" s="67" t="s">
        <v>29</v>
      </c>
      <c r="J38" s="109" t="s">
        <v>30</v>
      </c>
      <c r="K38" s="109" t="s">
        <v>31</v>
      </c>
      <c r="L38" s="111" t="s">
        <v>32</v>
      </c>
      <c r="M38" s="111" t="s">
        <v>33</v>
      </c>
      <c r="N38" s="111" t="s">
        <v>96</v>
      </c>
      <c r="O38" s="111" t="str">
        <f t="shared" si="11"/>
        <v>-2A4</v>
      </c>
      <c r="P38" s="111">
        <v>4</v>
      </c>
      <c r="Q38" s="112" t="str">
        <f t="shared" si="12"/>
        <v>I4.3</v>
      </c>
      <c r="R38" s="111" t="str">
        <f t="shared" ref="R38:R56" si="14">E38&amp;L38&amp;I38&amp;L38&amp;J38</f>
        <v>2702¶Fan¶Running</v>
      </c>
    </row>
    <row r="39" spans="2:18" ht="14.25">
      <c r="B39" s="109">
        <v>37</v>
      </c>
      <c r="C39" s="110" t="s">
        <v>101</v>
      </c>
      <c r="D39" s="109"/>
      <c r="E39" s="78">
        <v>3005</v>
      </c>
      <c r="F39" s="78" t="s">
        <v>27</v>
      </c>
      <c r="G39" s="78" t="s">
        <v>27</v>
      </c>
      <c r="H39" s="109" t="s">
        <v>28</v>
      </c>
      <c r="I39" s="67" t="s">
        <v>29</v>
      </c>
      <c r="J39" s="109" t="s">
        <v>30</v>
      </c>
      <c r="K39" s="109" t="s">
        <v>31</v>
      </c>
      <c r="L39" s="111" t="s">
        <v>32</v>
      </c>
      <c r="M39" s="111" t="s">
        <v>33</v>
      </c>
      <c r="N39" s="111" t="s">
        <v>96</v>
      </c>
      <c r="O39" s="111" t="str">
        <f t="shared" si="11"/>
        <v>-2A4</v>
      </c>
      <c r="P39" s="111">
        <v>5</v>
      </c>
      <c r="Q39" s="112" t="str">
        <f t="shared" si="12"/>
        <v>I4.4</v>
      </c>
      <c r="R39" s="111" t="str">
        <f t="shared" si="14"/>
        <v>3005¶Fan¶Running</v>
      </c>
    </row>
    <row r="40" spans="2:18" ht="14.25">
      <c r="B40" s="109">
        <v>38</v>
      </c>
      <c r="C40" s="110" t="s">
        <v>102</v>
      </c>
      <c r="D40" s="109"/>
      <c r="E40" s="78">
        <v>3008</v>
      </c>
      <c r="F40" s="78" t="s">
        <v>73</v>
      </c>
      <c r="G40" s="78" t="s">
        <v>73</v>
      </c>
      <c r="H40" s="109" t="s">
        <v>74</v>
      </c>
      <c r="I40" s="67" t="s">
        <v>75</v>
      </c>
      <c r="J40" s="109" t="s">
        <v>30</v>
      </c>
      <c r="K40" s="109" t="s">
        <v>31</v>
      </c>
      <c r="L40" s="111" t="s">
        <v>32</v>
      </c>
      <c r="M40" s="111" t="s">
        <v>33</v>
      </c>
      <c r="N40" s="111" t="s">
        <v>96</v>
      </c>
      <c r="O40" s="111" t="str">
        <f t="shared" si="11"/>
        <v>-2A4</v>
      </c>
      <c r="P40" s="111">
        <v>6</v>
      </c>
      <c r="Q40" s="112" t="str">
        <f t="shared" si="12"/>
        <v>I4.5</v>
      </c>
      <c r="R40" s="111" t="str">
        <f t="shared" si="14"/>
        <v>3008¶Mixer¶Running</v>
      </c>
    </row>
    <row r="41" spans="2:18" ht="14.25">
      <c r="B41" s="109">
        <v>39</v>
      </c>
      <c r="C41" s="110" t="s">
        <v>103</v>
      </c>
      <c r="D41" s="109"/>
      <c r="E41" s="78">
        <v>3008</v>
      </c>
      <c r="F41" s="78" t="s">
        <v>73</v>
      </c>
      <c r="G41" s="78" t="s">
        <v>73</v>
      </c>
      <c r="H41" s="109" t="s">
        <v>39</v>
      </c>
      <c r="I41" s="67" t="s">
        <v>75</v>
      </c>
      <c r="J41" s="109" t="s">
        <v>40</v>
      </c>
      <c r="K41" s="109" t="s">
        <v>31</v>
      </c>
      <c r="L41" s="111" t="s">
        <v>32</v>
      </c>
      <c r="M41" s="111" t="s">
        <v>33</v>
      </c>
      <c r="N41" s="111" t="s">
        <v>96</v>
      </c>
      <c r="O41" s="111" t="str">
        <f t="shared" si="11"/>
        <v>-2A4</v>
      </c>
      <c r="P41" s="111">
        <v>7</v>
      </c>
      <c r="Q41" s="112" t="str">
        <f t="shared" si="12"/>
        <v>I4.6</v>
      </c>
      <c r="R41" s="111" t="str">
        <f t="shared" si="14"/>
        <v>3008¶Mixer¶E-STOP</v>
      </c>
    </row>
    <row r="42" spans="2:18" ht="14.25">
      <c r="B42" s="109">
        <v>40</v>
      </c>
      <c r="C42" s="110" t="s">
        <v>104</v>
      </c>
      <c r="D42" s="109"/>
      <c r="E42" s="78">
        <v>3008</v>
      </c>
      <c r="F42" s="78" t="s">
        <v>73</v>
      </c>
      <c r="G42" s="78" t="s">
        <v>73</v>
      </c>
      <c r="H42" s="109" t="s">
        <v>78</v>
      </c>
      <c r="I42" s="67" t="s">
        <v>75</v>
      </c>
      <c r="J42" s="109" t="s">
        <v>30</v>
      </c>
      <c r="K42" s="109" t="s">
        <v>31</v>
      </c>
      <c r="L42" s="111" t="s">
        <v>32</v>
      </c>
      <c r="M42" s="111" t="s">
        <v>33</v>
      </c>
      <c r="N42" s="111" t="s">
        <v>96</v>
      </c>
      <c r="O42" s="111" t="str">
        <f t="shared" si="11"/>
        <v>-2A4</v>
      </c>
      <c r="P42" s="111">
        <v>8</v>
      </c>
      <c r="Q42" s="112" t="str">
        <f t="shared" si="12"/>
        <v>I4.7</v>
      </c>
      <c r="R42" s="111" t="str">
        <f t="shared" si="14"/>
        <v>3008¶Mixer¶Running</v>
      </c>
    </row>
    <row r="43" spans="2:18" ht="14.25">
      <c r="B43" s="109">
        <v>41</v>
      </c>
      <c r="C43" s="110" t="s">
        <v>105</v>
      </c>
      <c r="D43" s="109"/>
      <c r="E43" s="78">
        <v>3008</v>
      </c>
      <c r="F43" s="78" t="s">
        <v>73</v>
      </c>
      <c r="G43" s="78" t="s">
        <v>73</v>
      </c>
      <c r="H43" s="109" t="s">
        <v>28</v>
      </c>
      <c r="I43" s="67" t="s">
        <v>75</v>
      </c>
      <c r="J43" s="109" t="s">
        <v>30</v>
      </c>
      <c r="K43" s="109" t="s">
        <v>31</v>
      </c>
      <c r="L43" s="111" t="s">
        <v>32</v>
      </c>
      <c r="M43" s="111" t="s">
        <v>33</v>
      </c>
      <c r="N43" s="111" t="s">
        <v>96</v>
      </c>
      <c r="O43" s="111" t="str">
        <f t="shared" si="11"/>
        <v>-2A4</v>
      </c>
      <c r="P43" s="111">
        <v>9</v>
      </c>
      <c r="Q43" s="112" t="str">
        <f t="shared" si="12"/>
        <v>I5.0</v>
      </c>
      <c r="R43" s="111" t="str">
        <f t="shared" si="14"/>
        <v>3008¶Mixer¶Running</v>
      </c>
    </row>
    <row r="44" spans="2:18" ht="14.25">
      <c r="B44" s="109">
        <v>42</v>
      </c>
      <c r="C44" s="110" t="s">
        <v>106</v>
      </c>
      <c r="D44" s="109"/>
      <c r="E44" s="78">
        <v>3008</v>
      </c>
      <c r="F44" s="78" t="s">
        <v>80</v>
      </c>
      <c r="G44" s="78" t="s">
        <v>80</v>
      </c>
      <c r="H44" s="109" t="s">
        <v>81</v>
      </c>
      <c r="I44" s="67" t="s">
        <v>82</v>
      </c>
      <c r="J44" s="109" t="s">
        <v>83</v>
      </c>
      <c r="K44" s="109" t="s">
        <v>31</v>
      </c>
      <c r="L44" s="111" t="s">
        <v>32</v>
      </c>
      <c r="M44" s="111" t="s">
        <v>33</v>
      </c>
      <c r="N44" s="111" t="s">
        <v>96</v>
      </c>
      <c r="O44" s="111" t="str">
        <f t="shared" si="11"/>
        <v>-2A4</v>
      </c>
      <c r="P44" s="111">
        <v>10</v>
      </c>
      <c r="Q44" s="112" t="str">
        <f t="shared" si="12"/>
        <v>I5.1</v>
      </c>
      <c r="R44" s="111" t="str">
        <f t="shared" si="14"/>
        <v>3008¶Mixer Door¶Opened</v>
      </c>
    </row>
    <row r="45" spans="2:18" ht="14.25">
      <c r="B45" s="109">
        <v>43</v>
      </c>
      <c r="C45" s="110" t="s">
        <v>107</v>
      </c>
      <c r="D45" s="109"/>
      <c r="E45" s="78">
        <v>3008</v>
      </c>
      <c r="F45" s="78" t="s">
        <v>80</v>
      </c>
      <c r="G45" s="78" t="s">
        <v>80</v>
      </c>
      <c r="H45" s="109" t="s">
        <v>84</v>
      </c>
      <c r="I45" s="67" t="s">
        <v>82</v>
      </c>
      <c r="J45" s="109" t="s">
        <v>85</v>
      </c>
      <c r="K45" s="109" t="s">
        <v>31</v>
      </c>
      <c r="L45" s="111" t="s">
        <v>32</v>
      </c>
      <c r="M45" s="111" t="s">
        <v>33</v>
      </c>
      <c r="N45" s="111" t="s">
        <v>96</v>
      </c>
      <c r="O45" s="111" t="str">
        <f t="shared" si="11"/>
        <v>-2A4</v>
      </c>
      <c r="P45" s="111">
        <v>11</v>
      </c>
      <c r="Q45" s="112" t="str">
        <f t="shared" si="12"/>
        <v>I5.2</v>
      </c>
      <c r="R45" s="111" t="str">
        <f t="shared" si="14"/>
        <v>3008¶Mixer Door¶Closed</v>
      </c>
    </row>
    <row r="46" spans="2:18" ht="14.25">
      <c r="B46" s="109">
        <v>44</v>
      </c>
      <c r="C46" s="110" t="s">
        <v>108</v>
      </c>
      <c r="D46" s="109"/>
      <c r="E46" s="78">
        <v>3012</v>
      </c>
      <c r="F46" s="78" t="s">
        <v>86</v>
      </c>
      <c r="G46" s="78" t="s">
        <v>86</v>
      </c>
      <c r="H46" s="109" t="s">
        <v>28</v>
      </c>
      <c r="I46" s="67" t="s">
        <v>87</v>
      </c>
      <c r="J46" s="109" t="s">
        <v>30</v>
      </c>
      <c r="K46" s="109" t="s">
        <v>31</v>
      </c>
      <c r="L46" s="111" t="s">
        <v>32</v>
      </c>
      <c r="M46" s="111" t="s">
        <v>33</v>
      </c>
      <c r="N46" s="111" t="s">
        <v>96</v>
      </c>
      <c r="O46" s="111" t="str">
        <f t="shared" si="11"/>
        <v>-2A4</v>
      </c>
      <c r="P46" s="111">
        <v>12</v>
      </c>
      <c r="Q46" s="112" t="str">
        <f t="shared" si="12"/>
        <v>I5.3</v>
      </c>
      <c r="R46" s="111" t="str">
        <f t="shared" si="14"/>
        <v>3012¶Airlock¶Running</v>
      </c>
    </row>
    <row r="47" spans="2:18" ht="14.25">
      <c r="B47" s="109">
        <v>45</v>
      </c>
      <c r="C47" s="110" t="s">
        <v>109</v>
      </c>
      <c r="D47" s="109"/>
      <c r="E47" s="78">
        <v>4004</v>
      </c>
      <c r="F47" s="78" t="s">
        <v>27</v>
      </c>
      <c r="G47" s="78" t="s">
        <v>27</v>
      </c>
      <c r="H47" s="109" t="s">
        <v>28</v>
      </c>
      <c r="I47" s="67" t="s">
        <v>29</v>
      </c>
      <c r="J47" s="109" t="s">
        <v>30</v>
      </c>
      <c r="K47" s="109" t="s">
        <v>31</v>
      </c>
      <c r="L47" s="111" t="s">
        <v>32</v>
      </c>
      <c r="M47" s="111" t="s">
        <v>33</v>
      </c>
      <c r="N47" s="111" t="s">
        <v>96</v>
      </c>
      <c r="O47" s="111" t="str">
        <f t="shared" si="11"/>
        <v>-2A4</v>
      </c>
      <c r="P47" s="111">
        <v>13</v>
      </c>
      <c r="Q47" s="112" t="str">
        <f t="shared" si="12"/>
        <v>I5.4</v>
      </c>
      <c r="R47" s="111" t="str">
        <f t="shared" si="14"/>
        <v>4004¶Fan¶Running</v>
      </c>
    </row>
    <row r="48" spans="2:18" ht="14.25">
      <c r="B48" s="109">
        <v>46</v>
      </c>
      <c r="C48" s="110" t="s">
        <v>110</v>
      </c>
      <c r="D48" s="109"/>
      <c r="E48" s="78">
        <v>4104</v>
      </c>
      <c r="F48" s="78" t="s">
        <v>27</v>
      </c>
      <c r="G48" s="78" t="s">
        <v>27</v>
      </c>
      <c r="H48" s="109" t="s">
        <v>28</v>
      </c>
      <c r="I48" s="67" t="s">
        <v>29</v>
      </c>
      <c r="J48" s="109" t="s">
        <v>30</v>
      </c>
      <c r="K48" s="109" t="s">
        <v>31</v>
      </c>
      <c r="L48" s="111" t="s">
        <v>32</v>
      </c>
      <c r="M48" s="111" t="s">
        <v>33</v>
      </c>
      <c r="N48" s="111" t="s">
        <v>96</v>
      </c>
      <c r="O48" s="111" t="str">
        <f t="shared" si="11"/>
        <v>-2A4</v>
      </c>
      <c r="P48" s="111">
        <v>14</v>
      </c>
      <c r="Q48" s="112" t="str">
        <f t="shared" si="12"/>
        <v>I5.5</v>
      </c>
      <c r="R48" s="111" t="str">
        <f t="shared" si="14"/>
        <v>4104¶Fan¶Running</v>
      </c>
    </row>
    <row r="49" spans="2:18" ht="14.25">
      <c r="B49" s="109">
        <v>47</v>
      </c>
      <c r="C49" s="110" t="s">
        <v>111</v>
      </c>
      <c r="D49" s="109"/>
      <c r="E49" s="78">
        <v>5001</v>
      </c>
      <c r="F49" s="78" t="s">
        <v>86</v>
      </c>
      <c r="G49" s="78" t="s">
        <v>86</v>
      </c>
      <c r="H49" s="109" t="s">
        <v>28</v>
      </c>
      <c r="I49" s="67" t="s">
        <v>87</v>
      </c>
      <c r="J49" s="109" t="s">
        <v>30</v>
      </c>
      <c r="K49" s="109" t="s">
        <v>31</v>
      </c>
      <c r="L49" s="111" t="s">
        <v>32</v>
      </c>
      <c r="M49" s="111" t="s">
        <v>33</v>
      </c>
      <c r="N49" s="111" t="s">
        <v>96</v>
      </c>
      <c r="O49" s="111" t="str">
        <f t="shared" si="11"/>
        <v>-2A4</v>
      </c>
      <c r="P49" s="111">
        <v>15</v>
      </c>
      <c r="Q49" s="112" t="str">
        <f t="shared" si="12"/>
        <v>I5.6</v>
      </c>
      <c r="R49" s="111" t="str">
        <f t="shared" si="14"/>
        <v>5001¶Airlock¶Running</v>
      </c>
    </row>
    <row r="50" spans="2:18" ht="14.25">
      <c r="B50" s="109">
        <v>48</v>
      </c>
      <c r="C50" s="110" t="s">
        <v>112</v>
      </c>
      <c r="D50" s="109"/>
      <c r="E50" s="78">
        <v>5002</v>
      </c>
      <c r="F50" s="78" t="s">
        <v>27</v>
      </c>
      <c r="G50" s="78" t="s">
        <v>27</v>
      </c>
      <c r="H50" s="109" t="s">
        <v>28</v>
      </c>
      <c r="I50" s="67" t="s">
        <v>29</v>
      </c>
      <c r="J50" s="109" t="s">
        <v>30</v>
      </c>
      <c r="K50" s="109" t="s">
        <v>31</v>
      </c>
      <c r="L50" s="111" t="s">
        <v>32</v>
      </c>
      <c r="M50" s="111" t="s">
        <v>33</v>
      </c>
      <c r="N50" s="111" t="s">
        <v>96</v>
      </c>
      <c r="O50" s="111" t="str">
        <f t="shared" si="11"/>
        <v>-2A4</v>
      </c>
      <c r="P50" s="111">
        <v>16</v>
      </c>
      <c r="Q50" s="112" t="str">
        <f t="shared" si="12"/>
        <v>I5.7</v>
      </c>
      <c r="R50" s="111" t="str">
        <f t="shared" si="14"/>
        <v>5002¶Fan¶Running</v>
      </c>
    </row>
    <row r="51" spans="2:18" ht="16.5" customHeight="1">
      <c r="B51" s="109">
        <v>49</v>
      </c>
      <c r="C51" s="110" t="s">
        <v>113</v>
      </c>
      <c r="D51" s="109"/>
      <c r="E51" s="78">
        <v>2105</v>
      </c>
      <c r="F51" s="67" t="s">
        <v>27</v>
      </c>
      <c r="G51" s="67" t="s">
        <v>114</v>
      </c>
      <c r="H51" s="109" t="s">
        <v>28</v>
      </c>
      <c r="I51" s="67" t="s">
        <v>115</v>
      </c>
      <c r="J51" s="109" t="s">
        <v>30</v>
      </c>
      <c r="K51" s="109" t="s">
        <v>31</v>
      </c>
      <c r="L51" s="111" t="s">
        <v>32</v>
      </c>
      <c r="M51" s="111" t="s">
        <v>33</v>
      </c>
      <c r="N51" s="111" t="s">
        <v>116</v>
      </c>
      <c r="O51" s="111" t="str">
        <f t="shared" si="11"/>
        <v>-2A5</v>
      </c>
      <c r="P51" s="111">
        <v>1</v>
      </c>
      <c r="Q51" s="112" t="str">
        <f t="shared" si="12"/>
        <v>I6.0</v>
      </c>
      <c r="R51" s="111" t="str">
        <f t="shared" si="14"/>
        <v>2105¶设备编号¶Running</v>
      </c>
    </row>
    <row r="52" spans="2:18" ht="14.25">
      <c r="B52" s="109">
        <v>50</v>
      </c>
      <c r="C52" s="110" t="s">
        <v>117</v>
      </c>
      <c r="D52" s="109"/>
      <c r="E52" s="78" t="s">
        <v>118</v>
      </c>
      <c r="F52" s="67" t="s">
        <v>119</v>
      </c>
      <c r="G52" s="67" t="s">
        <v>120</v>
      </c>
      <c r="H52" s="78" t="s">
        <v>84</v>
      </c>
      <c r="I52" s="67" t="s">
        <v>120</v>
      </c>
      <c r="J52" s="109"/>
      <c r="K52" s="109" t="s">
        <v>31</v>
      </c>
      <c r="L52" s="111" t="s">
        <v>32</v>
      </c>
      <c r="M52" s="111" t="s">
        <v>33</v>
      </c>
      <c r="N52" s="111"/>
      <c r="O52" s="111" t="str">
        <f t="shared" si="11"/>
        <v>-</v>
      </c>
      <c r="P52" s="111">
        <v>2</v>
      </c>
      <c r="Q52" s="112" t="str">
        <f t="shared" si="12"/>
        <v>I6.1</v>
      </c>
      <c r="R52" s="111" t="str">
        <f t="shared" si="14"/>
        <v>2101_1¶b05¶</v>
      </c>
    </row>
    <row r="53" spans="2:18" ht="14.25">
      <c r="B53" s="109">
        <v>51</v>
      </c>
      <c r="C53" s="110" t="s">
        <v>121</v>
      </c>
      <c r="D53" s="109"/>
      <c r="E53" s="78" t="s">
        <v>122</v>
      </c>
      <c r="F53" s="67" t="s">
        <v>123</v>
      </c>
      <c r="G53" s="67" t="s">
        <v>124</v>
      </c>
      <c r="H53" s="78" t="s">
        <v>84</v>
      </c>
      <c r="I53" s="67" t="s">
        <v>124</v>
      </c>
      <c r="J53" s="109"/>
      <c r="K53" s="109" t="s">
        <v>31</v>
      </c>
      <c r="L53" s="111" t="s">
        <v>32</v>
      </c>
      <c r="M53" s="111" t="s">
        <v>33</v>
      </c>
      <c r="N53" s="111" t="s">
        <v>116</v>
      </c>
      <c r="O53" s="111" t="str">
        <f t="shared" si="11"/>
        <v>-2A5</v>
      </c>
      <c r="P53" s="111">
        <v>3</v>
      </c>
      <c r="Q53" s="112" t="str">
        <f t="shared" si="12"/>
        <v>I6.2</v>
      </c>
      <c r="R53" s="111" t="str">
        <f t="shared" si="14"/>
        <v>2101_2¶b06¶</v>
      </c>
    </row>
    <row r="54" spans="2:18" ht="14.25">
      <c r="B54" s="109">
        <v>52</v>
      </c>
      <c r="C54" s="110" t="s">
        <v>125</v>
      </c>
      <c r="D54" s="109"/>
      <c r="E54" s="78" t="s">
        <v>126</v>
      </c>
      <c r="F54" s="67" t="s">
        <v>127</v>
      </c>
      <c r="G54" s="67" t="s">
        <v>128</v>
      </c>
      <c r="H54" s="78" t="s">
        <v>84</v>
      </c>
      <c r="I54" s="67" t="s">
        <v>128</v>
      </c>
      <c r="J54" s="109"/>
      <c r="K54" s="109" t="s">
        <v>31</v>
      </c>
      <c r="L54" s="111" t="s">
        <v>32</v>
      </c>
      <c r="M54" s="111" t="s">
        <v>33</v>
      </c>
      <c r="N54" s="111" t="s">
        <v>116</v>
      </c>
      <c r="O54" s="111" t="str">
        <f t="shared" si="11"/>
        <v>-2A5</v>
      </c>
      <c r="P54" s="111">
        <v>4</v>
      </c>
      <c r="Q54" s="112" t="str">
        <f t="shared" si="12"/>
        <v>I6.3</v>
      </c>
      <c r="R54" s="111" t="str">
        <f t="shared" si="14"/>
        <v>2101_3¶b07¶</v>
      </c>
    </row>
    <row r="55" spans="2:18" ht="14.25">
      <c r="B55" s="109">
        <v>53</v>
      </c>
      <c r="C55" s="110" t="s">
        <v>129</v>
      </c>
      <c r="D55" s="109"/>
      <c r="E55" s="78" t="s">
        <v>130</v>
      </c>
      <c r="F55" s="67" t="s">
        <v>131</v>
      </c>
      <c r="G55" s="67" t="s">
        <v>132</v>
      </c>
      <c r="H55" s="78" t="s">
        <v>84</v>
      </c>
      <c r="I55" s="67" t="s">
        <v>132</v>
      </c>
      <c r="J55" s="109"/>
      <c r="K55" s="109" t="s">
        <v>31</v>
      </c>
      <c r="L55" s="111" t="s">
        <v>32</v>
      </c>
      <c r="M55" s="111" t="s">
        <v>33</v>
      </c>
      <c r="N55" s="111" t="s">
        <v>116</v>
      </c>
      <c r="O55" s="111" t="str">
        <f t="shared" si="11"/>
        <v>-2A5</v>
      </c>
      <c r="P55" s="111">
        <v>5</v>
      </c>
      <c r="Q55" s="112" t="str">
        <f t="shared" si="12"/>
        <v>I6.4</v>
      </c>
      <c r="R55" s="111" t="str">
        <f t="shared" si="14"/>
        <v>2101_4¶b08¶</v>
      </c>
    </row>
    <row r="56" spans="2:18" ht="14.25">
      <c r="B56" s="109">
        <v>54</v>
      </c>
      <c r="C56" s="110" t="s">
        <v>133</v>
      </c>
      <c r="D56" s="109"/>
      <c r="E56" s="78" t="s">
        <v>134</v>
      </c>
      <c r="F56" s="67" t="s">
        <v>135</v>
      </c>
      <c r="G56" s="67" t="s">
        <v>136</v>
      </c>
      <c r="H56" s="78" t="s">
        <v>84</v>
      </c>
      <c r="I56" s="67" t="s">
        <v>137</v>
      </c>
      <c r="J56" s="109"/>
      <c r="K56" s="109" t="s">
        <v>31</v>
      </c>
      <c r="L56" s="111" t="s">
        <v>32</v>
      </c>
      <c r="M56" s="111" t="s">
        <v>33</v>
      </c>
      <c r="N56" s="111" t="s">
        <v>116</v>
      </c>
      <c r="O56" s="111" t="str">
        <f t="shared" si="11"/>
        <v>-2A5</v>
      </c>
      <c r="P56" s="111">
        <v>6</v>
      </c>
      <c r="Q56" s="112" t="str">
        <f t="shared" si="12"/>
        <v>I6.5</v>
      </c>
      <c r="R56" s="111" t="str">
        <f t="shared" si="14"/>
        <v>2101_5¶b09¶</v>
      </c>
    </row>
    <row r="57" spans="2:18" ht="14.25">
      <c r="B57" s="109">
        <v>55</v>
      </c>
      <c r="C57" s="110" t="s">
        <v>138</v>
      </c>
      <c r="D57" s="109"/>
      <c r="E57" s="78" t="s">
        <v>139</v>
      </c>
      <c r="F57" s="67" t="s">
        <v>140</v>
      </c>
      <c r="G57" s="67" t="s">
        <v>141</v>
      </c>
      <c r="H57" s="78" t="s">
        <v>84</v>
      </c>
      <c r="I57" s="67" t="s">
        <v>142</v>
      </c>
      <c r="J57" s="109"/>
      <c r="K57" s="109" t="s">
        <v>31</v>
      </c>
      <c r="L57" s="111" t="s">
        <v>32</v>
      </c>
      <c r="M57" s="111" t="s">
        <v>33</v>
      </c>
      <c r="N57" s="111" t="s">
        <v>116</v>
      </c>
      <c r="O57" s="111" t="str">
        <f t="shared" si="11"/>
        <v>-2A5</v>
      </c>
      <c r="P57" s="111">
        <v>7</v>
      </c>
      <c r="Q57" s="112" t="str">
        <f t="shared" si="12"/>
        <v>I6.6</v>
      </c>
      <c r="R57" s="111" t="str">
        <f>E57&amp;L57&amp;I57&amp;L57&amp;J59</f>
        <v>2101_6¶b10¶</v>
      </c>
    </row>
    <row r="58" spans="2:18" ht="14.25">
      <c r="B58" s="109">
        <v>56</v>
      </c>
      <c r="C58" s="110" t="s">
        <v>143</v>
      </c>
      <c r="D58" s="109"/>
      <c r="E58" s="78" t="s">
        <v>144</v>
      </c>
      <c r="F58" s="67" t="s">
        <v>145</v>
      </c>
      <c r="G58" s="67" t="s">
        <v>146</v>
      </c>
      <c r="H58" s="78" t="s">
        <v>84</v>
      </c>
      <c r="I58" s="67" t="s">
        <v>147</v>
      </c>
      <c r="J58" s="109"/>
      <c r="K58" s="109" t="s">
        <v>31</v>
      </c>
      <c r="L58" s="111" t="s">
        <v>32</v>
      </c>
      <c r="M58" s="111" t="s">
        <v>33</v>
      </c>
      <c r="N58" s="111" t="s">
        <v>116</v>
      </c>
      <c r="O58" s="111" t="str">
        <f t="shared" si="11"/>
        <v>-2A5</v>
      </c>
      <c r="P58" s="111">
        <v>8</v>
      </c>
      <c r="Q58" s="112" t="str">
        <f t="shared" si="12"/>
        <v>I6.7</v>
      </c>
      <c r="R58" s="111" t="str">
        <f>E58&amp;L58&amp;I58&amp;L58&amp;J59</f>
        <v>2101_7¶b11¶</v>
      </c>
    </row>
    <row r="59" spans="2:18" ht="14.25">
      <c r="B59" s="109">
        <v>57</v>
      </c>
      <c r="C59" s="110" t="s">
        <v>148</v>
      </c>
      <c r="D59" s="109"/>
      <c r="E59" s="78" t="s">
        <v>149</v>
      </c>
      <c r="F59" s="67" t="s">
        <v>150</v>
      </c>
      <c r="G59" s="67" t="s">
        <v>151</v>
      </c>
      <c r="H59" s="78" t="s">
        <v>84</v>
      </c>
      <c r="I59" s="67" t="s">
        <v>152</v>
      </c>
      <c r="J59" s="109"/>
      <c r="K59" s="109" t="s">
        <v>31</v>
      </c>
      <c r="L59" s="111" t="s">
        <v>32</v>
      </c>
      <c r="M59" s="111" t="s">
        <v>33</v>
      </c>
      <c r="N59" s="111" t="s">
        <v>116</v>
      </c>
      <c r="O59" s="111" t="str">
        <f t="shared" si="11"/>
        <v>-2A5</v>
      </c>
      <c r="P59" s="111">
        <v>9</v>
      </c>
      <c r="Q59" s="112" t="str">
        <f t="shared" si="12"/>
        <v>I7.0</v>
      </c>
      <c r="R59" s="111" t="str">
        <f t="shared" ref="R59" si="15">E59&amp;L59&amp;I59&amp;L59&amp;J59</f>
        <v>2101_8¶b12¶</v>
      </c>
    </row>
    <row r="60" spans="2:18" ht="14.25">
      <c r="B60" s="109">
        <v>58</v>
      </c>
      <c r="C60" s="110" t="s">
        <v>153</v>
      </c>
      <c r="D60" s="109"/>
      <c r="E60" s="78" t="s">
        <v>154</v>
      </c>
      <c r="F60" s="67" t="s">
        <v>155</v>
      </c>
      <c r="G60" s="67" t="s">
        <v>156</v>
      </c>
      <c r="H60" s="78" t="s">
        <v>84</v>
      </c>
      <c r="I60" s="67" t="s">
        <v>157</v>
      </c>
      <c r="J60" s="109"/>
      <c r="K60" s="109" t="s">
        <v>31</v>
      </c>
      <c r="L60" s="111" t="s">
        <v>32</v>
      </c>
      <c r="M60" s="111" t="s">
        <v>33</v>
      </c>
      <c r="N60" s="111" t="s">
        <v>116</v>
      </c>
      <c r="O60" s="111" t="str">
        <f t="shared" si="11"/>
        <v>-2A5</v>
      </c>
      <c r="P60" s="111">
        <v>10</v>
      </c>
      <c r="Q60" s="112" t="str">
        <f t="shared" si="12"/>
        <v>I7.1</v>
      </c>
      <c r="R60" s="111" t="str">
        <f>E60&amp;L60&amp;I60&amp;L60&amp;J62</f>
        <v>2101_9¶b13¶</v>
      </c>
    </row>
    <row r="61" spans="2:18" ht="14.25">
      <c r="B61" s="109">
        <v>59</v>
      </c>
      <c r="C61" s="110" t="s">
        <v>158</v>
      </c>
      <c r="D61" s="109"/>
      <c r="E61" s="78" t="s">
        <v>159</v>
      </c>
      <c r="F61" s="67" t="s">
        <v>160</v>
      </c>
      <c r="G61" s="67" t="s">
        <v>161</v>
      </c>
      <c r="H61" s="78" t="s">
        <v>84</v>
      </c>
      <c r="I61" s="67" t="s">
        <v>162</v>
      </c>
      <c r="J61" s="109"/>
      <c r="K61" s="109" t="s">
        <v>31</v>
      </c>
      <c r="L61" s="111" t="s">
        <v>32</v>
      </c>
      <c r="M61" s="111" t="s">
        <v>33</v>
      </c>
      <c r="N61" s="111" t="s">
        <v>116</v>
      </c>
      <c r="O61" s="111" t="str">
        <f t="shared" si="11"/>
        <v>-2A5</v>
      </c>
      <c r="P61" s="111">
        <v>11</v>
      </c>
      <c r="Q61" s="112" t="str">
        <f t="shared" si="12"/>
        <v>I7.2</v>
      </c>
      <c r="R61" s="111" t="str">
        <f>E61&amp;L61&amp;I61&amp;L61&amp;J62</f>
        <v>2101_10¶b14¶</v>
      </c>
    </row>
    <row r="62" spans="2:18" ht="14.25">
      <c r="B62" s="109">
        <v>60</v>
      </c>
      <c r="C62" s="110" t="s">
        <v>163</v>
      </c>
      <c r="D62" s="109"/>
      <c r="E62" s="78" t="s">
        <v>164</v>
      </c>
      <c r="F62" s="67" t="s">
        <v>165</v>
      </c>
      <c r="G62" s="67" t="s">
        <v>166</v>
      </c>
      <c r="H62" s="78" t="s">
        <v>84</v>
      </c>
      <c r="I62" s="67" t="s">
        <v>136</v>
      </c>
      <c r="J62" s="109"/>
      <c r="K62" s="109" t="s">
        <v>31</v>
      </c>
      <c r="L62" s="111" t="s">
        <v>32</v>
      </c>
      <c r="M62" s="111" t="s">
        <v>33</v>
      </c>
      <c r="N62" s="111" t="s">
        <v>116</v>
      </c>
      <c r="O62" s="111" t="str">
        <f t="shared" si="11"/>
        <v>-2A5</v>
      </c>
      <c r="P62" s="111">
        <v>12</v>
      </c>
      <c r="Q62" s="112" t="str">
        <f t="shared" si="12"/>
        <v>I7.3</v>
      </c>
      <c r="R62" s="111" t="str">
        <f t="shared" ref="R62" si="16">E62&amp;L62&amp;I62&amp;L62&amp;J62</f>
        <v>2101_11¶b15¶</v>
      </c>
    </row>
    <row r="63" spans="2:18" ht="14.25">
      <c r="B63" s="109">
        <v>61</v>
      </c>
      <c r="C63" s="110" t="s">
        <v>167</v>
      </c>
      <c r="D63" s="109"/>
      <c r="E63" s="78" t="s">
        <v>168</v>
      </c>
      <c r="F63" s="67" t="s">
        <v>169</v>
      </c>
      <c r="G63" s="67" t="s">
        <v>170</v>
      </c>
      <c r="H63" s="78" t="s">
        <v>84</v>
      </c>
      <c r="I63" s="67" t="s">
        <v>141</v>
      </c>
      <c r="J63" s="109"/>
      <c r="K63" s="109" t="s">
        <v>31</v>
      </c>
      <c r="L63" s="111" t="s">
        <v>32</v>
      </c>
      <c r="M63" s="111" t="s">
        <v>33</v>
      </c>
      <c r="N63" s="111" t="s">
        <v>116</v>
      </c>
      <c r="O63" s="111" t="str">
        <f t="shared" si="11"/>
        <v>-2A5</v>
      </c>
      <c r="P63" s="111">
        <v>13</v>
      </c>
      <c r="Q63" s="112" t="str">
        <f t="shared" si="12"/>
        <v>I7.4</v>
      </c>
      <c r="R63" s="111" t="str">
        <f t="shared" ref="R63:R98" si="17">E63&amp;L63&amp;I63&amp;L63&amp;J63</f>
        <v>2101_12¶b16¶</v>
      </c>
    </row>
    <row r="64" spans="2:18" ht="14.25">
      <c r="B64" s="109">
        <v>62</v>
      </c>
      <c r="C64" s="110" t="s">
        <v>171</v>
      </c>
      <c r="D64" s="109"/>
      <c r="E64" s="78" t="s">
        <v>172</v>
      </c>
      <c r="F64" s="67" t="s">
        <v>173</v>
      </c>
      <c r="G64" s="67" t="s">
        <v>174</v>
      </c>
      <c r="H64" s="78" t="s">
        <v>84</v>
      </c>
      <c r="I64" s="67" t="s">
        <v>146</v>
      </c>
      <c r="J64" s="109"/>
      <c r="K64" s="109" t="s">
        <v>31</v>
      </c>
      <c r="L64" s="111" t="s">
        <v>32</v>
      </c>
      <c r="M64" s="111" t="s">
        <v>33</v>
      </c>
      <c r="N64" s="111" t="s">
        <v>116</v>
      </c>
      <c r="O64" s="111" t="str">
        <f t="shared" si="11"/>
        <v>-2A5</v>
      </c>
      <c r="P64" s="111">
        <v>14</v>
      </c>
      <c r="Q64" s="112" t="str">
        <f t="shared" si="12"/>
        <v>I7.5</v>
      </c>
      <c r="R64" s="111" t="str">
        <f t="shared" si="17"/>
        <v>2101_13¶b17¶</v>
      </c>
    </row>
    <row r="65" spans="2:18" ht="14.25">
      <c r="B65" s="109">
        <v>63</v>
      </c>
      <c r="C65" s="110" t="s">
        <v>175</v>
      </c>
      <c r="D65" s="109"/>
      <c r="E65" s="78" t="s">
        <v>176</v>
      </c>
      <c r="F65" s="67" t="s">
        <v>177</v>
      </c>
      <c r="G65" s="67" t="s">
        <v>178</v>
      </c>
      <c r="H65" s="78" t="s">
        <v>84</v>
      </c>
      <c r="I65" s="67" t="s">
        <v>151</v>
      </c>
      <c r="J65" s="109"/>
      <c r="K65" s="109" t="s">
        <v>31</v>
      </c>
      <c r="L65" s="111" t="s">
        <v>32</v>
      </c>
      <c r="M65" s="111" t="s">
        <v>33</v>
      </c>
      <c r="N65" s="111" t="s">
        <v>116</v>
      </c>
      <c r="O65" s="111" t="str">
        <f t="shared" si="11"/>
        <v>-2A5</v>
      </c>
      <c r="P65" s="111">
        <v>15</v>
      </c>
      <c r="Q65" s="112" t="str">
        <f t="shared" si="12"/>
        <v>I7.6</v>
      </c>
      <c r="R65" s="111" t="str">
        <f t="shared" si="17"/>
        <v>2101_14¶b18¶</v>
      </c>
    </row>
    <row r="66" spans="2:18" ht="14.25">
      <c r="B66" s="109">
        <v>64</v>
      </c>
      <c r="C66" s="110" t="s">
        <v>179</v>
      </c>
      <c r="D66" s="109"/>
      <c r="E66" s="78" t="s">
        <v>180</v>
      </c>
      <c r="F66" s="67" t="s">
        <v>181</v>
      </c>
      <c r="G66" s="67" t="s">
        <v>182</v>
      </c>
      <c r="H66" s="78" t="s">
        <v>84</v>
      </c>
      <c r="I66" s="67" t="s">
        <v>156</v>
      </c>
      <c r="J66" s="109"/>
      <c r="K66" s="109" t="s">
        <v>31</v>
      </c>
      <c r="L66" s="111" t="s">
        <v>32</v>
      </c>
      <c r="M66" s="111" t="s">
        <v>33</v>
      </c>
      <c r="N66" s="111" t="s">
        <v>116</v>
      </c>
      <c r="O66" s="111" t="str">
        <f t="shared" si="11"/>
        <v>-2A5</v>
      </c>
      <c r="P66" s="111">
        <v>16</v>
      </c>
      <c r="Q66" s="112" t="str">
        <f t="shared" si="12"/>
        <v>I7.7</v>
      </c>
      <c r="R66" s="111" t="str">
        <f t="shared" si="17"/>
        <v>2101_15¶b19¶</v>
      </c>
    </row>
    <row r="67" spans="2:18" ht="14.25">
      <c r="B67" s="109">
        <v>65</v>
      </c>
      <c r="C67" s="110" t="s">
        <v>183</v>
      </c>
      <c r="D67" s="109"/>
      <c r="E67" s="78" t="s">
        <v>184</v>
      </c>
      <c r="F67" s="67" t="s">
        <v>185</v>
      </c>
      <c r="G67" s="67" t="s">
        <v>186</v>
      </c>
      <c r="H67" s="78" t="s">
        <v>84</v>
      </c>
      <c r="I67" s="67" t="s">
        <v>161</v>
      </c>
      <c r="J67" s="109"/>
      <c r="K67" s="109" t="s">
        <v>31</v>
      </c>
      <c r="L67" s="111" t="s">
        <v>32</v>
      </c>
      <c r="M67" s="111" t="s">
        <v>33</v>
      </c>
      <c r="N67" s="111" t="s">
        <v>187</v>
      </c>
      <c r="O67" s="111" t="str">
        <f t="shared" ref="O67" si="18">M67&amp;N67</f>
        <v>-2A6</v>
      </c>
      <c r="P67" s="111">
        <v>1</v>
      </c>
      <c r="Q67" s="112" t="str">
        <f t="shared" ref="Q67" si="19">C67</f>
        <v>I8.0</v>
      </c>
      <c r="R67" s="111" t="str">
        <f t="shared" si="17"/>
        <v>2101_16¶b20¶</v>
      </c>
    </row>
    <row r="68" spans="2:18" ht="14.25">
      <c r="B68" s="109">
        <v>66</v>
      </c>
      <c r="C68" s="110" t="s">
        <v>188</v>
      </c>
      <c r="D68" s="109"/>
      <c r="E68" s="78" t="s">
        <v>189</v>
      </c>
      <c r="F68" s="67" t="s">
        <v>190</v>
      </c>
      <c r="G68" s="67" t="s">
        <v>191</v>
      </c>
      <c r="H68" s="78" t="s">
        <v>84</v>
      </c>
      <c r="I68" s="67" t="s">
        <v>166</v>
      </c>
      <c r="J68" s="109"/>
      <c r="K68" s="109" t="s">
        <v>31</v>
      </c>
      <c r="L68" s="111" t="s">
        <v>32</v>
      </c>
      <c r="M68" s="111" t="s">
        <v>33</v>
      </c>
      <c r="N68" s="111" t="s">
        <v>187</v>
      </c>
      <c r="O68" s="111" t="str">
        <f t="shared" ref="O68:O98" si="20">M68&amp;N68</f>
        <v>-2A6</v>
      </c>
      <c r="P68" s="111">
        <v>2</v>
      </c>
      <c r="Q68" s="112" t="str">
        <f t="shared" ref="Q68:Q98" si="21">C68</f>
        <v>I8.1</v>
      </c>
      <c r="R68" s="111" t="str">
        <f t="shared" si="17"/>
        <v>2101_17¶b21¶</v>
      </c>
    </row>
    <row r="69" spans="2:18" ht="14.25">
      <c r="B69" s="109">
        <v>67</v>
      </c>
      <c r="C69" s="110" t="s">
        <v>192</v>
      </c>
      <c r="D69" s="109"/>
      <c r="E69" s="78" t="s">
        <v>193</v>
      </c>
      <c r="F69" s="67" t="s">
        <v>194</v>
      </c>
      <c r="G69" s="67" t="s">
        <v>195</v>
      </c>
      <c r="H69" s="78" t="s">
        <v>84</v>
      </c>
      <c r="I69" s="67" t="s">
        <v>196</v>
      </c>
      <c r="J69" s="109"/>
      <c r="K69" s="109" t="s">
        <v>31</v>
      </c>
      <c r="L69" s="111" t="s">
        <v>32</v>
      </c>
      <c r="M69" s="111" t="s">
        <v>33</v>
      </c>
      <c r="N69" s="111" t="s">
        <v>187</v>
      </c>
      <c r="O69" s="111" t="str">
        <f t="shared" si="20"/>
        <v>-2A6</v>
      </c>
      <c r="P69" s="111">
        <v>3</v>
      </c>
      <c r="Q69" s="112" t="str">
        <f t="shared" si="21"/>
        <v>I8.2</v>
      </c>
      <c r="R69" s="111" t="str">
        <f t="shared" si="17"/>
        <v>2101_18¶b22¶</v>
      </c>
    </row>
    <row r="70" spans="2:18" ht="14.25">
      <c r="B70" s="109">
        <v>68</v>
      </c>
      <c r="C70" s="110" t="s">
        <v>197</v>
      </c>
      <c r="D70" s="109"/>
      <c r="E70" s="78" t="s">
        <v>198</v>
      </c>
      <c r="F70" s="67" t="s">
        <v>199</v>
      </c>
      <c r="G70" s="67" t="s">
        <v>200</v>
      </c>
      <c r="H70" s="78" t="s">
        <v>84</v>
      </c>
      <c r="I70" s="67" t="s">
        <v>201</v>
      </c>
      <c r="J70" s="109"/>
      <c r="K70" s="109" t="s">
        <v>31</v>
      </c>
      <c r="L70" s="111" t="s">
        <v>32</v>
      </c>
      <c r="M70" s="111" t="s">
        <v>33</v>
      </c>
      <c r="N70" s="111" t="s">
        <v>187</v>
      </c>
      <c r="O70" s="111" t="str">
        <f t="shared" si="20"/>
        <v>-2A6</v>
      </c>
      <c r="P70" s="111">
        <v>4</v>
      </c>
      <c r="Q70" s="112" t="str">
        <f t="shared" si="21"/>
        <v>I8.3</v>
      </c>
      <c r="R70" s="111" t="str">
        <f t="shared" si="17"/>
        <v>2101_19¶b23¶</v>
      </c>
    </row>
    <row r="71" spans="2:18" ht="14.25">
      <c r="B71" s="109">
        <v>69</v>
      </c>
      <c r="C71" s="110" t="s">
        <v>202</v>
      </c>
      <c r="D71" s="109"/>
      <c r="E71" s="78" t="s">
        <v>203</v>
      </c>
      <c r="F71" s="67" t="s">
        <v>204</v>
      </c>
      <c r="G71" s="67" t="s">
        <v>205</v>
      </c>
      <c r="H71" s="78" t="s">
        <v>84</v>
      </c>
      <c r="I71" s="67" t="s">
        <v>170</v>
      </c>
      <c r="J71" s="109"/>
      <c r="K71" s="109" t="s">
        <v>31</v>
      </c>
      <c r="L71" s="111" t="s">
        <v>32</v>
      </c>
      <c r="M71" s="111" t="s">
        <v>33</v>
      </c>
      <c r="N71" s="111" t="s">
        <v>187</v>
      </c>
      <c r="O71" s="111" t="str">
        <f t="shared" si="20"/>
        <v>-2A6</v>
      </c>
      <c r="P71" s="111">
        <v>5</v>
      </c>
      <c r="Q71" s="112" t="str">
        <f t="shared" si="21"/>
        <v>I8.4</v>
      </c>
      <c r="R71" s="111" t="str">
        <f t="shared" si="17"/>
        <v>2101_20¶b24¶</v>
      </c>
    </row>
    <row r="72" spans="2:18" ht="14.25">
      <c r="B72" s="109">
        <v>70</v>
      </c>
      <c r="C72" s="110" t="s">
        <v>206</v>
      </c>
      <c r="D72" s="109"/>
      <c r="E72" s="78" t="s">
        <v>207</v>
      </c>
      <c r="F72" s="67" t="s">
        <v>208</v>
      </c>
      <c r="G72" s="67" t="s">
        <v>209</v>
      </c>
      <c r="H72" s="78" t="s">
        <v>84</v>
      </c>
      <c r="I72" s="67" t="s">
        <v>174</v>
      </c>
      <c r="J72" s="109"/>
      <c r="K72" s="109" t="s">
        <v>31</v>
      </c>
      <c r="L72" s="111" t="s">
        <v>32</v>
      </c>
      <c r="M72" s="111" t="s">
        <v>33</v>
      </c>
      <c r="N72" s="111" t="s">
        <v>187</v>
      </c>
      <c r="O72" s="111" t="str">
        <f t="shared" si="20"/>
        <v>-2A6</v>
      </c>
      <c r="P72" s="111">
        <v>6</v>
      </c>
      <c r="Q72" s="112" t="str">
        <f t="shared" si="21"/>
        <v>I8.5</v>
      </c>
      <c r="R72" s="111" t="str">
        <f t="shared" si="17"/>
        <v>2101_21¶b25¶</v>
      </c>
    </row>
    <row r="73" spans="2:18" ht="14.25">
      <c r="B73" s="109">
        <v>71</v>
      </c>
      <c r="C73" s="110" t="s">
        <v>210</v>
      </c>
      <c r="D73" s="109"/>
      <c r="E73" s="78" t="s">
        <v>211</v>
      </c>
      <c r="F73" s="67" t="s">
        <v>212</v>
      </c>
      <c r="G73" s="67" t="s">
        <v>213</v>
      </c>
      <c r="H73" s="78" t="s">
        <v>84</v>
      </c>
      <c r="I73" s="67" t="s">
        <v>178</v>
      </c>
      <c r="J73" s="109"/>
      <c r="K73" s="109" t="s">
        <v>31</v>
      </c>
      <c r="L73" s="111" t="s">
        <v>32</v>
      </c>
      <c r="M73" s="111" t="s">
        <v>33</v>
      </c>
      <c r="N73" s="111" t="s">
        <v>187</v>
      </c>
      <c r="O73" s="111" t="str">
        <f t="shared" si="20"/>
        <v>-2A6</v>
      </c>
      <c r="P73" s="111">
        <v>7</v>
      </c>
      <c r="Q73" s="112" t="str">
        <f t="shared" si="21"/>
        <v>I8.6</v>
      </c>
      <c r="R73" s="111" t="str">
        <f t="shared" si="17"/>
        <v>2101_22¶b26¶</v>
      </c>
    </row>
    <row r="74" spans="2:18" ht="14.25">
      <c r="B74" s="109">
        <v>72</v>
      </c>
      <c r="C74" s="110" t="s">
        <v>214</v>
      </c>
      <c r="D74" s="109"/>
      <c r="E74" s="78" t="s">
        <v>215</v>
      </c>
      <c r="F74" s="67" t="s">
        <v>216</v>
      </c>
      <c r="G74" s="67" t="s">
        <v>217</v>
      </c>
      <c r="H74" s="78" t="s">
        <v>84</v>
      </c>
      <c r="I74" s="67" t="s">
        <v>182</v>
      </c>
      <c r="J74" s="109"/>
      <c r="K74" s="109" t="s">
        <v>31</v>
      </c>
      <c r="L74" s="111" t="s">
        <v>32</v>
      </c>
      <c r="M74" s="111" t="s">
        <v>33</v>
      </c>
      <c r="N74" s="111" t="s">
        <v>187</v>
      </c>
      <c r="O74" s="111" t="str">
        <f t="shared" si="20"/>
        <v>-2A6</v>
      </c>
      <c r="P74" s="111">
        <v>8</v>
      </c>
      <c r="Q74" s="112" t="str">
        <f t="shared" si="21"/>
        <v>I8.7</v>
      </c>
      <c r="R74" s="111" t="str">
        <f t="shared" si="17"/>
        <v>2101_23¶b27¶</v>
      </c>
    </row>
    <row r="75" spans="2:18" ht="14.25">
      <c r="B75" s="109">
        <v>73</v>
      </c>
      <c r="C75" s="110" t="s">
        <v>218</v>
      </c>
      <c r="D75" s="109"/>
      <c r="E75" s="78" t="s">
        <v>219</v>
      </c>
      <c r="F75" s="67" t="s">
        <v>220</v>
      </c>
      <c r="G75" s="67" t="s">
        <v>221</v>
      </c>
      <c r="H75" s="78" t="s">
        <v>84</v>
      </c>
      <c r="I75" s="67" t="s">
        <v>186</v>
      </c>
      <c r="J75" s="109"/>
      <c r="K75" s="109" t="s">
        <v>31</v>
      </c>
      <c r="L75" s="111" t="s">
        <v>32</v>
      </c>
      <c r="M75" s="111" t="s">
        <v>33</v>
      </c>
      <c r="N75" s="111" t="s">
        <v>187</v>
      </c>
      <c r="O75" s="111" t="str">
        <f t="shared" si="20"/>
        <v>-2A6</v>
      </c>
      <c r="P75" s="111">
        <v>9</v>
      </c>
      <c r="Q75" s="112" t="str">
        <f t="shared" si="21"/>
        <v>I9.0</v>
      </c>
      <c r="R75" s="111" t="str">
        <f t="shared" si="17"/>
        <v>2101_24¶b28¶</v>
      </c>
    </row>
    <row r="76" spans="2:18" ht="14.25">
      <c r="B76" s="109">
        <v>74</v>
      </c>
      <c r="C76" s="110" t="s">
        <v>222</v>
      </c>
      <c r="D76" s="109"/>
      <c r="E76" s="78" t="s">
        <v>223</v>
      </c>
      <c r="F76" s="67" t="s">
        <v>224</v>
      </c>
      <c r="G76" s="67" t="s">
        <v>225</v>
      </c>
      <c r="H76" s="78" t="s">
        <v>84</v>
      </c>
      <c r="I76" s="67" t="s">
        <v>191</v>
      </c>
      <c r="J76" s="109"/>
      <c r="K76" s="109" t="s">
        <v>31</v>
      </c>
      <c r="L76" s="111" t="s">
        <v>32</v>
      </c>
      <c r="M76" s="111" t="s">
        <v>33</v>
      </c>
      <c r="N76" s="111" t="s">
        <v>187</v>
      </c>
      <c r="O76" s="111" t="str">
        <f t="shared" si="20"/>
        <v>-2A6</v>
      </c>
      <c r="P76" s="111">
        <v>10</v>
      </c>
      <c r="Q76" s="112" t="str">
        <f t="shared" si="21"/>
        <v>I9.1</v>
      </c>
      <c r="R76" s="111" t="str">
        <f t="shared" si="17"/>
        <v>2101_25¶b29¶</v>
      </c>
    </row>
    <row r="77" spans="2:18" ht="14.25">
      <c r="B77" s="109">
        <v>75</v>
      </c>
      <c r="C77" s="110" t="s">
        <v>226</v>
      </c>
      <c r="D77" s="109"/>
      <c r="E77" s="78" t="s">
        <v>227</v>
      </c>
      <c r="F77" s="67" t="s">
        <v>228</v>
      </c>
      <c r="G77" s="67" t="s">
        <v>229</v>
      </c>
      <c r="H77" s="78" t="s">
        <v>84</v>
      </c>
      <c r="I77" s="67" t="s">
        <v>195</v>
      </c>
      <c r="J77" s="109"/>
      <c r="K77" s="109" t="s">
        <v>31</v>
      </c>
      <c r="L77" s="111" t="s">
        <v>32</v>
      </c>
      <c r="M77" s="111" t="s">
        <v>33</v>
      </c>
      <c r="N77" s="111" t="s">
        <v>187</v>
      </c>
      <c r="O77" s="111" t="str">
        <f t="shared" si="20"/>
        <v>-2A6</v>
      </c>
      <c r="P77" s="111">
        <v>11</v>
      </c>
      <c r="Q77" s="112" t="str">
        <f t="shared" si="21"/>
        <v>I9.2</v>
      </c>
      <c r="R77" s="111" t="str">
        <f t="shared" si="17"/>
        <v>2101_26¶b30¶</v>
      </c>
    </row>
    <row r="78" spans="2:18" ht="14.25">
      <c r="B78" s="109">
        <v>76</v>
      </c>
      <c r="C78" s="110" t="s">
        <v>230</v>
      </c>
      <c r="D78" s="109"/>
      <c r="E78" s="78" t="s">
        <v>231</v>
      </c>
      <c r="F78" s="67" t="s">
        <v>232</v>
      </c>
      <c r="G78" s="67" t="s">
        <v>233</v>
      </c>
      <c r="H78" s="78" t="s">
        <v>84</v>
      </c>
      <c r="I78" s="67" t="s">
        <v>200</v>
      </c>
      <c r="J78" s="109"/>
      <c r="K78" s="109" t="s">
        <v>31</v>
      </c>
      <c r="L78" s="111" t="s">
        <v>32</v>
      </c>
      <c r="M78" s="111" t="s">
        <v>33</v>
      </c>
      <c r="N78" s="111" t="s">
        <v>187</v>
      </c>
      <c r="O78" s="111" t="str">
        <f t="shared" si="20"/>
        <v>-2A6</v>
      </c>
      <c r="P78" s="111">
        <v>12</v>
      </c>
      <c r="Q78" s="112" t="str">
        <f t="shared" si="21"/>
        <v>I9.3</v>
      </c>
      <c r="R78" s="111" t="str">
        <f t="shared" si="17"/>
        <v>2101_27¶b31¶</v>
      </c>
    </row>
    <row r="79" spans="2:18" ht="14.25">
      <c r="B79" s="109">
        <v>77</v>
      </c>
      <c r="C79" s="110" t="s">
        <v>234</v>
      </c>
      <c r="D79" s="109"/>
      <c r="E79" s="78" t="s">
        <v>235</v>
      </c>
      <c r="F79" s="67" t="s">
        <v>236</v>
      </c>
      <c r="G79" s="67" t="s">
        <v>237</v>
      </c>
      <c r="H79" s="78" t="s">
        <v>84</v>
      </c>
      <c r="I79" s="67" t="s">
        <v>205</v>
      </c>
      <c r="J79" s="109"/>
      <c r="K79" s="109" t="s">
        <v>31</v>
      </c>
      <c r="L79" s="111" t="s">
        <v>32</v>
      </c>
      <c r="M79" s="111" t="s">
        <v>33</v>
      </c>
      <c r="N79" s="111" t="s">
        <v>187</v>
      </c>
      <c r="O79" s="111" t="str">
        <f t="shared" si="20"/>
        <v>-2A6</v>
      </c>
      <c r="P79" s="111">
        <v>13</v>
      </c>
      <c r="Q79" s="112" t="str">
        <f t="shared" si="21"/>
        <v>I9.4</v>
      </c>
      <c r="R79" s="111" t="str">
        <f t="shared" si="17"/>
        <v>2101_28¶b32¶</v>
      </c>
    </row>
    <row r="80" spans="2:18" ht="14.25">
      <c r="B80" s="109">
        <v>78</v>
      </c>
      <c r="C80" s="175" t="s">
        <v>238</v>
      </c>
      <c r="D80" s="176"/>
      <c r="E80" s="177" t="s">
        <v>1518</v>
      </c>
      <c r="F80" s="177" t="s">
        <v>1516</v>
      </c>
      <c r="G80" s="177">
        <v>20220420</v>
      </c>
      <c r="H80" s="176"/>
      <c r="I80" s="177"/>
      <c r="J80" s="109"/>
      <c r="K80" s="109" t="s">
        <v>31</v>
      </c>
      <c r="L80" s="111" t="s">
        <v>32</v>
      </c>
      <c r="M80" s="111" t="s">
        <v>33</v>
      </c>
      <c r="N80" s="111" t="s">
        <v>187</v>
      </c>
      <c r="O80" s="111" t="str">
        <f t="shared" si="20"/>
        <v>-2A6</v>
      </c>
      <c r="P80" s="111">
        <v>14</v>
      </c>
      <c r="Q80" s="112" t="str">
        <f t="shared" si="21"/>
        <v>I9.5</v>
      </c>
      <c r="R80" s="111" t="str">
        <f t="shared" si="17"/>
        <v>新增¶¶</v>
      </c>
    </row>
    <row r="81" spans="2:18" ht="14.25">
      <c r="B81" s="109">
        <v>79</v>
      </c>
      <c r="C81" s="175" t="s">
        <v>239</v>
      </c>
      <c r="D81" s="176"/>
      <c r="E81" s="177" t="s">
        <v>1518</v>
      </c>
      <c r="F81" s="177" t="s">
        <v>1517</v>
      </c>
      <c r="G81" s="177">
        <v>20220420</v>
      </c>
      <c r="H81" s="176"/>
      <c r="I81" s="177"/>
      <c r="J81" s="109"/>
      <c r="K81" s="109" t="s">
        <v>31</v>
      </c>
      <c r="L81" s="111" t="s">
        <v>32</v>
      </c>
      <c r="M81" s="111" t="s">
        <v>33</v>
      </c>
      <c r="N81" s="111" t="s">
        <v>187</v>
      </c>
      <c r="O81" s="111" t="str">
        <f t="shared" si="20"/>
        <v>-2A6</v>
      </c>
      <c r="P81" s="111">
        <v>15</v>
      </c>
      <c r="Q81" s="112" t="str">
        <f t="shared" si="21"/>
        <v>I9.6</v>
      </c>
      <c r="R81" s="111" t="str">
        <f t="shared" si="17"/>
        <v>新增¶¶</v>
      </c>
    </row>
    <row r="82" spans="2:18" ht="14.25">
      <c r="B82" s="109">
        <v>80</v>
      </c>
      <c r="C82" s="175" t="s">
        <v>240</v>
      </c>
      <c r="D82" s="176"/>
      <c r="E82" s="177" t="s">
        <v>1518</v>
      </c>
      <c r="F82" s="177" t="s">
        <v>1516</v>
      </c>
      <c r="G82" s="177">
        <v>20220420</v>
      </c>
      <c r="H82" s="176"/>
      <c r="I82" s="177"/>
      <c r="J82" s="109"/>
      <c r="K82" s="109" t="s">
        <v>31</v>
      </c>
      <c r="L82" s="111" t="s">
        <v>32</v>
      </c>
      <c r="M82" s="111" t="s">
        <v>33</v>
      </c>
      <c r="N82" s="111" t="s">
        <v>187</v>
      </c>
      <c r="O82" s="111" t="str">
        <f t="shared" si="20"/>
        <v>-2A6</v>
      </c>
      <c r="P82" s="111">
        <v>16</v>
      </c>
      <c r="Q82" s="112" t="str">
        <f t="shared" si="21"/>
        <v>I9.7</v>
      </c>
      <c r="R82" s="111" t="str">
        <f t="shared" si="17"/>
        <v>新增¶¶</v>
      </c>
    </row>
    <row r="83" spans="2:18" ht="14.25">
      <c r="B83" s="109">
        <v>81</v>
      </c>
      <c r="C83" s="175" t="s">
        <v>241</v>
      </c>
      <c r="D83" s="176"/>
      <c r="E83" s="177" t="s">
        <v>1518</v>
      </c>
      <c r="F83" s="177" t="s">
        <v>1517</v>
      </c>
      <c r="G83" s="177">
        <v>20220420</v>
      </c>
      <c r="H83" s="176"/>
      <c r="I83" s="177"/>
      <c r="J83" s="109"/>
      <c r="K83" s="109" t="s">
        <v>31</v>
      </c>
      <c r="L83" s="111" t="s">
        <v>32</v>
      </c>
      <c r="M83" s="111" t="s">
        <v>33</v>
      </c>
      <c r="N83" s="111" t="s">
        <v>242</v>
      </c>
      <c r="O83" s="111" t="str">
        <f t="shared" si="20"/>
        <v>-2A7</v>
      </c>
      <c r="P83" s="111">
        <v>1</v>
      </c>
      <c r="Q83" s="112" t="str">
        <f t="shared" si="21"/>
        <v>I10.0</v>
      </c>
      <c r="R83" s="111" t="str">
        <f t="shared" si="17"/>
        <v>新增¶¶</v>
      </c>
    </row>
    <row r="84" spans="2:18" ht="14.25">
      <c r="B84" s="109">
        <v>82</v>
      </c>
      <c r="C84" s="110" t="s">
        <v>243</v>
      </c>
      <c r="D84" s="109"/>
      <c r="E84" s="78"/>
      <c r="F84" s="78"/>
      <c r="G84" s="78"/>
      <c r="H84" s="109"/>
      <c r="I84" s="67"/>
      <c r="J84" s="109"/>
      <c r="K84" s="109" t="s">
        <v>31</v>
      </c>
      <c r="L84" s="111" t="s">
        <v>32</v>
      </c>
      <c r="M84" s="111" t="s">
        <v>33</v>
      </c>
      <c r="N84" s="111" t="s">
        <v>242</v>
      </c>
      <c r="O84" s="111" t="str">
        <f t="shared" si="20"/>
        <v>-2A7</v>
      </c>
      <c r="P84" s="111">
        <v>2</v>
      </c>
      <c r="Q84" s="112" t="str">
        <f t="shared" si="21"/>
        <v>I10.1</v>
      </c>
      <c r="R84" s="111" t="str">
        <f t="shared" si="17"/>
        <v>¶¶</v>
      </c>
    </row>
    <row r="85" spans="2:18" ht="14.25">
      <c r="B85" s="109">
        <v>83</v>
      </c>
      <c r="C85" s="110" t="s">
        <v>244</v>
      </c>
      <c r="D85" s="109"/>
      <c r="E85" s="78"/>
      <c r="F85" s="78"/>
      <c r="G85" s="78"/>
      <c r="H85" s="109"/>
      <c r="I85" s="67"/>
      <c r="J85" s="109"/>
      <c r="K85" s="109" t="s">
        <v>31</v>
      </c>
      <c r="L85" s="111" t="s">
        <v>32</v>
      </c>
      <c r="M85" s="111" t="s">
        <v>33</v>
      </c>
      <c r="N85" s="111" t="s">
        <v>242</v>
      </c>
      <c r="O85" s="111" t="str">
        <f t="shared" si="20"/>
        <v>-2A7</v>
      </c>
      <c r="P85" s="111">
        <v>3</v>
      </c>
      <c r="Q85" s="112" t="str">
        <f t="shared" si="21"/>
        <v>I10.2</v>
      </c>
      <c r="R85" s="111" t="str">
        <f t="shared" si="17"/>
        <v>¶¶</v>
      </c>
    </row>
    <row r="86" spans="2:18" ht="14.25">
      <c r="B86" s="109">
        <v>84</v>
      </c>
      <c r="C86" s="110" t="s">
        <v>245</v>
      </c>
      <c r="D86" s="109"/>
      <c r="E86" s="78"/>
      <c r="F86" s="78"/>
      <c r="G86" s="78"/>
      <c r="H86" s="109"/>
      <c r="I86" s="67"/>
      <c r="J86" s="109"/>
      <c r="K86" s="109" t="s">
        <v>31</v>
      </c>
      <c r="L86" s="111" t="s">
        <v>32</v>
      </c>
      <c r="M86" s="111" t="s">
        <v>33</v>
      </c>
      <c r="N86" s="111" t="s">
        <v>242</v>
      </c>
      <c r="O86" s="111" t="str">
        <f t="shared" si="20"/>
        <v>-2A7</v>
      </c>
      <c r="P86" s="111">
        <v>4</v>
      </c>
      <c r="Q86" s="112" t="str">
        <f t="shared" si="21"/>
        <v>I10.3</v>
      </c>
      <c r="R86" s="111" t="str">
        <f t="shared" si="17"/>
        <v>¶¶</v>
      </c>
    </row>
    <row r="87" spans="2:18" ht="14.25">
      <c r="B87" s="109">
        <v>85</v>
      </c>
      <c r="C87" s="110" t="s">
        <v>246</v>
      </c>
      <c r="D87" s="109"/>
      <c r="E87" s="78"/>
      <c r="F87" s="78"/>
      <c r="G87" s="78"/>
      <c r="H87" s="109"/>
      <c r="I87" s="67"/>
      <c r="J87" s="109"/>
      <c r="K87" s="109" t="s">
        <v>31</v>
      </c>
      <c r="L87" s="111" t="s">
        <v>32</v>
      </c>
      <c r="M87" s="111" t="s">
        <v>33</v>
      </c>
      <c r="N87" s="111" t="s">
        <v>242</v>
      </c>
      <c r="O87" s="111" t="str">
        <f t="shared" si="20"/>
        <v>-2A7</v>
      </c>
      <c r="P87" s="111">
        <v>5</v>
      </c>
      <c r="Q87" s="112" t="str">
        <f t="shared" si="21"/>
        <v>I10.4</v>
      </c>
      <c r="R87" s="111" t="str">
        <f t="shared" si="17"/>
        <v>¶¶</v>
      </c>
    </row>
    <row r="88" spans="2:18" ht="14.25">
      <c r="B88" s="109">
        <v>86</v>
      </c>
      <c r="C88" s="110" t="s">
        <v>247</v>
      </c>
      <c r="D88" s="109"/>
      <c r="E88" s="78"/>
      <c r="F88" s="78"/>
      <c r="G88" s="78"/>
      <c r="H88" s="109"/>
      <c r="I88" s="67"/>
      <c r="J88" s="109"/>
      <c r="K88" s="109" t="s">
        <v>31</v>
      </c>
      <c r="L88" s="111" t="s">
        <v>32</v>
      </c>
      <c r="M88" s="111" t="s">
        <v>33</v>
      </c>
      <c r="N88" s="111" t="s">
        <v>242</v>
      </c>
      <c r="O88" s="111" t="str">
        <f t="shared" si="20"/>
        <v>-2A7</v>
      </c>
      <c r="P88" s="111">
        <v>6</v>
      </c>
      <c r="Q88" s="112" t="str">
        <f t="shared" si="21"/>
        <v>I10.5</v>
      </c>
      <c r="R88" s="111" t="str">
        <f t="shared" si="17"/>
        <v>¶¶</v>
      </c>
    </row>
    <row r="89" spans="2:18" ht="14.25">
      <c r="B89" s="109">
        <v>87</v>
      </c>
      <c r="C89" s="110" t="s">
        <v>248</v>
      </c>
      <c r="D89" s="109"/>
      <c r="E89" s="78"/>
      <c r="F89" s="78"/>
      <c r="G89" s="78"/>
      <c r="H89" s="109"/>
      <c r="I89" s="67"/>
      <c r="J89" s="109"/>
      <c r="K89" s="109" t="s">
        <v>31</v>
      </c>
      <c r="L89" s="111" t="s">
        <v>32</v>
      </c>
      <c r="M89" s="111" t="s">
        <v>33</v>
      </c>
      <c r="N89" s="111" t="s">
        <v>242</v>
      </c>
      <c r="O89" s="111" t="str">
        <f t="shared" si="20"/>
        <v>-2A7</v>
      </c>
      <c r="P89" s="111">
        <v>7</v>
      </c>
      <c r="Q89" s="112" t="str">
        <f t="shared" si="21"/>
        <v>I10.6</v>
      </c>
      <c r="R89" s="111" t="str">
        <f t="shared" si="17"/>
        <v>¶¶</v>
      </c>
    </row>
    <row r="90" spans="2:18" ht="14.25">
      <c r="B90" s="109">
        <v>88</v>
      </c>
      <c r="C90" s="110" t="s">
        <v>249</v>
      </c>
      <c r="D90" s="109"/>
      <c r="E90" s="78"/>
      <c r="F90" s="78"/>
      <c r="G90" s="78"/>
      <c r="H90" s="109"/>
      <c r="I90" s="67"/>
      <c r="J90" s="109"/>
      <c r="K90" s="109" t="s">
        <v>31</v>
      </c>
      <c r="L90" s="111" t="s">
        <v>32</v>
      </c>
      <c r="M90" s="111" t="s">
        <v>33</v>
      </c>
      <c r="N90" s="111" t="s">
        <v>242</v>
      </c>
      <c r="O90" s="111" t="str">
        <f t="shared" si="20"/>
        <v>-2A7</v>
      </c>
      <c r="P90" s="111">
        <v>8</v>
      </c>
      <c r="Q90" s="112" t="str">
        <f t="shared" si="21"/>
        <v>I10.7</v>
      </c>
      <c r="R90" s="111" t="str">
        <f t="shared" si="17"/>
        <v>¶¶</v>
      </c>
    </row>
    <row r="91" spans="2:18" ht="14.25">
      <c r="B91" s="109">
        <v>89</v>
      </c>
      <c r="C91" s="110" t="s">
        <v>250</v>
      </c>
      <c r="D91" s="109"/>
      <c r="E91" s="78"/>
      <c r="F91" s="78"/>
      <c r="G91" s="78"/>
      <c r="H91" s="109"/>
      <c r="I91" s="67"/>
      <c r="J91" s="109"/>
      <c r="K91" s="109" t="s">
        <v>31</v>
      </c>
      <c r="L91" s="111" t="s">
        <v>32</v>
      </c>
      <c r="M91" s="111" t="s">
        <v>33</v>
      </c>
      <c r="N91" s="111" t="s">
        <v>242</v>
      </c>
      <c r="O91" s="111" t="str">
        <f t="shared" si="20"/>
        <v>-2A7</v>
      </c>
      <c r="P91" s="111">
        <v>9</v>
      </c>
      <c r="Q91" s="112" t="str">
        <f t="shared" si="21"/>
        <v>I11.0</v>
      </c>
      <c r="R91" s="111" t="str">
        <f t="shared" si="17"/>
        <v>¶¶</v>
      </c>
    </row>
    <row r="92" spans="2:18" ht="14.25">
      <c r="B92" s="109">
        <v>90</v>
      </c>
      <c r="C92" s="110" t="s">
        <v>251</v>
      </c>
      <c r="D92" s="109"/>
      <c r="E92" s="78"/>
      <c r="F92" s="78"/>
      <c r="G92" s="78"/>
      <c r="H92" s="109"/>
      <c r="I92" s="67"/>
      <c r="J92" s="109"/>
      <c r="K92" s="109" t="s">
        <v>31</v>
      </c>
      <c r="L92" s="111" t="s">
        <v>32</v>
      </c>
      <c r="M92" s="111" t="s">
        <v>33</v>
      </c>
      <c r="N92" s="111" t="s">
        <v>242</v>
      </c>
      <c r="O92" s="111" t="str">
        <f t="shared" si="20"/>
        <v>-2A7</v>
      </c>
      <c r="P92" s="111">
        <v>10</v>
      </c>
      <c r="Q92" s="112" t="str">
        <f t="shared" si="21"/>
        <v>I11.1</v>
      </c>
      <c r="R92" s="111" t="str">
        <f t="shared" si="17"/>
        <v>¶¶</v>
      </c>
    </row>
    <row r="93" spans="2:18" ht="14.25">
      <c r="B93" s="109">
        <v>91</v>
      </c>
      <c r="C93" s="110" t="s">
        <v>252</v>
      </c>
      <c r="D93" s="109"/>
      <c r="E93" s="78"/>
      <c r="F93" s="177"/>
      <c r="G93" s="78"/>
      <c r="H93" s="109"/>
      <c r="I93" s="67"/>
      <c r="J93" s="109"/>
      <c r="K93" s="109" t="s">
        <v>31</v>
      </c>
      <c r="L93" s="111" t="s">
        <v>32</v>
      </c>
      <c r="M93" s="111" t="s">
        <v>33</v>
      </c>
      <c r="N93" s="111" t="s">
        <v>242</v>
      </c>
      <c r="O93" s="111" t="str">
        <f t="shared" si="20"/>
        <v>-2A7</v>
      </c>
      <c r="P93" s="111">
        <v>11</v>
      </c>
      <c r="Q93" s="112" t="str">
        <f t="shared" si="21"/>
        <v>I11.2</v>
      </c>
      <c r="R93" s="111" t="str">
        <f t="shared" si="17"/>
        <v>¶¶</v>
      </c>
    </row>
    <row r="94" spans="2:18" ht="14.25">
      <c r="B94" s="109">
        <v>92</v>
      </c>
      <c r="C94" s="110" t="s">
        <v>253</v>
      </c>
      <c r="D94" s="109"/>
      <c r="E94" s="78"/>
      <c r="F94" s="78"/>
      <c r="G94" s="78"/>
      <c r="H94" s="109"/>
      <c r="I94" s="67"/>
      <c r="J94" s="109"/>
      <c r="K94" s="109" t="s">
        <v>31</v>
      </c>
      <c r="L94" s="111" t="s">
        <v>32</v>
      </c>
      <c r="M94" s="111" t="s">
        <v>33</v>
      </c>
      <c r="N94" s="111" t="s">
        <v>242</v>
      </c>
      <c r="O94" s="111" t="str">
        <f t="shared" si="20"/>
        <v>-2A7</v>
      </c>
      <c r="P94" s="111">
        <v>12</v>
      </c>
      <c r="Q94" s="112" t="str">
        <f t="shared" si="21"/>
        <v>I11.3</v>
      </c>
      <c r="R94" s="111" t="str">
        <f t="shared" si="17"/>
        <v>¶¶</v>
      </c>
    </row>
    <row r="95" spans="2:18" ht="14.25">
      <c r="B95" s="109">
        <v>93</v>
      </c>
      <c r="C95" s="110" t="s">
        <v>254</v>
      </c>
      <c r="D95" s="109"/>
      <c r="E95" s="78"/>
      <c r="F95" s="78"/>
      <c r="G95" s="78"/>
      <c r="H95" s="109"/>
      <c r="I95" s="67"/>
      <c r="J95" s="109"/>
      <c r="K95" s="109" t="s">
        <v>31</v>
      </c>
      <c r="L95" s="111" t="s">
        <v>32</v>
      </c>
      <c r="M95" s="111" t="s">
        <v>33</v>
      </c>
      <c r="N95" s="111" t="s">
        <v>242</v>
      </c>
      <c r="O95" s="111" t="str">
        <f t="shared" si="20"/>
        <v>-2A7</v>
      </c>
      <c r="P95" s="111">
        <v>13</v>
      </c>
      <c r="Q95" s="112" t="str">
        <f t="shared" si="21"/>
        <v>I11.4</v>
      </c>
      <c r="R95" s="111" t="str">
        <f t="shared" si="17"/>
        <v>¶¶</v>
      </c>
    </row>
    <row r="96" spans="2:18" ht="14.25">
      <c r="B96" s="109">
        <v>94</v>
      </c>
      <c r="C96" s="110" t="s">
        <v>255</v>
      </c>
      <c r="D96" s="109"/>
      <c r="E96" s="78"/>
      <c r="F96" s="78"/>
      <c r="G96" s="78"/>
      <c r="H96" s="109"/>
      <c r="I96" s="67"/>
      <c r="J96" s="109"/>
      <c r="K96" s="109" t="s">
        <v>31</v>
      </c>
      <c r="L96" s="111" t="s">
        <v>32</v>
      </c>
      <c r="M96" s="111" t="s">
        <v>33</v>
      </c>
      <c r="N96" s="111" t="s">
        <v>242</v>
      </c>
      <c r="O96" s="111" t="str">
        <f t="shared" si="20"/>
        <v>-2A7</v>
      </c>
      <c r="P96" s="111">
        <v>14</v>
      </c>
      <c r="Q96" s="112" t="str">
        <f t="shared" si="21"/>
        <v>I11.5</v>
      </c>
      <c r="R96" s="111" t="str">
        <f t="shared" si="17"/>
        <v>¶¶</v>
      </c>
    </row>
    <row r="97" spans="2:18" ht="14.25">
      <c r="B97" s="109">
        <v>95</v>
      </c>
      <c r="C97" s="110" t="s">
        <v>256</v>
      </c>
      <c r="D97" s="109"/>
      <c r="E97" s="78"/>
      <c r="F97" s="78"/>
      <c r="G97" s="78"/>
      <c r="H97" s="109"/>
      <c r="I97" s="67"/>
      <c r="J97" s="109"/>
      <c r="K97" s="109" t="s">
        <v>31</v>
      </c>
      <c r="L97" s="111" t="s">
        <v>32</v>
      </c>
      <c r="M97" s="111" t="s">
        <v>33</v>
      </c>
      <c r="N97" s="111" t="s">
        <v>242</v>
      </c>
      <c r="O97" s="111" t="str">
        <f t="shared" si="20"/>
        <v>-2A7</v>
      </c>
      <c r="P97" s="111">
        <v>15</v>
      </c>
      <c r="Q97" s="112" t="str">
        <f t="shared" si="21"/>
        <v>I11.6</v>
      </c>
      <c r="R97" s="111" t="str">
        <f t="shared" si="17"/>
        <v>¶¶</v>
      </c>
    </row>
    <row r="98" spans="2:18" ht="14.25">
      <c r="B98" s="109">
        <v>96</v>
      </c>
      <c r="C98" s="110" t="s">
        <v>257</v>
      </c>
      <c r="D98" s="109"/>
      <c r="E98" s="78"/>
      <c r="F98" s="78"/>
      <c r="G98" s="78"/>
      <c r="H98" s="109"/>
      <c r="I98" s="67"/>
      <c r="J98" s="109"/>
      <c r="K98" s="109" t="s">
        <v>31</v>
      </c>
      <c r="L98" s="111" t="s">
        <v>32</v>
      </c>
      <c r="M98" s="111" t="s">
        <v>33</v>
      </c>
      <c r="N98" s="111" t="s">
        <v>242</v>
      </c>
      <c r="O98" s="111" t="str">
        <f t="shared" si="20"/>
        <v>-2A7</v>
      </c>
      <c r="P98" s="111">
        <v>16</v>
      </c>
      <c r="Q98" s="112" t="str">
        <f t="shared" si="21"/>
        <v>I11.7</v>
      </c>
      <c r="R98" s="111" t="str">
        <f t="shared" si="17"/>
        <v>¶¶</v>
      </c>
    </row>
    <row r="99" spans="2:18">
      <c r="B99" s="113"/>
      <c r="C99" s="114"/>
      <c r="D99" s="115"/>
      <c r="E99" s="109"/>
      <c r="F99" s="109"/>
      <c r="G99" s="109"/>
      <c r="H99" s="109"/>
      <c r="I99" s="109"/>
      <c r="J99" s="109"/>
      <c r="K99" s="119"/>
      <c r="L99" s="111"/>
      <c r="M99" s="111"/>
      <c r="N99" s="111"/>
      <c r="O99" s="111"/>
      <c r="P99" s="111"/>
      <c r="Q99" s="112"/>
      <c r="R99" s="111"/>
    </row>
    <row r="100" spans="2:18" ht="19.149999999999999" customHeight="1">
      <c r="B100" s="160" t="s">
        <v>258</v>
      </c>
      <c r="C100" s="161"/>
      <c r="E100" s="109"/>
      <c r="F100" s="109"/>
      <c r="G100" s="109"/>
      <c r="H100" s="109"/>
      <c r="I100" s="109"/>
      <c r="J100" s="109"/>
    </row>
    <row r="101" spans="2:18">
      <c r="B101" s="109" t="s">
        <v>19</v>
      </c>
      <c r="C101" s="110" t="s">
        <v>20</v>
      </c>
      <c r="D101" s="109" t="s">
        <v>21</v>
      </c>
      <c r="E101" s="109" t="s">
        <v>22</v>
      </c>
      <c r="F101" s="109" t="s">
        <v>23</v>
      </c>
      <c r="G101" s="109" t="s">
        <v>23</v>
      </c>
      <c r="H101" s="109" t="s">
        <v>24</v>
      </c>
      <c r="I101" s="109" t="s">
        <v>259</v>
      </c>
      <c r="J101" s="109" t="s">
        <v>260</v>
      </c>
      <c r="K101" s="107" t="s">
        <v>25</v>
      </c>
    </row>
    <row r="102" spans="2:18" ht="14.25">
      <c r="B102" s="109">
        <v>1</v>
      </c>
      <c r="C102" s="110" t="s">
        <v>261</v>
      </c>
      <c r="D102" s="109"/>
      <c r="E102" s="78">
        <v>1007</v>
      </c>
      <c r="F102" s="78" t="s">
        <v>43</v>
      </c>
      <c r="G102" s="78" t="s">
        <v>43</v>
      </c>
      <c r="H102" s="109" t="s">
        <v>262</v>
      </c>
      <c r="I102" s="109"/>
      <c r="J102" s="109" t="s">
        <v>263</v>
      </c>
      <c r="K102" s="109" t="s">
        <v>31</v>
      </c>
      <c r="L102" s="111" t="s">
        <v>32</v>
      </c>
      <c r="M102" s="1" t="s">
        <v>33</v>
      </c>
      <c r="N102" s="111" t="s">
        <v>264</v>
      </c>
      <c r="O102" s="111" t="str">
        <f t="shared" ref="O102" si="22">M102&amp;N102</f>
        <v>-2AI1</v>
      </c>
      <c r="P102" s="111">
        <f t="shared" ref="P102" si="23">A102</f>
        <v>0</v>
      </c>
      <c r="Q102" s="1" t="str">
        <f t="shared" ref="Q102" si="24">C102</f>
        <v>PIW100</v>
      </c>
      <c r="R102" s="111" t="str">
        <f t="shared" ref="R102" si="25">G102&amp;L102&amp;E102&amp;H102</f>
        <v>提升机¶1007电流检测</v>
      </c>
    </row>
    <row r="103" spans="2:18" ht="14.25">
      <c r="B103" s="109">
        <v>2</v>
      </c>
      <c r="C103" s="110" t="s">
        <v>265</v>
      </c>
      <c r="D103" s="109"/>
      <c r="E103" s="78">
        <v>2020</v>
      </c>
      <c r="F103" s="78" t="s">
        <v>43</v>
      </c>
      <c r="G103" s="78" t="s">
        <v>43</v>
      </c>
      <c r="H103" s="109" t="s">
        <v>262</v>
      </c>
      <c r="I103" s="109"/>
      <c r="J103" s="109" t="s">
        <v>263</v>
      </c>
      <c r="K103" s="109" t="s">
        <v>31</v>
      </c>
      <c r="L103" s="111" t="s">
        <v>32</v>
      </c>
      <c r="M103" s="1" t="s">
        <v>33</v>
      </c>
      <c r="N103" s="111" t="s">
        <v>264</v>
      </c>
      <c r="O103" s="111" t="str">
        <f>M103&amp;N103</f>
        <v>-2AI1</v>
      </c>
      <c r="P103" s="111">
        <f>A103</f>
        <v>0</v>
      </c>
      <c r="Q103" s="1" t="str">
        <f>C103</f>
        <v>PIW102</v>
      </c>
      <c r="R103" s="111" t="str">
        <f>G103&amp;L103&amp;E103&amp;H103</f>
        <v>提升机¶2020电流检测</v>
      </c>
    </row>
    <row r="104" spans="2:18" ht="14.25">
      <c r="B104" s="109">
        <v>3</v>
      </c>
      <c r="C104" s="110" t="s">
        <v>266</v>
      </c>
      <c r="D104" s="109"/>
      <c r="E104" s="78">
        <v>2028</v>
      </c>
      <c r="F104" s="78" t="s">
        <v>73</v>
      </c>
      <c r="G104" s="78" t="s">
        <v>73</v>
      </c>
      <c r="H104" s="109" t="s">
        <v>262</v>
      </c>
      <c r="I104" s="109"/>
      <c r="J104" s="109" t="s">
        <v>263</v>
      </c>
      <c r="K104" s="109" t="s">
        <v>31</v>
      </c>
      <c r="L104" s="111" t="s">
        <v>32</v>
      </c>
      <c r="M104" s="1" t="s">
        <v>33</v>
      </c>
      <c r="N104" s="111" t="s">
        <v>264</v>
      </c>
      <c r="O104" s="111" t="str">
        <f>M104&amp;N104</f>
        <v>-2AI1</v>
      </c>
      <c r="P104" s="111">
        <f>A104</f>
        <v>0</v>
      </c>
      <c r="Q104" s="1" t="str">
        <f>C104</f>
        <v>PIW104</v>
      </c>
      <c r="R104" s="111" t="str">
        <f>G104&amp;L104&amp;E104&amp;H104</f>
        <v>混合机¶2028电流检测</v>
      </c>
    </row>
    <row r="105" spans="2:18" ht="14.25">
      <c r="B105" s="109">
        <v>4</v>
      </c>
      <c r="C105" s="110" t="s">
        <v>267</v>
      </c>
      <c r="D105" s="109"/>
      <c r="E105" s="78">
        <v>3008</v>
      </c>
      <c r="F105" s="78" t="s">
        <v>73</v>
      </c>
      <c r="G105" s="78" t="s">
        <v>73</v>
      </c>
      <c r="H105" s="109" t="s">
        <v>262</v>
      </c>
      <c r="I105" s="109"/>
      <c r="J105" s="109" t="s">
        <v>263</v>
      </c>
      <c r="K105" s="109" t="s">
        <v>31</v>
      </c>
      <c r="L105" s="111" t="s">
        <v>32</v>
      </c>
      <c r="M105" s="1" t="s">
        <v>33</v>
      </c>
      <c r="N105" s="111" t="s">
        <v>264</v>
      </c>
      <c r="O105" s="111" t="str">
        <f>M105&amp;N105</f>
        <v>-2AI1</v>
      </c>
      <c r="P105" s="111">
        <f>A105</f>
        <v>0</v>
      </c>
      <c r="Q105" s="1" t="str">
        <f>C105</f>
        <v>PIW106</v>
      </c>
      <c r="R105" s="111" t="str">
        <f>G105&amp;L105&amp;E105&amp;H105</f>
        <v>混合机¶3008电流检测</v>
      </c>
    </row>
    <row r="106" spans="2:18">
      <c r="B106" s="109"/>
      <c r="C106" s="110"/>
      <c r="D106" s="109"/>
      <c r="E106" s="116"/>
      <c r="F106" s="116"/>
      <c r="G106" s="116"/>
      <c r="H106" s="109"/>
      <c r="I106" s="109"/>
      <c r="J106" s="109"/>
      <c r="K106" s="107"/>
      <c r="L106" s="111"/>
      <c r="M106" s="111"/>
      <c r="N106" s="111"/>
      <c r="O106" s="111"/>
      <c r="P106" s="111"/>
      <c r="Q106" s="112"/>
      <c r="R106" s="111"/>
    </row>
    <row r="107" spans="2:18">
      <c r="B107" s="107" t="s">
        <v>268</v>
      </c>
      <c r="C107" s="117"/>
      <c r="D107" s="118"/>
      <c r="E107" s="109"/>
      <c r="F107" s="109"/>
      <c r="G107" s="109"/>
      <c r="H107" s="118"/>
      <c r="I107" s="109"/>
      <c r="J107" s="118"/>
      <c r="K107" s="118"/>
      <c r="N107" s="111"/>
      <c r="O107" s="111"/>
      <c r="P107" s="111"/>
    </row>
    <row r="108" spans="2:18">
      <c r="B108" s="107" t="s">
        <v>19</v>
      </c>
      <c r="C108" s="108" t="s">
        <v>20</v>
      </c>
      <c r="D108" s="107" t="s">
        <v>21</v>
      </c>
      <c r="E108" s="107" t="s">
        <v>22</v>
      </c>
      <c r="F108" s="107" t="s">
        <v>23</v>
      </c>
      <c r="G108" s="107" t="s">
        <v>23</v>
      </c>
      <c r="H108" s="107" t="s">
        <v>24</v>
      </c>
      <c r="I108" s="107" t="s">
        <v>23</v>
      </c>
      <c r="J108" s="107" t="s">
        <v>24</v>
      </c>
      <c r="K108" s="107" t="s">
        <v>25</v>
      </c>
      <c r="N108" s="111"/>
      <c r="O108" s="111"/>
      <c r="P108" s="111"/>
    </row>
    <row r="109" spans="2:18" ht="14.25">
      <c r="B109" s="109">
        <v>1</v>
      </c>
      <c r="C109" s="110" t="s">
        <v>269</v>
      </c>
      <c r="D109" s="107"/>
      <c r="E109" s="78">
        <v>1005</v>
      </c>
      <c r="F109" s="78" t="s">
        <v>27</v>
      </c>
      <c r="G109" s="78" t="s">
        <v>27</v>
      </c>
      <c r="H109" s="109" t="s">
        <v>270</v>
      </c>
      <c r="I109" s="67" t="s">
        <v>29</v>
      </c>
      <c r="J109" s="109" t="s">
        <v>271</v>
      </c>
      <c r="K109" s="109" t="s">
        <v>31</v>
      </c>
      <c r="L109" s="111" t="s">
        <v>32</v>
      </c>
      <c r="M109" s="111" t="s">
        <v>33</v>
      </c>
      <c r="N109" s="111" t="s">
        <v>272</v>
      </c>
      <c r="O109" s="111" t="str">
        <f t="shared" ref="O109" si="26">M109&amp;N109</f>
        <v>-2A8</v>
      </c>
      <c r="P109" s="111">
        <v>1</v>
      </c>
      <c r="Q109" s="112" t="str">
        <f t="shared" ref="Q109" si="27">C109</f>
        <v>Q0.0</v>
      </c>
      <c r="R109" s="111" t="str">
        <f>E109&amp;L109&amp;I109&amp;L109&amp;J109</f>
        <v>1005¶Fan¶Start</v>
      </c>
    </row>
    <row r="110" spans="2:18" ht="14.25">
      <c r="B110" s="109">
        <v>2</v>
      </c>
      <c r="C110" s="110" t="s">
        <v>273</v>
      </c>
      <c r="D110" s="109"/>
      <c r="E110" s="78">
        <v>1005</v>
      </c>
      <c r="F110" s="78" t="s">
        <v>274</v>
      </c>
      <c r="G110" s="78" t="s">
        <v>274</v>
      </c>
      <c r="H110" s="109" t="s">
        <v>270</v>
      </c>
      <c r="I110" s="67" t="s">
        <v>275</v>
      </c>
      <c r="J110" s="109" t="s">
        <v>271</v>
      </c>
      <c r="K110" s="109" t="s">
        <v>31</v>
      </c>
      <c r="L110" s="111" t="s">
        <v>32</v>
      </c>
      <c r="M110" s="111" t="s">
        <v>33</v>
      </c>
      <c r="N110" s="111" t="s">
        <v>272</v>
      </c>
      <c r="O110" s="111" t="str">
        <f t="shared" ref="O110:O141" si="28">M110&amp;N110</f>
        <v>-2A8</v>
      </c>
      <c r="P110" s="111">
        <v>2</v>
      </c>
      <c r="Q110" s="112" t="str">
        <f t="shared" ref="Q110:Q141" si="29">C110</f>
        <v>Q0.1</v>
      </c>
      <c r="R110" s="111" t="str">
        <f t="shared" ref="R110" si="30">E110&amp;L110&amp;I110&amp;L110&amp;J110</f>
        <v>1005¶Pulse controller¶Start</v>
      </c>
    </row>
    <row r="111" spans="2:18" ht="14.25">
      <c r="B111" s="109">
        <v>3</v>
      </c>
      <c r="C111" s="110" t="s">
        <v>276</v>
      </c>
      <c r="D111" s="109"/>
      <c r="E111" s="78">
        <v>1006</v>
      </c>
      <c r="F111" s="78" t="s">
        <v>36</v>
      </c>
      <c r="G111" s="78" t="s">
        <v>36</v>
      </c>
      <c r="H111" s="109" t="s">
        <v>270</v>
      </c>
      <c r="I111" s="67" t="s">
        <v>65</v>
      </c>
      <c r="J111" s="109" t="s">
        <v>271</v>
      </c>
      <c r="K111" s="109" t="s">
        <v>31</v>
      </c>
      <c r="L111" s="111" t="s">
        <v>32</v>
      </c>
      <c r="M111" s="111" t="s">
        <v>33</v>
      </c>
      <c r="N111" s="111" t="s">
        <v>272</v>
      </c>
      <c r="O111" s="111" t="str">
        <f t="shared" si="28"/>
        <v>-2A8</v>
      </c>
      <c r="P111" s="111">
        <v>3</v>
      </c>
      <c r="Q111" s="112" t="str">
        <f t="shared" si="29"/>
        <v>Q0.2</v>
      </c>
      <c r="R111" s="111" t="str">
        <f t="shared" ref="R111:R141" si="31">E111&amp;L111&amp;I111&amp;L111&amp;J111</f>
        <v>1006¶conveyor¶Start</v>
      </c>
    </row>
    <row r="112" spans="2:18" ht="14.25">
      <c r="B112" s="109">
        <v>4</v>
      </c>
      <c r="C112" s="110" t="s">
        <v>277</v>
      </c>
      <c r="D112" s="109"/>
      <c r="E112" s="78">
        <v>1008</v>
      </c>
      <c r="F112" s="78" t="s">
        <v>27</v>
      </c>
      <c r="G112" s="78" t="s">
        <v>27</v>
      </c>
      <c r="H112" s="109" t="s">
        <v>270</v>
      </c>
      <c r="I112" s="67" t="s">
        <v>29</v>
      </c>
      <c r="J112" s="109" t="s">
        <v>271</v>
      </c>
      <c r="K112" s="109" t="s">
        <v>31</v>
      </c>
      <c r="L112" s="111" t="s">
        <v>32</v>
      </c>
      <c r="M112" s="111" t="s">
        <v>33</v>
      </c>
      <c r="N112" s="111" t="s">
        <v>272</v>
      </c>
      <c r="O112" s="111" t="str">
        <f t="shared" si="28"/>
        <v>-2A8</v>
      </c>
      <c r="P112" s="111">
        <v>4</v>
      </c>
      <c r="Q112" s="112" t="str">
        <f t="shared" si="29"/>
        <v>Q0.3</v>
      </c>
      <c r="R112" s="111" t="str">
        <f t="shared" si="31"/>
        <v>1008¶Fan¶Start</v>
      </c>
    </row>
    <row r="113" spans="2:18" ht="14.25">
      <c r="B113" s="109">
        <v>5</v>
      </c>
      <c r="C113" s="110" t="s">
        <v>278</v>
      </c>
      <c r="D113" s="109"/>
      <c r="E113" s="78">
        <v>1008</v>
      </c>
      <c r="F113" s="78" t="s">
        <v>274</v>
      </c>
      <c r="G113" s="78" t="s">
        <v>274</v>
      </c>
      <c r="H113" s="109" t="s">
        <v>270</v>
      </c>
      <c r="I113" s="67" t="s">
        <v>275</v>
      </c>
      <c r="J113" s="109" t="s">
        <v>271</v>
      </c>
      <c r="K113" s="109" t="s">
        <v>31</v>
      </c>
      <c r="L113" s="111" t="s">
        <v>32</v>
      </c>
      <c r="M113" s="111" t="s">
        <v>33</v>
      </c>
      <c r="N113" s="111" t="s">
        <v>272</v>
      </c>
      <c r="O113" s="111" t="str">
        <f t="shared" si="28"/>
        <v>-2A8</v>
      </c>
      <c r="P113" s="111">
        <v>5</v>
      </c>
      <c r="Q113" s="112" t="str">
        <f t="shared" si="29"/>
        <v>Q0.4</v>
      </c>
      <c r="R113" s="111" t="str">
        <f t="shared" si="31"/>
        <v>1008¶Pulse controller¶Start</v>
      </c>
    </row>
    <row r="114" spans="2:18" ht="14.25">
      <c r="B114" s="109">
        <v>6</v>
      </c>
      <c r="C114" s="110" t="s">
        <v>279</v>
      </c>
      <c r="D114" s="109"/>
      <c r="E114" s="78">
        <v>1007</v>
      </c>
      <c r="F114" s="78" t="s">
        <v>43</v>
      </c>
      <c r="G114" s="78" t="s">
        <v>43</v>
      </c>
      <c r="H114" s="109" t="s">
        <v>270</v>
      </c>
      <c r="I114" s="67" t="s">
        <v>44</v>
      </c>
      <c r="J114" s="109" t="s">
        <v>271</v>
      </c>
      <c r="K114" s="109" t="s">
        <v>31</v>
      </c>
      <c r="L114" s="111" t="s">
        <v>32</v>
      </c>
      <c r="M114" s="111" t="s">
        <v>33</v>
      </c>
      <c r="N114" s="111" t="s">
        <v>272</v>
      </c>
      <c r="O114" s="111" t="str">
        <f t="shared" si="28"/>
        <v>-2A8</v>
      </c>
      <c r="P114" s="111">
        <v>6</v>
      </c>
      <c r="Q114" s="112" t="str">
        <f t="shared" si="29"/>
        <v>Q0.5</v>
      </c>
      <c r="R114" s="111" t="str">
        <f t="shared" si="31"/>
        <v>1007¶Elevator¶Start</v>
      </c>
    </row>
    <row r="115" spans="2:18" ht="14.25">
      <c r="B115" s="109">
        <v>7</v>
      </c>
      <c r="C115" s="110" t="s">
        <v>280</v>
      </c>
      <c r="D115" s="109"/>
      <c r="E115" s="78">
        <v>1011</v>
      </c>
      <c r="F115" s="78" t="s">
        <v>27</v>
      </c>
      <c r="G115" s="78" t="s">
        <v>27</v>
      </c>
      <c r="H115" s="109" t="s">
        <v>270</v>
      </c>
      <c r="I115" s="67" t="s">
        <v>29</v>
      </c>
      <c r="J115" s="109" t="s">
        <v>271</v>
      </c>
      <c r="K115" s="109" t="s">
        <v>31</v>
      </c>
      <c r="L115" s="111" t="s">
        <v>32</v>
      </c>
      <c r="M115" s="111" t="s">
        <v>33</v>
      </c>
      <c r="N115" s="111" t="s">
        <v>272</v>
      </c>
      <c r="O115" s="111" t="str">
        <f t="shared" si="28"/>
        <v>-2A8</v>
      </c>
      <c r="P115" s="111">
        <v>7</v>
      </c>
      <c r="Q115" s="112" t="str">
        <f t="shared" si="29"/>
        <v>Q0.6</v>
      </c>
      <c r="R115" s="111" t="str">
        <f t="shared" si="31"/>
        <v>1011¶Fan¶Start</v>
      </c>
    </row>
    <row r="116" spans="2:18" ht="14.25">
      <c r="B116" s="109">
        <v>8</v>
      </c>
      <c r="C116" s="110" t="s">
        <v>281</v>
      </c>
      <c r="D116" s="109"/>
      <c r="E116" s="78">
        <v>1011</v>
      </c>
      <c r="F116" s="78" t="s">
        <v>274</v>
      </c>
      <c r="G116" s="78" t="s">
        <v>274</v>
      </c>
      <c r="H116" s="109" t="s">
        <v>270</v>
      </c>
      <c r="I116" s="67" t="s">
        <v>275</v>
      </c>
      <c r="J116" s="109" t="s">
        <v>271</v>
      </c>
      <c r="K116" s="109" t="s">
        <v>31</v>
      </c>
      <c r="L116" s="111" t="s">
        <v>32</v>
      </c>
      <c r="M116" s="111" t="s">
        <v>33</v>
      </c>
      <c r="N116" s="111" t="s">
        <v>272</v>
      </c>
      <c r="O116" s="111" t="str">
        <f t="shared" si="28"/>
        <v>-2A8</v>
      </c>
      <c r="P116" s="111">
        <v>8</v>
      </c>
      <c r="Q116" s="112" t="str">
        <f t="shared" si="29"/>
        <v>Q0.7</v>
      </c>
      <c r="R116" s="111" t="str">
        <f t="shared" si="31"/>
        <v>1011¶Pulse controller¶Start</v>
      </c>
    </row>
    <row r="117" spans="2:18" ht="14.25">
      <c r="B117" s="109">
        <v>9</v>
      </c>
      <c r="C117" s="110" t="s">
        <v>282</v>
      </c>
      <c r="D117" s="109"/>
      <c r="E117" s="78">
        <v>1010</v>
      </c>
      <c r="F117" s="78" t="s">
        <v>48</v>
      </c>
      <c r="G117" s="78" t="s">
        <v>48</v>
      </c>
      <c r="H117" s="109" t="s">
        <v>270</v>
      </c>
      <c r="I117" s="67" t="s">
        <v>49</v>
      </c>
      <c r="J117" s="109" t="s">
        <v>271</v>
      </c>
      <c r="K117" s="109" t="s">
        <v>31</v>
      </c>
      <c r="L117" s="111" t="s">
        <v>32</v>
      </c>
      <c r="M117" s="111" t="s">
        <v>33</v>
      </c>
      <c r="N117" s="111" t="s">
        <v>272</v>
      </c>
      <c r="O117" s="111" t="str">
        <f t="shared" si="28"/>
        <v>-2A8</v>
      </c>
      <c r="P117" s="111">
        <v>9</v>
      </c>
      <c r="Q117" s="112" t="str">
        <f t="shared" si="29"/>
        <v>Q1.0</v>
      </c>
      <c r="R117" s="111" t="str">
        <f t="shared" si="31"/>
        <v>1010¶precleaner¶Start</v>
      </c>
    </row>
    <row r="118" spans="2:18" ht="14.25">
      <c r="B118" s="109">
        <v>10</v>
      </c>
      <c r="C118" s="110" t="s">
        <v>283</v>
      </c>
      <c r="D118" s="109"/>
      <c r="E118" s="78">
        <v>1013</v>
      </c>
      <c r="F118" s="78" t="s">
        <v>52</v>
      </c>
      <c r="G118" s="78" t="s">
        <v>52</v>
      </c>
      <c r="H118" s="109" t="s">
        <v>270</v>
      </c>
      <c r="I118" s="67" t="s">
        <v>53</v>
      </c>
      <c r="J118" s="109" t="s">
        <v>271</v>
      </c>
      <c r="K118" s="109" t="s">
        <v>31</v>
      </c>
      <c r="L118" s="111" t="s">
        <v>32</v>
      </c>
      <c r="M118" s="111" t="s">
        <v>33</v>
      </c>
      <c r="N118" s="111" t="s">
        <v>272</v>
      </c>
      <c r="O118" s="111" t="str">
        <f t="shared" si="28"/>
        <v>-2A8</v>
      </c>
      <c r="P118" s="111">
        <v>10</v>
      </c>
      <c r="Q118" s="112" t="str">
        <f t="shared" si="29"/>
        <v>Q1.1</v>
      </c>
      <c r="R118" s="111" t="str">
        <f t="shared" si="31"/>
        <v>1013¶distributor¶Start</v>
      </c>
    </row>
    <row r="119" spans="2:18" ht="14.25">
      <c r="B119" s="109">
        <v>11</v>
      </c>
      <c r="C119" s="110" t="s">
        <v>284</v>
      </c>
      <c r="D119" s="109"/>
      <c r="E119" s="78" t="s">
        <v>55</v>
      </c>
      <c r="F119" s="78" t="s">
        <v>27</v>
      </c>
      <c r="G119" s="78" t="s">
        <v>27</v>
      </c>
      <c r="H119" s="109" t="s">
        <v>270</v>
      </c>
      <c r="I119" s="67" t="s">
        <v>29</v>
      </c>
      <c r="J119" s="109" t="s">
        <v>271</v>
      </c>
      <c r="K119" s="109" t="s">
        <v>31</v>
      </c>
      <c r="L119" s="111" t="s">
        <v>32</v>
      </c>
      <c r="M119" s="111" t="s">
        <v>33</v>
      </c>
      <c r="N119" s="111" t="s">
        <v>272</v>
      </c>
      <c r="O119" s="111" t="str">
        <f t="shared" si="28"/>
        <v>-2A8</v>
      </c>
      <c r="P119" s="111">
        <v>11</v>
      </c>
      <c r="Q119" s="112" t="str">
        <f t="shared" si="29"/>
        <v>Q1.2</v>
      </c>
      <c r="R119" s="111" t="str">
        <f t="shared" si="31"/>
        <v>2001_1¶Fan¶Start</v>
      </c>
    </row>
    <row r="120" spans="2:18" ht="14.25">
      <c r="B120" s="109">
        <v>12</v>
      </c>
      <c r="C120" s="110" t="s">
        <v>285</v>
      </c>
      <c r="D120" s="109"/>
      <c r="E120" s="78" t="s">
        <v>55</v>
      </c>
      <c r="F120" s="78" t="s">
        <v>274</v>
      </c>
      <c r="G120" s="78" t="s">
        <v>274</v>
      </c>
      <c r="H120" s="109" t="s">
        <v>270</v>
      </c>
      <c r="I120" s="67" t="s">
        <v>275</v>
      </c>
      <c r="J120" s="109" t="s">
        <v>271</v>
      </c>
      <c r="K120" s="109" t="s">
        <v>31</v>
      </c>
      <c r="L120" s="111" t="s">
        <v>32</v>
      </c>
      <c r="M120" s="111" t="s">
        <v>33</v>
      </c>
      <c r="N120" s="111" t="s">
        <v>272</v>
      </c>
      <c r="O120" s="111" t="str">
        <f t="shared" si="28"/>
        <v>-2A8</v>
      </c>
      <c r="P120" s="111">
        <v>12</v>
      </c>
      <c r="Q120" s="112" t="str">
        <f t="shared" si="29"/>
        <v>Q1.3</v>
      </c>
      <c r="R120" s="111" t="str">
        <f t="shared" si="31"/>
        <v>2001_1¶Pulse controller¶Start</v>
      </c>
    </row>
    <row r="121" spans="2:18" ht="14.25">
      <c r="B121" s="109">
        <v>13</v>
      </c>
      <c r="C121" s="110" t="s">
        <v>286</v>
      </c>
      <c r="D121" s="109"/>
      <c r="E121" s="78" t="s">
        <v>57</v>
      </c>
      <c r="F121" s="78" t="s">
        <v>27</v>
      </c>
      <c r="G121" s="78" t="s">
        <v>27</v>
      </c>
      <c r="H121" s="109" t="s">
        <v>270</v>
      </c>
      <c r="I121" s="67" t="s">
        <v>29</v>
      </c>
      <c r="J121" s="109" t="s">
        <v>271</v>
      </c>
      <c r="K121" s="109" t="s">
        <v>31</v>
      </c>
      <c r="L121" s="111" t="s">
        <v>32</v>
      </c>
      <c r="M121" s="111" t="s">
        <v>33</v>
      </c>
      <c r="N121" s="111" t="s">
        <v>272</v>
      </c>
      <c r="O121" s="111" t="str">
        <f t="shared" si="28"/>
        <v>-2A8</v>
      </c>
      <c r="P121" s="111">
        <v>13</v>
      </c>
      <c r="Q121" s="112" t="str">
        <f t="shared" si="29"/>
        <v>Q1.4</v>
      </c>
      <c r="R121" s="111" t="str">
        <f t="shared" si="31"/>
        <v>2001_2¶Fan¶Start</v>
      </c>
    </row>
    <row r="122" spans="2:18" ht="14.25">
      <c r="B122" s="109">
        <v>14</v>
      </c>
      <c r="C122" s="110" t="s">
        <v>287</v>
      </c>
      <c r="D122" s="109"/>
      <c r="E122" s="78" t="s">
        <v>57</v>
      </c>
      <c r="F122" s="78" t="s">
        <v>274</v>
      </c>
      <c r="G122" s="78" t="s">
        <v>274</v>
      </c>
      <c r="H122" s="109" t="s">
        <v>270</v>
      </c>
      <c r="I122" s="67" t="s">
        <v>275</v>
      </c>
      <c r="J122" s="109" t="s">
        <v>271</v>
      </c>
      <c r="K122" s="109" t="s">
        <v>31</v>
      </c>
      <c r="L122" s="111" t="s">
        <v>32</v>
      </c>
      <c r="M122" s="111" t="s">
        <v>33</v>
      </c>
      <c r="N122" s="111" t="s">
        <v>272</v>
      </c>
      <c r="O122" s="111" t="str">
        <f t="shared" si="28"/>
        <v>-2A8</v>
      </c>
      <c r="P122" s="111">
        <v>14</v>
      </c>
      <c r="Q122" s="112" t="str">
        <f t="shared" si="29"/>
        <v>Q1.5</v>
      </c>
      <c r="R122" s="111" t="str">
        <f t="shared" si="31"/>
        <v>2001_2¶Pulse controller¶Start</v>
      </c>
    </row>
    <row r="123" spans="2:18" ht="14.25">
      <c r="B123" s="109">
        <v>15</v>
      </c>
      <c r="C123" s="110" t="s">
        <v>288</v>
      </c>
      <c r="D123" s="109"/>
      <c r="E123" s="78" t="s">
        <v>59</v>
      </c>
      <c r="F123" s="78" t="s">
        <v>27</v>
      </c>
      <c r="G123" s="78" t="s">
        <v>27</v>
      </c>
      <c r="H123" s="109" t="s">
        <v>270</v>
      </c>
      <c r="I123" s="67" t="s">
        <v>29</v>
      </c>
      <c r="J123" s="109" t="s">
        <v>271</v>
      </c>
      <c r="K123" s="109" t="s">
        <v>31</v>
      </c>
      <c r="L123" s="111" t="s">
        <v>32</v>
      </c>
      <c r="M123" s="111" t="s">
        <v>33</v>
      </c>
      <c r="N123" s="111" t="s">
        <v>272</v>
      </c>
      <c r="O123" s="111" t="str">
        <f t="shared" si="28"/>
        <v>-2A8</v>
      </c>
      <c r="P123" s="111">
        <v>15</v>
      </c>
      <c r="Q123" s="112" t="str">
        <f t="shared" si="29"/>
        <v>Q1.6</v>
      </c>
      <c r="R123" s="111" t="str">
        <f t="shared" si="31"/>
        <v>2001_3¶Fan¶Start</v>
      </c>
    </row>
    <row r="124" spans="2:18" ht="14.25">
      <c r="B124" s="109">
        <v>16</v>
      </c>
      <c r="C124" s="110" t="s">
        <v>289</v>
      </c>
      <c r="D124" s="109"/>
      <c r="E124" s="78" t="s">
        <v>59</v>
      </c>
      <c r="F124" s="78" t="s">
        <v>274</v>
      </c>
      <c r="G124" s="78" t="s">
        <v>274</v>
      </c>
      <c r="H124" s="109" t="s">
        <v>270</v>
      </c>
      <c r="I124" s="67" t="s">
        <v>275</v>
      </c>
      <c r="J124" s="109" t="s">
        <v>271</v>
      </c>
      <c r="K124" s="109" t="s">
        <v>31</v>
      </c>
      <c r="L124" s="111" t="s">
        <v>32</v>
      </c>
      <c r="M124" s="111" t="s">
        <v>33</v>
      </c>
      <c r="N124" s="111" t="s">
        <v>272</v>
      </c>
      <c r="O124" s="111" t="str">
        <f t="shared" si="28"/>
        <v>-2A8</v>
      </c>
      <c r="P124" s="111">
        <v>16</v>
      </c>
      <c r="Q124" s="112" t="str">
        <f t="shared" si="29"/>
        <v>Q1.7</v>
      </c>
      <c r="R124" s="111" t="str">
        <f t="shared" si="31"/>
        <v>2001_3¶Pulse controller¶Start</v>
      </c>
    </row>
    <row r="125" spans="2:18" ht="14.25">
      <c r="B125" s="109">
        <v>17</v>
      </c>
      <c r="C125" s="110" t="s">
        <v>290</v>
      </c>
      <c r="D125" s="109"/>
      <c r="E125" s="78" t="s">
        <v>61</v>
      </c>
      <c r="F125" s="78" t="s">
        <v>27</v>
      </c>
      <c r="G125" s="78" t="s">
        <v>27</v>
      </c>
      <c r="H125" s="109" t="s">
        <v>270</v>
      </c>
      <c r="I125" s="67" t="s">
        <v>29</v>
      </c>
      <c r="J125" s="109" t="s">
        <v>271</v>
      </c>
      <c r="K125" s="109" t="s">
        <v>31</v>
      </c>
      <c r="L125" s="111" t="s">
        <v>32</v>
      </c>
      <c r="M125" s="111" t="s">
        <v>33</v>
      </c>
      <c r="N125" s="111" t="s">
        <v>291</v>
      </c>
      <c r="O125" s="111" t="str">
        <f t="shared" si="28"/>
        <v>-2A9</v>
      </c>
      <c r="P125" s="111">
        <v>1</v>
      </c>
      <c r="Q125" s="112" t="str">
        <f t="shared" si="29"/>
        <v>Q2.0</v>
      </c>
      <c r="R125" s="111" t="str">
        <f t="shared" si="31"/>
        <v>2001_4¶Fan¶Start</v>
      </c>
    </row>
    <row r="126" spans="2:18" ht="14.25">
      <c r="B126" s="109">
        <v>18</v>
      </c>
      <c r="C126" s="110" t="s">
        <v>292</v>
      </c>
      <c r="D126" s="109"/>
      <c r="E126" s="78" t="s">
        <v>61</v>
      </c>
      <c r="F126" s="78" t="s">
        <v>274</v>
      </c>
      <c r="G126" s="78" t="s">
        <v>274</v>
      </c>
      <c r="H126" s="109" t="s">
        <v>270</v>
      </c>
      <c r="I126" s="67" t="s">
        <v>275</v>
      </c>
      <c r="J126" s="109" t="s">
        <v>271</v>
      </c>
      <c r="K126" s="109" t="s">
        <v>31</v>
      </c>
      <c r="L126" s="111" t="s">
        <v>32</v>
      </c>
      <c r="M126" s="111" t="s">
        <v>33</v>
      </c>
      <c r="N126" s="111" t="s">
        <v>291</v>
      </c>
      <c r="O126" s="111" t="str">
        <f t="shared" si="28"/>
        <v>-2A9</v>
      </c>
      <c r="P126" s="111">
        <v>2</v>
      </c>
      <c r="Q126" s="112" t="str">
        <f t="shared" si="29"/>
        <v>Q2.1</v>
      </c>
      <c r="R126" s="111" t="str">
        <f t="shared" si="31"/>
        <v>2001_4¶Pulse controller¶Start</v>
      </c>
    </row>
    <row r="127" spans="2:18" ht="14.25">
      <c r="B127" s="109">
        <v>19</v>
      </c>
      <c r="C127" s="110" t="s">
        <v>293</v>
      </c>
      <c r="D127" s="109"/>
      <c r="E127" s="78">
        <v>2017</v>
      </c>
      <c r="F127" s="78" t="s">
        <v>27</v>
      </c>
      <c r="G127" s="78" t="s">
        <v>27</v>
      </c>
      <c r="H127" s="109" t="s">
        <v>270</v>
      </c>
      <c r="I127" s="67" t="s">
        <v>29</v>
      </c>
      <c r="J127" s="109" t="s">
        <v>271</v>
      </c>
      <c r="K127" s="109" t="s">
        <v>31</v>
      </c>
      <c r="L127" s="111" t="s">
        <v>32</v>
      </c>
      <c r="M127" s="111" t="s">
        <v>33</v>
      </c>
      <c r="N127" s="111" t="s">
        <v>291</v>
      </c>
      <c r="O127" s="111" t="str">
        <f t="shared" si="28"/>
        <v>-2A9</v>
      </c>
      <c r="P127" s="111">
        <v>3</v>
      </c>
      <c r="Q127" s="112" t="str">
        <f t="shared" si="29"/>
        <v>Q2.2</v>
      </c>
      <c r="R127" s="111" t="str">
        <f t="shared" si="31"/>
        <v>2017¶Fan¶Start</v>
      </c>
    </row>
    <row r="128" spans="2:18" ht="14.25">
      <c r="B128" s="109">
        <v>20</v>
      </c>
      <c r="C128" s="110" t="s">
        <v>294</v>
      </c>
      <c r="D128" s="109"/>
      <c r="E128" s="78">
        <v>2017</v>
      </c>
      <c r="F128" s="78" t="s">
        <v>274</v>
      </c>
      <c r="G128" s="78" t="s">
        <v>274</v>
      </c>
      <c r="H128" s="109" t="s">
        <v>270</v>
      </c>
      <c r="I128" s="67" t="s">
        <v>275</v>
      </c>
      <c r="J128" s="109" t="s">
        <v>271</v>
      </c>
      <c r="K128" s="109" t="s">
        <v>31</v>
      </c>
      <c r="L128" s="111" t="s">
        <v>32</v>
      </c>
      <c r="M128" s="111" t="s">
        <v>33</v>
      </c>
      <c r="N128" s="111" t="s">
        <v>291</v>
      </c>
      <c r="O128" s="111" t="str">
        <f t="shared" si="28"/>
        <v>-2A9</v>
      </c>
      <c r="P128" s="111">
        <v>4</v>
      </c>
      <c r="Q128" s="112" t="str">
        <f t="shared" si="29"/>
        <v>Q2.3</v>
      </c>
      <c r="R128" s="111" t="str">
        <f t="shared" si="31"/>
        <v>2017¶Pulse controller¶Start</v>
      </c>
    </row>
    <row r="129" spans="2:18" ht="14.25">
      <c r="B129" s="109">
        <v>21</v>
      </c>
      <c r="C129" s="110" t="s">
        <v>295</v>
      </c>
      <c r="D129" s="109"/>
      <c r="E129" s="78">
        <v>2019</v>
      </c>
      <c r="F129" s="78" t="s">
        <v>64</v>
      </c>
      <c r="G129" s="78" t="s">
        <v>64</v>
      </c>
      <c r="H129" s="109" t="s">
        <v>270</v>
      </c>
      <c r="I129" s="67" t="s">
        <v>65</v>
      </c>
      <c r="J129" s="109" t="s">
        <v>271</v>
      </c>
      <c r="K129" s="109" t="s">
        <v>31</v>
      </c>
      <c r="L129" s="111" t="s">
        <v>32</v>
      </c>
      <c r="M129" s="111" t="s">
        <v>33</v>
      </c>
      <c r="N129" s="111" t="s">
        <v>291</v>
      </c>
      <c r="O129" s="111" t="str">
        <f t="shared" si="28"/>
        <v>-2A9</v>
      </c>
      <c r="P129" s="111">
        <v>5</v>
      </c>
      <c r="Q129" s="112" t="str">
        <f t="shared" si="29"/>
        <v>Q2.4</v>
      </c>
      <c r="R129" s="111" t="str">
        <f t="shared" si="31"/>
        <v>2019¶conveyor¶Start</v>
      </c>
    </row>
    <row r="130" spans="2:18" ht="14.25">
      <c r="B130" s="109">
        <v>22</v>
      </c>
      <c r="C130" s="110" t="s">
        <v>296</v>
      </c>
      <c r="D130" s="109"/>
      <c r="E130" s="78">
        <v>2020</v>
      </c>
      <c r="F130" s="78" t="s">
        <v>43</v>
      </c>
      <c r="G130" s="78" t="s">
        <v>43</v>
      </c>
      <c r="H130" s="109" t="s">
        <v>270</v>
      </c>
      <c r="I130" s="67" t="s">
        <v>44</v>
      </c>
      <c r="J130" s="109" t="s">
        <v>271</v>
      </c>
      <c r="K130" s="109" t="s">
        <v>31</v>
      </c>
      <c r="L130" s="111" t="s">
        <v>32</v>
      </c>
      <c r="M130" s="111" t="s">
        <v>33</v>
      </c>
      <c r="N130" s="111" t="s">
        <v>291</v>
      </c>
      <c r="O130" s="111" t="str">
        <f t="shared" si="28"/>
        <v>-2A9</v>
      </c>
      <c r="P130" s="111">
        <v>6</v>
      </c>
      <c r="Q130" s="112" t="str">
        <f t="shared" si="29"/>
        <v>Q2.5</v>
      </c>
      <c r="R130" s="111" t="str">
        <f t="shared" si="31"/>
        <v>2020¶Elevator¶Start</v>
      </c>
    </row>
    <row r="131" spans="2:18" ht="14.25">
      <c r="B131" s="109">
        <v>23</v>
      </c>
      <c r="C131" s="110" t="s">
        <v>297</v>
      </c>
      <c r="D131" s="109"/>
      <c r="E131" s="78">
        <v>2021</v>
      </c>
      <c r="F131" s="78" t="s">
        <v>27</v>
      </c>
      <c r="G131" s="78" t="s">
        <v>27</v>
      </c>
      <c r="H131" s="109" t="s">
        <v>270</v>
      </c>
      <c r="I131" s="67" t="s">
        <v>29</v>
      </c>
      <c r="J131" s="109" t="s">
        <v>271</v>
      </c>
      <c r="K131" s="109" t="s">
        <v>31</v>
      </c>
      <c r="L131" s="111" t="s">
        <v>32</v>
      </c>
      <c r="M131" s="111" t="s">
        <v>33</v>
      </c>
      <c r="N131" s="111" t="s">
        <v>291</v>
      </c>
      <c r="O131" s="111" t="str">
        <f t="shared" si="28"/>
        <v>-2A9</v>
      </c>
      <c r="P131" s="111">
        <v>7</v>
      </c>
      <c r="Q131" s="112" t="str">
        <f t="shared" si="29"/>
        <v>Q2.6</v>
      </c>
      <c r="R131" s="111" t="str">
        <f t="shared" si="31"/>
        <v>2021¶Fan¶Start</v>
      </c>
    </row>
    <row r="132" spans="2:18" ht="14.25">
      <c r="B132" s="109">
        <v>24</v>
      </c>
      <c r="C132" s="110" t="s">
        <v>298</v>
      </c>
      <c r="D132" s="109"/>
      <c r="E132" s="78">
        <v>2021</v>
      </c>
      <c r="F132" s="78" t="s">
        <v>274</v>
      </c>
      <c r="G132" s="78" t="s">
        <v>274</v>
      </c>
      <c r="H132" s="109" t="s">
        <v>270</v>
      </c>
      <c r="I132" s="67" t="s">
        <v>275</v>
      </c>
      <c r="J132" s="109" t="s">
        <v>271</v>
      </c>
      <c r="K132" s="109" t="s">
        <v>31</v>
      </c>
      <c r="L132" s="111" t="s">
        <v>32</v>
      </c>
      <c r="M132" s="111" t="s">
        <v>33</v>
      </c>
      <c r="N132" s="111" t="s">
        <v>291</v>
      </c>
      <c r="O132" s="111" t="str">
        <f t="shared" si="28"/>
        <v>-2A9</v>
      </c>
      <c r="P132" s="111">
        <v>8</v>
      </c>
      <c r="Q132" s="112" t="str">
        <f t="shared" si="29"/>
        <v>Q2.7</v>
      </c>
      <c r="R132" s="111" t="str">
        <f t="shared" si="31"/>
        <v>2021¶Pulse controller¶Start</v>
      </c>
    </row>
    <row r="133" spans="2:18" ht="14.25">
      <c r="B133" s="109">
        <v>25</v>
      </c>
      <c r="C133" s="110" t="s">
        <v>299</v>
      </c>
      <c r="D133" s="109"/>
      <c r="E133" s="78">
        <v>3105</v>
      </c>
      <c r="F133" s="78" t="s">
        <v>71</v>
      </c>
      <c r="G133" s="78" t="s">
        <v>71</v>
      </c>
      <c r="H133" s="109" t="s">
        <v>270</v>
      </c>
      <c r="I133" s="67" t="s">
        <v>29</v>
      </c>
      <c r="J133" s="109" t="s">
        <v>271</v>
      </c>
      <c r="K133" s="109" t="s">
        <v>31</v>
      </c>
      <c r="L133" s="111" t="s">
        <v>32</v>
      </c>
      <c r="M133" s="111" t="s">
        <v>33</v>
      </c>
      <c r="N133" s="111" t="s">
        <v>291</v>
      </c>
      <c r="O133" s="111" t="str">
        <f t="shared" si="28"/>
        <v>-2A9</v>
      </c>
      <c r="P133" s="111">
        <v>9</v>
      </c>
      <c r="Q133" s="112" t="str">
        <f t="shared" si="29"/>
        <v>Q3.0</v>
      </c>
      <c r="R133" s="111" t="str">
        <f t="shared" si="31"/>
        <v>3105¶Fan¶Start</v>
      </c>
    </row>
    <row r="134" spans="2:18" ht="14.25">
      <c r="B134" s="109">
        <v>26</v>
      </c>
      <c r="C134" s="110" t="s">
        <v>300</v>
      </c>
      <c r="D134" s="109"/>
      <c r="E134" s="78">
        <v>3105</v>
      </c>
      <c r="F134" s="78" t="s">
        <v>274</v>
      </c>
      <c r="G134" s="78" t="s">
        <v>274</v>
      </c>
      <c r="H134" s="109" t="s">
        <v>270</v>
      </c>
      <c r="I134" s="67" t="s">
        <v>275</v>
      </c>
      <c r="J134" s="109" t="s">
        <v>271</v>
      </c>
      <c r="K134" s="109" t="s">
        <v>31</v>
      </c>
      <c r="L134" s="111" t="s">
        <v>32</v>
      </c>
      <c r="M134" s="111" t="s">
        <v>33</v>
      </c>
      <c r="N134" s="111" t="s">
        <v>291</v>
      </c>
      <c r="O134" s="111" t="str">
        <f t="shared" si="28"/>
        <v>-2A9</v>
      </c>
      <c r="P134" s="111">
        <v>10</v>
      </c>
      <c r="Q134" s="112" t="str">
        <f t="shared" si="29"/>
        <v>Q3.1</v>
      </c>
      <c r="R134" s="111" t="str">
        <f t="shared" si="31"/>
        <v>3105¶Pulse controller¶Start</v>
      </c>
    </row>
    <row r="135" spans="2:18" ht="14.25">
      <c r="B135" s="109">
        <v>27</v>
      </c>
      <c r="C135" s="110" t="s">
        <v>301</v>
      </c>
      <c r="D135" s="109"/>
      <c r="E135" s="78">
        <v>2028</v>
      </c>
      <c r="F135" s="78" t="s">
        <v>73</v>
      </c>
      <c r="G135" s="78" t="s">
        <v>73</v>
      </c>
      <c r="H135" s="109" t="s">
        <v>270</v>
      </c>
      <c r="I135" s="67" t="s">
        <v>75</v>
      </c>
      <c r="J135" s="109" t="s">
        <v>271</v>
      </c>
      <c r="K135" s="109" t="s">
        <v>31</v>
      </c>
      <c r="L135" s="111" t="s">
        <v>32</v>
      </c>
      <c r="M135" s="111" t="s">
        <v>33</v>
      </c>
      <c r="N135" s="111" t="s">
        <v>291</v>
      </c>
      <c r="O135" s="111" t="str">
        <f t="shared" si="28"/>
        <v>-2A9</v>
      </c>
      <c r="P135" s="111">
        <v>11</v>
      </c>
      <c r="Q135" s="112" t="str">
        <f t="shared" si="29"/>
        <v>Q3.2</v>
      </c>
      <c r="R135" s="111" t="str">
        <f t="shared" si="31"/>
        <v>2028¶Mixer¶Start</v>
      </c>
    </row>
    <row r="136" spans="2:18" ht="14.25">
      <c r="B136" s="109">
        <v>28</v>
      </c>
      <c r="C136" s="110" t="s">
        <v>302</v>
      </c>
      <c r="D136" s="109"/>
      <c r="E136" s="78">
        <v>2028</v>
      </c>
      <c r="F136" s="78" t="s">
        <v>80</v>
      </c>
      <c r="G136" s="78" t="s">
        <v>80</v>
      </c>
      <c r="H136" s="109" t="s">
        <v>303</v>
      </c>
      <c r="I136" s="67" t="s">
        <v>82</v>
      </c>
      <c r="J136" s="109" t="s">
        <v>271</v>
      </c>
      <c r="K136" s="109" t="s">
        <v>31</v>
      </c>
      <c r="L136" s="111" t="s">
        <v>32</v>
      </c>
      <c r="M136" s="111" t="s">
        <v>33</v>
      </c>
      <c r="N136" s="111" t="s">
        <v>291</v>
      </c>
      <c r="O136" s="111" t="str">
        <f t="shared" si="28"/>
        <v>-2A9</v>
      </c>
      <c r="P136" s="111">
        <v>12</v>
      </c>
      <c r="Q136" s="112" t="str">
        <f t="shared" si="29"/>
        <v>Q3.3</v>
      </c>
      <c r="R136" s="111" t="str">
        <f t="shared" si="31"/>
        <v>2028¶Mixer Door¶Start</v>
      </c>
    </row>
    <row r="137" spans="2:18" ht="14.25">
      <c r="B137" s="109">
        <v>29</v>
      </c>
      <c r="C137" s="110" t="s">
        <v>304</v>
      </c>
      <c r="D137" s="109"/>
      <c r="E137" s="78">
        <v>2028</v>
      </c>
      <c r="F137" s="78" t="s">
        <v>305</v>
      </c>
      <c r="G137" s="78" t="s">
        <v>305</v>
      </c>
      <c r="H137" s="109" t="s">
        <v>270</v>
      </c>
      <c r="I137" s="67" t="s">
        <v>275</v>
      </c>
      <c r="J137" s="109" t="s">
        <v>271</v>
      </c>
      <c r="K137" s="109" t="s">
        <v>31</v>
      </c>
      <c r="L137" s="111" t="s">
        <v>32</v>
      </c>
      <c r="M137" s="111" t="s">
        <v>33</v>
      </c>
      <c r="N137" s="111" t="s">
        <v>291</v>
      </c>
      <c r="O137" s="111" t="str">
        <f t="shared" si="28"/>
        <v>-2A9</v>
      </c>
      <c r="P137" s="111">
        <v>13</v>
      </c>
      <c r="Q137" s="112" t="str">
        <f t="shared" si="29"/>
        <v>Q3.4</v>
      </c>
      <c r="R137" s="111" t="str">
        <f t="shared" si="31"/>
        <v>2028¶Pulse controller¶Start</v>
      </c>
    </row>
    <row r="138" spans="2:18" ht="14.25">
      <c r="B138" s="109">
        <v>30</v>
      </c>
      <c r="C138" s="110" t="s">
        <v>306</v>
      </c>
      <c r="D138" s="109"/>
      <c r="E138" s="78">
        <v>2032</v>
      </c>
      <c r="F138" s="78" t="s">
        <v>307</v>
      </c>
      <c r="G138" s="78" t="s">
        <v>307</v>
      </c>
      <c r="H138" s="109" t="s">
        <v>270</v>
      </c>
      <c r="I138" s="67" t="s">
        <v>308</v>
      </c>
      <c r="J138" s="109" t="s">
        <v>271</v>
      </c>
      <c r="K138" s="109" t="s">
        <v>31</v>
      </c>
      <c r="L138" s="111" t="s">
        <v>32</v>
      </c>
      <c r="M138" s="111" t="s">
        <v>33</v>
      </c>
      <c r="N138" s="111" t="s">
        <v>291</v>
      </c>
      <c r="O138" s="111" t="str">
        <f t="shared" si="28"/>
        <v>-2A9</v>
      </c>
      <c r="P138" s="111">
        <v>14</v>
      </c>
      <c r="Q138" s="112" t="str">
        <f t="shared" si="29"/>
        <v>Q3.5</v>
      </c>
      <c r="R138" s="111" t="str">
        <f t="shared" si="31"/>
        <v>2032¶Alrlock Vavle¶Start</v>
      </c>
    </row>
    <row r="139" spans="2:18" ht="14.25">
      <c r="B139" s="109">
        <v>31</v>
      </c>
      <c r="C139" s="110" t="s">
        <v>309</v>
      </c>
      <c r="D139" s="109"/>
      <c r="E139" s="78">
        <v>2033</v>
      </c>
      <c r="F139" s="78" t="s">
        <v>52</v>
      </c>
      <c r="G139" s="78" t="s">
        <v>52</v>
      </c>
      <c r="H139" s="109" t="s">
        <v>270</v>
      </c>
      <c r="I139" s="67" t="s">
        <v>53</v>
      </c>
      <c r="J139" s="109" t="s">
        <v>271</v>
      </c>
      <c r="K139" s="109" t="s">
        <v>31</v>
      </c>
      <c r="L139" s="111" t="s">
        <v>32</v>
      </c>
      <c r="M139" s="111" t="s">
        <v>33</v>
      </c>
      <c r="N139" s="111" t="s">
        <v>291</v>
      </c>
      <c r="O139" s="111" t="str">
        <f t="shared" si="28"/>
        <v>-2A9</v>
      </c>
      <c r="P139" s="111">
        <v>15</v>
      </c>
      <c r="Q139" s="112" t="str">
        <f t="shared" si="29"/>
        <v>Q3.6</v>
      </c>
      <c r="R139" s="111" t="str">
        <f t="shared" si="31"/>
        <v>2033¶distributor¶Start</v>
      </c>
    </row>
    <row r="140" spans="2:18" ht="14.25">
      <c r="B140" s="109">
        <v>32</v>
      </c>
      <c r="C140" s="110" t="s">
        <v>310</v>
      </c>
      <c r="D140" s="109"/>
      <c r="E140" s="78">
        <v>2033</v>
      </c>
      <c r="F140" s="78" t="s">
        <v>311</v>
      </c>
      <c r="G140" s="78" t="s">
        <v>311</v>
      </c>
      <c r="H140" s="109" t="s">
        <v>270</v>
      </c>
      <c r="I140" s="67" t="s">
        <v>312</v>
      </c>
      <c r="J140" s="109" t="s">
        <v>271</v>
      </c>
      <c r="K140" s="109" t="s">
        <v>31</v>
      </c>
      <c r="L140" s="111" t="s">
        <v>32</v>
      </c>
      <c r="M140" s="111" t="s">
        <v>33</v>
      </c>
      <c r="N140" s="111" t="s">
        <v>291</v>
      </c>
      <c r="O140" s="111" t="str">
        <f t="shared" si="28"/>
        <v>-2A9</v>
      </c>
      <c r="P140" s="111">
        <v>16</v>
      </c>
      <c r="Q140" s="112" t="str">
        <f t="shared" si="29"/>
        <v>Q3.7</v>
      </c>
      <c r="R140" s="111" t="str">
        <f t="shared" si="31"/>
        <v>2033¶distributor Vavle¶Start</v>
      </c>
    </row>
    <row r="141" spans="2:18" ht="14.25">
      <c r="B141" s="109">
        <v>33</v>
      </c>
      <c r="C141" s="110" t="s">
        <v>313</v>
      </c>
      <c r="D141" s="109"/>
      <c r="E141" s="78">
        <v>2036</v>
      </c>
      <c r="F141" s="78" t="s">
        <v>88</v>
      </c>
      <c r="G141" s="78" t="s">
        <v>88</v>
      </c>
      <c r="H141" s="109" t="s">
        <v>270</v>
      </c>
      <c r="I141" s="67" t="s">
        <v>29</v>
      </c>
      <c r="J141" s="109" t="s">
        <v>271</v>
      </c>
      <c r="K141" s="109" t="s">
        <v>31</v>
      </c>
      <c r="L141" s="111" t="s">
        <v>32</v>
      </c>
      <c r="M141" s="111" t="s">
        <v>33</v>
      </c>
      <c r="N141" s="111" t="s">
        <v>314</v>
      </c>
      <c r="O141" s="111" t="str">
        <f t="shared" si="28"/>
        <v>-2A10</v>
      </c>
      <c r="P141" s="111">
        <v>1</v>
      </c>
      <c r="Q141" s="112" t="str">
        <f t="shared" si="29"/>
        <v>Q4.0</v>
      </c>
      <c r="R141" s="111" t="str">
        <f t="shared" si="31"/>
        <v>2036¶Fan¶Start</v>
      </c>
    </row>
    <row r="142" spans="2:18" ht="14.25">
      <c r="B142" s="109">
        <v>34</v>
      </c>
      <c r="C142" s="110" t="s">
        <v>315</v>
      </c>
      <c r="D142" s="109"/>
      <c r="E142" s="78" t="s">
        <v>91</v>
      </c>
      <c r="F142" s="78" t="s">
        <v>92</v>
      </c>
      <c r="G142" s="78" t="s">
        <v>92</v>
      </c>
      <c r="H142" s="109" t="s">
        <v>270</v>
      </c>
      <c r="I142" s="67" t="s">
        <v>90</v>
      </c>
      <c r="J142" s="109" t="s">
        <v>271</v>
      </c>
      <c r="K142" s="109" t="s">
        <v>31</v>
      </c>
      <c r="L142" s="111" t="s">
        <v>32</v>
      </c>
      <c r="M142" s="111" t="s">
        <v>33</v>
      </c>
      <c r="N142" s="111" t="s">
        <v>314</v>
      </c>
      <c r="O142" s="111" t="str">
        <f t="shared" ref="O142:O173" si="32">M142&amp;N142</f>
        <v>-2A10</v>
      </c>
      <c r="P142" s="111">
        <v>2</v>
      </c>
      <c r="Q142" s="112" t="str">
        <f t="shared" ref="Q142:Q172" si="33">C142</f>
        <v>Q4.1</v>
      </c>
      <c r="R142" s="111" t="str">
        <f t="shared" ref="R142" si="34">E142&amp;L142&amp;I142&amp;L142&amp;J142</f>
        <v>P01¶Screw feeder¶Start</v>
      </c>
    </row>
    <row r="143" spans="2:18" ht="14.25">
      <c r="B143" s="109">
        <v>35</v>
      </c>
      <c r="C143" s="110" t="s">
        <v>316</v>
      </c>
      <c r="D143" s="109"/>
      <c r="E143" s="78" t="s">
        <v>93</v>
      </c>
      <c r="F143" s="78" t="s">
        <v>92</v>
      </c>
      <c r="G143" s="78" t="s">
        <v>92</v>
      </c>
      <c r="H143" s="109" t="s">
        <v>270</v>
      </c>
      <c r="I143" s="67" t="s">
        <v>90</v>
      </c>
      <c r="J143" s="109" t="s">
        <v>271</v>
      </c>
      <c r="K143" s="109" t="s">
        <v>31</v>
      </c>
      <c r="L143" s="111" t="s">
        <v>32</v>
      </c>
      <c r="M143" s="111" t="s">
        <v>33</v>
      </c>
      <c r="N143" s="111" t="s">
        <v>314</v>
      </c>
      <c r="O143" s="111" t="str">
        <f t="shared" si="32"/>
        <v>-2A10</v>
      </c>
      <c r="P143" s="111">
        <v>3</v>
      </c>
      <c r="Q143" s="112" t="str">
        <f t="shared" si="33"/>
        <v>Q4.2</v>
      </c>
      <c r="R143" s="111" t="str">
        <f t="shared" ref="R143:R173" si="35">E143&amp;L143&amp;I143&amp;L143&amp;J143</f>
        <v>P02¶Screw feeder¶Start</v>
      </c>
    </row>
    <row r="144" spans="2:18" ht="14.25">
      <c r="B144" s="109">
        <v>36</v>
      </c>
      <c r="C144" s="110" t="s">
        <v>317</v>
      </c>
      <c r="D144" s="109"/>
      <c r="E144" s="78" t="s">
        <v>95</v>
      </c>
      <c r="F144" s="78" t="s">
        <v>92</v>
      </c>
      <c r="G144" s="78" t="s">
        <v>92</v>
      </c>
      <c r="H144" s="109" t="s">
        <v>270</v>
      </c>
      <c r="I144" s="67" t="s">
        <v>90</v>
      </c>
      <c r="J144" s="109" t="s">
        <v>271</v>
      </c>
      <c r="K144" s="109" t="s">
        <v>31</v>
      </c>
      <c r="L144" s="111" t="s">
        <v>32</v>
      </c>
      <c r="M144" s="111" t="s">
        <v>33</v>
      </c>
      <c r="N144" s="111" t="s">
        <v>314</v>
      </c>
      <c r="O144" s="111" t="str">
        <f t="shared" si="32"/>
        <v>-2A10</v>
      </c>
      <c r="P144" s="111">
        <v>4</v>
      </c>
      <c r="Q144" s="112" t="str">
        <f t="shared" si="33"/>
        <v>Q4.3</v>
      </c>
      <c r="R144" s="111" t="str">
        <f t="shared" si="35"/>
        <v>P03¶Screw feeder¶Start</v>
      </c>
    </row>
    <row r="145" spans="2:18" ht="14.25">
      <c r="B145" s="109">
        <v>37</v>
      </c>
      <c r="C145" s="110" t="s">
        <v>318</v>
      </c>
      <c r="D145" s="109"/>
      <c r="E145" s="78" t="s">
        <v>98</v>
      </c>
      <c r="F145" s="78" t="s">
        <v>92</v>
      </c>
      <c r="G145" s="78" t="s">
        <v>92</v>
      </c>
      <c r="H145" s="109" t="s">
        <v>270</v>
      </c>
      <c r="I145" s="67" t="s">
        <v>90</v>
      </c>
      <c r="J145" s="109" t="s">
        <v>271</v>
      </c>
      <c r="K145" s="109" t="s">
        <v>31</v>
      </c>
      <c r="L145" s="111" t="s">
        <v>32</v>
      </c>
      <c r="M145" s="111" t="s">
        <v>33</v>
      </c>
      <c r="N145" s="111" t="s">
        <v>314</v>
      </c>
      <c r="O145" s="111" t="str">
        <f t="shared" si="32"/>
        <v>-2A10</v>
      </c>
      <c r="P145" s="111">
        <v>5</v>
      </c>
      <c r="Q145" s="112" t="str">
        <f t="shared" si="33"/>
        <v>Q4.4</v>
      </c>
      <c r="R145" s="111" t="str">
        <f t="shared" si="35"/>
        <v>P04¶Screw feeder¶Start</v>
      </c>
    </row>
    <row r="146" spans="2:18" ht="14.25">
      <c r="B146" s="109">
        <v>38</v>
      </c>
      <c r="C146" s="110" t="s">
        <v>319</v>
      </c>
      <c r="D146" s="109"/>
      <c r="E146" s="78">
        <v>2701</v>
      </c>
      <c r="F146" s="78" t="s">
        <v>86</v>
      </c>
      <c r="G146" s="78" t="s">
        <v>86</v>
      </c>
      <c r="H146" s="109" t="s">
        <v>270</v>
      </c>
      <c r="I146" s="67" t="s">
        <v>320</v>
      </c>
      <c r="J146" s="109" t="s">
        <v>271</v>
      </c>
      <c r="K146" s="109" t="s">
        <v>31</v>
      </c>
      <c r="L146" s="111" t="s">
        <v>32</v>
      </c>
      <c r="M146" s="111" t="s">
        <v>33</v>
      </c>
      <c r="N146" s="111" t="s">
        <v>314</v>
      </c>
      <c r="O146" s="111" t="str">
        <f t="shared" si="32"/>
        <v>-2A10</v>
      </c>
      <c r="P146" s="111">
        <v>6</v>
      </c>
      <c r="Q146" s="112" t="str">
        <f t="shared" si="33"/>
        <v>Q4.5</v>
      </c>
      <c r="R146" s="111" t="str">
        <f t="shared" si="35"/>
        <v>2701¶Alrlock¶Start</v>
      </c>
    </row>
    <row r="147" spans="2:18" ht="14.25">
      <c r="B147" s="109">
        <v>39</v>
      </c>
      <c r="C147" s="110" t="s">
        <v>321</v>
      </c>
      <c r="D147" s="109"/>
      <c r="E147" s="78">
        <v>2702</v>
      </c>
      <c r="F147" s="78" t="s">
        <v>27</v>
      </c>
      <c r="G147" s="78" t="s">
        <v>27</v>
      </c>
      <c r="H147" s="109" t="s">
        <v>270</v>
      </c>
      <c r="I147" s="67" t="s">
        <v>29</v>
      </c>
      <c r="J147" s="109" t="s">
        <v>271</v>
      </c>
      <c r="K147" s="109" t="s">
        <v>31</v>
      </c>
      <c r="L147" s="111" t="s">
        <v>32</v>
      </c>
      <c r="M147" s="111" t="s">
        <v>33</v>
      </c>
      <c r="N147" s="111" t="s">
        <v>314</v>
      </c>
      <c r="O147" s="111" t="str">
        <f t="shared" si="32"/>
        <v>-2A10</v>
      </c>
      <c r="P147" s="111">
        <v>7</v>
      </c>
      <c r="Q147" s="112" t="str">
        <f t="shared" si="33"/>
        <v>Q4.6</v>
      </c>
      <c r="R147" s="111" t="str">
        <f t="shared" si="35"/>
        <v>2702¶Fan¶Start</v>
      </c>
    </row>
    <row r="148" spans="2:18" ht="14.25">
      <c r="B148" s="109">
        <v>40</v>
      </c>
      <c r="C148" s="110" t="s">
        <v>322</v>
      </c>
      <c r="D148" s="109"/>
      <c r="E148" s="78">
        <v>2702</v>
      </c>
      <c r="F148" s="78" t="s">
        <v>274</v>
      </c>
      <c r="G148" s="78" t="s">
        <v>274</v>
      </c>
      <c r="H148" s="109" t="s">
        <v>270</v>
      </c>
      <c r="I148" s="67" t="s">
        <v>275</v>
      </c>
      <c r="J148" s="109" t="s">
        <v>271</v>
      </c>
      <c r="K148" s="109" t="s">
        <v>31</v>
      </c>
      <c r="L148" s="111" t="s">
        <v>32</v>
      </c>
      <c r="M148" s="111" t="s">
        <v>33</v>
      </c>
      <c r="N148" s="111" t="s">
        <v>314</v>
      </c>
      <c r="O148" s="111" t="str">
        <f t="shared" si="32"/>
        <v>-2A10</v>
      </c>
      <c r="P148" s="111">
        <v>8</v>
      </c>
      <c r="Q148" s="112" t="str">
        <f t="shared" si="33"/>
        <v>Q4.7</v>
      </c>
      <c r="R148" s="111" t="str">
        <f t="shared" si="35"/>
        <v>2702¶Pulse controller¶Start</v>
      </c>
    </row>
    <row r="149" spans="2:18" ht="14.25">
      <c r="B149" s="109">
        <v>41</v>
      </c>
      <c r="C149" s="110" t="s">
        <v>323</v>
      </c>
      <c r="D149" s="109"/>
      <c r="E149" s="78">
        <v>3005</v>
      </c>
      <c r="F149" s="78" t="s">
        <v>27</v>
      </c>
      <c r="G149" s="78" t="s">
        <v>27</v>
      </c>
      <c r="H149" s="109" t="s">
        <v>270</v>
      </c>
      <c r="I149" s="67" t="s">
        <v>29</v>
      </c>
      <c r="J149" s="109" t="s">
        <v>271</v>
      </c>
      <c r="K149" s="109" t="s">
        <v>31</v>
      </c>
      <c r="L149" s="111" t="s">
        <v>32</v>
      </c>
      <c r="M149" s="111" t="s">
        <v>33</v>
      </c>
      <c r="N149" s="111" t="s">
        <v>314</v>
      </c>
      <c r="O149" s="111" t="str">
        <f t="shared" si="32"/>
        <v>-2A10</v>
      </c>
      <c r="P149" s="111">
        <v>9</v>
      </c>
      <c r="Q149" s="112" t="str">
        <f t="shared" si="33"/>
        <v>Q5.0</v>
      </c>
      <c r="R149" s="111" t="str">
        <f t="shared" si="35"/>
        <v>3005¶Fan¶Start</v>
      </c>
    </row>
    <row r="150" spans="2:18" ht="14.25">
      <c r="B150" s="109">
        <v>42</v>
      </c>
      <c r="C150" s="110" t="s">
        <v>324</v>
      </c>
      <c r="D150" s="109"/>
      <c r="E150" s="78">
        <v>3005</v>
      </c>
      <c r="F150" s="78" t="s">
        <v>274</v>
      </c>
      <c r="G150" s="78" t="s">
        <v>274</v>
      </c>
      <c r="H150" s="109" t="s">
        <v>270</v>
      </c>
      <c r="I150" s="67" t="s">
        <v>275</v>
      </c>
      <c r="J150" s="109" t="s">
        <v>271</v>
      </c>
      <c r="K150" s="109" t="s">
        <v>31</v>
      </c>
      <c r="L150" s="111" t="s">
        <v>32</v>
      </c>
      <c r="M150" s="111" t="s">
        <v>33</v>
      </c>
      <c r="N150" s="111" t="s">
        <v>314</v>
      </c>
      <c r="O150" s="111" t="str">
        <f t="shared" si="32"/>
        <v>-2A10</v>
      </c>
      <c r="P150" s="111">
        <v>10</v>
      </c>
      <c r="Q150" s="112" t="str">
        <f t="shared" si="33"/>
        <v>Q5.1</v>
      </c>
      <c r="R150" s="111" t="str">
        <f t="shared" si="35"/>
        <v>3005¶Pulse controller¶Start</v>
      </c>
    </row>
    <row r="151" spans="2:18" ht="14.25">
      <c r="B151" s="109">
        <v>43</v>
      </c>
      <c r="C151" s="110" t="s">
        <v>325</v>
      </c>
      <c r="D151" s="109"/>
      <c r="E151" s="78">
        <v>3008</v>
      </c>
      <c r="F151" s="78" t="s">
        <v>73</v>
      </c>
      <c r="G151" s="78" t="s">
        <v>73</v>
      </c>
      <c r="H151" s="109" t="s">
        <v>270</v>
      </c>
      <c r="I151" s="67" t="s">
        <v>75</v>
      </c>
      <c r="J151" s="109" t="s">
        <v>271</v>
      </c>
      <c r="K151" s="109" t="s">
        <v>31</v>
      </c>
      <c r="L151" s="111" t="s">
        <v>32</v>
      </c>
      <c r="M151" s="111" t="s">
        <v>33</v>
      </c>
      <c r="N151" s="111" t="s">
        <v>314</v>
      </c>
      <c r="O151" s="111" t="str">
        <f t="shared" si="32"/>
        <v>-2A10</v>
      </c>
      <c r="P151" s="111">
        <v>11</v>
      </c>
      <c r="Q151" s="112" t="str">
        <f t="shared" si="33"/>
        <v>Q5.2</v>
      </c>
      <c r="R151" s="111" t="str">
        <f t="shared" si="35"/>
        <v>3008¶Mixer¶Start</v>
      </c>
    </row>
    <row r="152" spans="2:18" ht="14.25">
      <c r="B152" s="109">
        <v>44</v>
      </c>
      <c r="C152" s="110" t="s">
        <v>326</v>
      </c>
      <c r="D152" s="109"/>
      <c r="E152" s="78">
        <v>3008</v>
      </c>
      <c r="F152" s="78" t="s">
        <v>80</v>
      </c>
      <c r="G152" s="78" t="s">
        <v>80</v>
      </c>
      <c r="H152" s="109" t="s">
        <v>303</v>
      </c>
      <c r="I152" s="67" t="s">
        <v>82</v>
      </c>
      <c r="J152" s="109" t="s">
        <v>271</v>
      </c>
      <c r="K152" s="109" t="s">
        <v>31</v>
      </c>
      <c r="L152" s="111" t="s">
        <v>32</v>
      </c>
      <c r="M152" s="111" t="s">
        <v>33</v>
      </c>
      <c r="N152" s="111" t="s">
        <v>314</v>
      </c>
      <c r="O152" s="111" t="str">
        <f t="shared" si="32"/>
        <v>-2A10</v>
      </c>
      <c r="P152" s="111">
        <v>12</v>
      </c>
      <c r="Q152" s="112" t="str">
        <f t="shared" si="33"/>
        <v>Q5.3</v>
      </c>
      <c r="R152" s="111" t="str">
        <f t="shared" si="35"/>
        <v>3008¶Mixer Door¶Start</v>
      </c>
    </row>
    <row r="153" spans="2:18" ht="14.25">
      <c r="B153" s="109">
        <v>45</v>
      </c>
      <c r="C153" s="110" t="s">
        <v>327</v>
      </c>
      <c r="D153" s="109"/>
      <c r="E153" s="78">
        <v>3008</v>
      </c>
      <c r="F153" s="78" t="s">
        <v>305</v>
      </c>
      <c r="G153" s="78" t="s">
        <v>305</v>
      </c>
      <c r="H153" s="109" t="s">
        <v>270</v>
      </c>
      <c r="I153" s="67" t="s">
        <v>275</v>
      </c>
      <c r="J153" s="109" t="s">
        <v>271</v>
      </c>
      <c r="K153" s="109" t="s">
        <v>31</v>
      </c>
      <c r="L153" s="111" t="s">
        <v>32</v>
      </c>
      <c r="M153" s="111" t="s">
        <v>33</v>
      </c>
      <c r="N153" s="111" t="s">
        <v>314</v>
      </c>
      <c r="O153" s="111" t="str">
        <f t="shared" si="32"/>
        <v>-2A10</v>
      </c>
      <c r="P153" s="111">
        <v>13</v>
      </c>
      <c r="Q153" s="112" t="str">
        <f t="shared" si="33"/>
        <v>Q5.4</v>
      </c>
      <c r="R153" s="111" t="str">
        <f t="shared" si="35"/>
        <v>3008¶Pulse controller¶Start</v>
      </c>
    </row>
    <row r="154" spans="2:18" ht="14.25">
      <c r="B154" s="109">
        <v>46</v>
      </c>
      <c r="C154" s="110" t="s">
        <v>328</v>
      </c>
      <c r="D154" s="109"/>
      <c r="E154" s="78">
        <v>3012</v>
      </c>
      <c r="F154" s="78" t="s">
        <v>307</v>
      </c>
      <c r="G154" s="78" t="s">
        <v>307</v>
      </c>
      <c r="H154" s="109" t="s">
        <v>270</v>
      </c>
      <c r="I154" s="67" t="s">
        <v>308</v>
      </c>
      <c r="J154" s="109" t="s">
        <v>271</v>
      </c>
      <c r="K154" s="109" t="s">
        <v>31</v>
      </c>
      <c r="L154" s="111" t="s">
        <v>32</v>
      </c>
      <c r="M154" s="111" t="s">
        <v>33</v>
      </c>
      <c r="N154" s="111" t="s">
        <v>314</v>
      </c>
      <c r="O154" s="111" t="str">
        <f t="shared" si="32"/>
        <v>-2A10</v>
      </c>
      <c r="P154" s="111">
        <v>14</v>
      </c>
      <c r="Q154" s="112" t="str">
        <f t="shared" si="33"/>
        <v>Q5.5</v>
      </c>
      <c r="R154" s="111" t="str">
        <f t="shared" si="35"/>
        <v>3012¶Alrlock Vavle¶Start</v>
      </c>
    </row>
    <row r="155" spans="2:18" ht="14.25">
      <c r="B155" s="109">
        <v>47</v>
      </c>
      <c r="C155" s="110" t="s">
        <v>329</v>
      </c>
      <c r="D155" s="109"/>
      <c r="E155" s="78">
        <v>4004</v>
      </c>
      <c r="F155" s="78" t="s">
        <v>27</v>
      </c>
      <c r="G155" s="78" t="s">
        <v>27</v>
      </c>
      <c r="H155" s="109" t="s">
        <v>270</v>
      </c>
      <c r="I155" s="67" t="s">
        <v>29</v>
      </c>
      <c r="J155" s="109" t="s">
        <v>271</v>
      </c>
      <c r="K155" s="109" t="s">
        <v>31</v>
      </c>
      <c r="L155" s="111" t="s">
        <v>32</v>
      </c>
      <c r="M155" s="111" t="s">
        <v>33</v>
      </c>
      <c r="N155" s="111" t="s">
        <v>314</v>
      </c>
      <c r="O155" s="111" t="str">
        <f t="shared" si="32"/>
        <v>-2A10</v>
      </c>
      <c r="P155" s="111">
        <v>15</v>
      </c>
      <c r="Q155" s="112" t="str">
        <f t="shared" si="33"/>
        <v>Q5.6</v>
      </c>
      <c r="R155" s="111" t="str">
        <f t="shared" si="35"/>
        <v>4004¶Fan¶Start</v>
      </c>
    </row>
    <row r="156" spans="2:18" ht="14.25">
      <c r="B156" s="109">
        <v>48</v>
      </c>
      <c r="C156" s="110" t="s">
        <v>330</v>
      </c>
      <c r="D156" s="109"/>
      <c r="E156" s="78">
        <v>4004</v>
      </c>
      <c r="F156" s="78" t="s">
        <v>274</v>
      </c>
      <c r="G156" s="78" t="s">
        <v>274</v>
      </c>
      <c r="H156" s="109" t="s">
        <v>270</v>
      </c>
      <c r="I156" s="67" t="s">
        <v>275</v>
      </c>
      <c r="J156" s="109" t="s">
        <v>271</v>
      </c>
      <c r="K156" s="109" t="s">
        <v>31</v>
      </c>
      <c r="L156" s="111" t="s">
        <v>32</v>
      </c>
      <c r="M156" s="111" t="s">
        <v>33</v>
      </c>
      <c r="N156" s="111" t="s">
        <v>314</v>
      </c>
      <c r="O156" s="111" t="str">
        <f t="shared" si="32"/>
        <v>-2A10</v>
      </c>
      <c r="P156" s="111">
        <v>16</v>
      </c>
      <c r="Q156" s="112" t="str">
        <f t="shared" si="33"/>
        <v>Q5.7</v>
      </c>
      <c r="R156" s="111" t="str">
        <f t="shared" si="35"/>
        <v>4004¶Pulse controller¶Start</v>
      </c>
    </row>
    <row r="157" spans="2:18" ht="14.25">
      <c r="B157" s="109">
        <v>49</v>
      </c>
      <c r="C157" s="110" t="s">
        <v>331</v>
      </c>
      <c r="D157" s="107"/>
      <c r="E157" s="78">
        <v>4104</v>
      </c>
      <c r="F157" s="78" t="s">
        <v>27</v>
      </c>
      <c r="G157" s="78" t="s">
        <v>27</v>
      </c>
      <c r="H157" s="109" t="s">
        <v>270</v>
      </c>
      <c r="I157" s="67" t="s">
        <v>29</v>
      </c>
      <c r="J157" s="109" t="s">
        <v>271</v>
      </c>
      <c r="K157" s="109" t="s">
        <v>31</v>
      </c>
      <c r="L157" s="111" t="s">
        <v>32</v>
      </c>
      <c r="M157" s="111" t="s">
        <v>33</v>
      </c>
      <c r="N157" s="111" t="s">
        <v>332</v>
      </c>
      <c r="O157" s="111" t="str">
        <f t="shared" si="32"/>
        <v>-2A11</v>
      </c>
      <c r="P157" s="111">
        <v>1</v>
      </c>
      <c r="Q157" s="112" t="str">
        <f t="shared" si="33"/>
        <v>Q6.0</v>
      </c>
      <c r="R157" s="111" t="str">
        <f t="shared" si="35"/>
        <v>4104¶Fan¶Start</v>
      </c>
    </row>
    <row r="158" spans="2:18" ht="14.25">
      <c r="B158" s="109">
        <v>50</v>
      </c>
      <c r="C158" s="110" t="s">
        <v>333</v>
      </c>
      <c r="D158" s="109"/>
      <c r="E158" s="78">
        <v>4104</v>
      </c>
      <c r="F158" s="78" t="s">
        <v>274</v>
      </c>
      <c r="G158" s="78" t="s">
        <v>274</v>
      </c>
      <c r="H158" s="109" t="s">
        <v>270</v>
      </c>
      <c r="I158" s="67" t="s">
        <v>275</v>
      </c>
      <c r="J158" s="109" t="s">
        <v>271</v>
      </c>
      <c r="K158" s="109" t="s">
        <v>31</v>
      </c>
      <c r="L158" s="111" t="s">
        <v>32</v>
      </c>
      <c r="M158" s="111" t="s">
        <v>33</v>
      </c>
      <c r="N158" s="111" t="s">
        <v>332</v>
      </c>
      <c r="O158" s="111" t="str">
        <f t="shared" si="32"/>
        <v>-2A11</v>
      </c>
      <c r="P158" s="111">
        <v>2</v>
      </c>
      <c r="Q158" s="112" t="str">
        <f t="shared" si="33"/>
        <v>Q6.1</v>
      </c>
      <c r="R158" s="111" t="str">
        <f t="shared" si="35"/>
        <v>4104¶Pulse controller¶Start</v>
      </c>
    </row>
    <row r="159" spans="2:18" ht="14.25">
      <c r="B159" s="109">
        <v>51</v>
      </c>
      <c r="C159" s="110" t="s">
        <v>334</v>
      </c>
      <c r="D159" s="109"/>
      <c r="E159" s="78">
        <v>5001</v>
      </c>
      <c r="F159" s="78" t="s">
        <v>86</v>
      </c>
      <c r="G159" s="78" t="s">
        <v>86</v>
      </c>
      <c r="H159" s="109" t="s">
        <v>270</v>
      </c>
      <c r="I159" s="67" t="s">
        <v>320</v>
      </c>
      <c r="J159" s="109" t="s">
        <v>271</v>
      </c>
      <c r="K159" s="109" t="s">
        <v>31</v>
      </c>
      <c r="L159" s="111" t="s">
        <v>32</v>
      </c>
      <c r="M159" s="111" t="s">
        <v>33</v>
      </c>
      <c r="N159" s="111" t="s">
        <v>332</v>
      </c>
      <c r="O159" s="111" t="str">
        <f t="shared" si="32"/>
        <v>-2A11</v>
      </c>
      <c r="P159" s="111">
        <v>3</v>
      </c>
      <c r="Q159" s="112" t="str">
        <f t="shared" si="33"/>
        <v>Q6.2</v>
      </c>
      <c r="R159" s="111" t="str">
        <f t="shared" si="35"/>
        <v>5001¶Alrlock¶Start</v>
      </c>
    </row>
    <row r="160" spans="2:18" ht="14.25">
      <c r="B160" s="109">
        <v>52</v>
      </c>
      <c r="C160" s="110" t="s">
        <v>335</v>
      </c>
      <c r="D160" s="109"/>
      <c r="E160" s="78">
        <v>5002</v>
      </c>
      <c r="F160" s="78" t="s">
        <v>27</v>
      </c>
      <c r="G160" s="78" t="s">
        <v>27</v>
      </c>
      <c r="H160" s="109" t="s">
        <v>270</v>
      </c>
      <c r="I160" s="67" t="s">
        <v>29</v>
      </c>
      <c r="J160" s="109" t="s">
        <v>271</v>
      </c>
      <c r="K160" s="109" t="s">
        <v>31</v>
      </c>
      <c r="L160" s="111" t="s">
        <v>32</v>
      </c>
      <c r="M160" s="111" t="s">
        <v>33</v>
      </c>
      <c r="N160" s="111" t="s">
        <v>332</v>
      </c>
      <c r="O160" s="111" t="str">
        <f t="shared" si="32"/>
        <v>-2A11</v>
      </c>
      <c r="P160" s="111">
        <v>4</v>
      </c>
      <c r="Q160" s="112" t="str">
        <f t="shared" si="33"/>
        <v>Q6.3</v>
      </c>
      <c r="R160" s="111" t="str">
        <f t="shared" si="35"/>
        <v>5002¶Fan¶Start</v>
      </c>
    </row>
    <row r="161" spans="2:18" ht="14.25">
      <c r="B161" s="109">
        <v>53</v>
      </c>
      <c r="C161" s="110" t="s">
        <v>336</v>
      </c>
      <c r="D161" s="109"/>
      <c r="E161" s="78">
        <v>5002</v>
      </c>
      <c r="F161" s="78" t="s">
        <v>274</v>
      </c>
      <c r="G161" s="78" t="s">
        <v>274</v>
      </c>
      <c r="H161" s="109" t="s">
        <v>270</v>
      </c>
      <c r="I161" s="67" t="s">
        <v>275</v>
      </c>
      <c r="J161" s="109" t="s">
        <v>271</v>
      </c>
      <c r="K161" s="109" t="s">
        <v>31</v>
      </c>
      <c r="L161" s="111" t="s">
        <v>32</v>
      </c>
      <c r="M161" s="111" t="s">
        <v>33</v>
      </c>
      <c r="N161" s="111" t="s">
        <v>332</v>
      </c>
      <c r="O161" s="111" t="str">
        <f t="shared" si="32"/>
        <v>-2A11</v>
      </c>
      <c r="P161" s="111">
        <v>5</v>
      </c>
      <c r="Q161" s="112" t="str">
        <f t="shared" si="33"/>
        <v>Q6.4</v>
      </c>
      <c r="R161" s="111" t="str">
        <f t="shared" si="35"/>
        <v>5002¶Pulse controller¶Start</v>
      </c>
    </row>
    <row r="162" spans="2:18" ht="14.25">
      <c r="B162" s="109">
        <v>54</v>
      </c>
      <c r="C162" s="110" t="s">
        <v>337</v>
      </c>
      <c r="D162" s="109"/>
      <c r="E162" s="78">
        <v>2105</v>
      </c>
      <c r="F162" s="78" t="s">
        <v>27</v>
      </c>
      <c r="G162" s="78" t="s">
        <v>27</v>
      </c>
      <c r="H162" s="109" t="s">
        <v>270</v>
      </c>
      <c r="I162" s="67" t="s">
        <v>29</v>
      </c>
      <c r="J162" s="109" t="s">
        <v>271</v>
      </c>
      <c r="K162" s="109" t="s">
        <v>31</v>
      </c>
      <c r="L162" s="111" t="s">
        <v>32</v>
      </c>
      <c r="M162" s="111" t="s">
        <v>33</v>
      </c>
      <c r="N162" s="111" t="s">
        <v>332</v>
      </c>
      <c r="O162" s="111" t="str">
        <f t="shared" si="32"/>
        <v>-2A11</v>
      </c>
      <c r="P162" s="111">
        <v>6</v>
      </c>
      <c r="Q162" s="112" t="str">
        <f t="shared" si="33"/>
        <v>Q6.5</v>
      </c>
      <c r="R162" s="111" t="str">
        <f t="shared" si="35"/>
        <v>2105¶Fan¶Start</v>
      </c>
    </row>
    <row r="163" spans="2:18" ht="14.25">
      <c r="B163" s="109">
        <v>55</v>
      </c>
      <c r="C163" s="110" t="s">
        <v>338</v>
      </c>
      <c r="D163" s="109"/>
      <c r="E163" s="78">
        <v>2105</v>
      </c>
      <c r="F163" s="78" t="s">
        <v>274</v>
      </c>
      <c r="G163" s="78" t="s">
        <v>274</v>
      </c>
      <c r="H163" s="109" t="s">
        <v>270</v>
      </c>
      <c r="I163" s="67" t="s">
        <v>275</v>
      </c>
      <c r="J163" s="109" t="s">
        <v>271</v>
      </c>
      <c r="K163" s="109" t="s">
        <v>31</v>
      </c>
      <c r="L163" s="111" t="s">
        <v>32</v>
      </c>
      <c r="M163" s="111" t="s">
        <v>33</v>
      </c>
      <c r="N163" s="111" t="s">
        <v>332</v>
      </c>
      <c r="O163" s="111" t="str">
        <f t="shared" si="32"/>
        <v>-2A11</v>
      </c>
      <c r="P163" s="111">
        <v>7</v>
      </c>
      <c r="Q163" s="112" t="str">
        <f t="shared" si="33"/>
        <v>Q6.6</v>
      </c>
      <c r="R163" s="111" t="str">
        <f t="shared" si="35"/>
        <v>2105¶Pulse controller¶Start</v>
      </c>
    </row>
    <row r="164" spans="2:18" ht="14.25">
      <c r="B164" s="109">
        <v>56</v>
      </c>
      <c r="C164" s="110" t="s">
        <v>339</v>
      </c>
      <c r="D164" s="109"/>
      <c r="E164" s="80" t="s">
        <v>340</v>
      </c>
      <c r="F164" s="80" t="s">
        <v>341</v>
      </c>
      <c r="G164" s="80" t="s">
        <v>341</v>
      </c>
      <c r="H164" s="120" t="s">
        <v>270</v>
      </c>
      <c r="I164" s="67" t="s">
        <v>342</v>
      </c>
      <c r="J164" s="109" t="s">
        <v>271</v>
      </c>
      <c r="K164" s="109" t="s">
        <v>31</v>
      </c>
      <c r="L164" s="111" t="s">
        <v>32</v>
      </c>
      <c r="M164" s="111" t="s">
        <v>33</v>
      </c>
      <c r="N164" s="111" t="s">
        <v>332</v>
      </c>
      <c r="O164" s="111" t="str">
        <f t="shared" si="32"/>
        <v>-2A11</v>
      </c>
      <c r="P164" s="111">
        <v>8</v>
      </c>
      <c r="Q164" s="112" t="str">
        <f t="shared" si="33"/>
        <v>Q6.7</v>
      </c>
      <c r="R164" s="111" t="str">
        <f t="shared" si="35"/>
        <v>2011_AH1¶Bin vibrator¶Start</v>
      </c>
    </row>
    <row r="165" spans="2:18" ht="14.25">
      <c r="B165" s="109">
        <v>57</v>
      </c>
      <c r="C165" s="110" t="s">
        <v>343</v>
      </c>
      <c r="D165" s="109"/>
      <c r="E165" s="80" t="s">
        <v>344</v>
      </c>
      <c r="F165" s="80" t="s">
        <v>341</v>
      </c>
      <c r="G165" s="80" t="s">
        <v>341</v>
      </c>
      <c r="H165" s="120" t="s">
        <v>270</v>
      </c>
      <c r="I165" s="67" t="s">
        <v>342</v>
      </c>
      <c r="J165" s="109" t="s">
        <v>271</v>
      </c>
      <c r="K165" s="109" t="s">
        <v>31</v>
      </c>
      <c r="L165" s="111" t="s">
        <v>32</v>
      </c>
      <c r="M165" s="111" t="s">
        <v>33</v>
      </c>
      <c r="N165" s="111" t="s">
        <v>332</v>
      </c>
      <c r="O165" s="111" t="str">
        <f t="shared" si="32"/>
        <v>-2A11</v>
      </c>
      <c r="P165" s="111">
        <v>9</v>
      </c>
      <c r="Q165" s="112" t="str">
        <f t="shared" si="33"/>
        <v>Q7.0</v>
      </c>
      <c r="R165" s="111" t="str">
        <f t="shared" si="35"/>
        <v>2018_AH1¶Bin vibrator¶Start</v>
      </c>
    </row>
    <row r="166" spans="2:18" ht="14.25">
      <c r="B166" s="109">
        <v>58</v>
      </c>
      <c r="C166" s="110" t="s">
        <v>345</v>
      </c>
      <c r="D166" s="109"/>
      <c r="E166" s="80" t="s">
        <v>346</v>
      </c>
      <c r="F166" s="80" t="s">
        <v>341</v>
      </c>
      <c r="G166" s="80" t="s">
        <v>341</v>
      </c>
      <c r="H166" s="120" t="s">
        <v>270</v>
      </c>
      <c r="I166" s="67" t="s">
        <v>342</v>
      </c>
      <c r="J166" s="109" t="s">
        <v>271</v>
      </c>
      <c r="K166" s="109" t="s">
        <v>31</v>
      </c>
      <c r="L166" s="111" t="s">
        <v>32</v>
      </c>
      <c r="M166" s="111" t="s">
        <v>33</v>
      </c>
      <c r="N166" s="111" t="s">
        <v>332</v>
      </c>
      <c r="O166" s="111" t="str">
        <f t="shared" si="32"/>
        <v>-2A11</v>
      </c>
      <c r="P166" s="111">
        <v>10</v>
      </c>
      <c r="Q166" s="112" t="str">
        <f t="shared" si="33"/>
        <v>Q7.1</v>
      </c>
      <c r="R166" s="111" t="str">
        <f t="shared" si="35"/>
        <v>3104_AH1¶Bin vibrator¶Start</v>
      </c>
    </row>
    <row r="167" spans="2:18" ht="14.25">
      <c r="B167" s="109">
        <v>59</v>
      </c>
      <c r="C167" s="110" t="s">
        <v>347</v>
      </c>
      <c r="D167" s="109"/>
      <c r="E167" s="80" t="s">
        <v>348</v>
      </c>
      <c r="F167" s="80" t="s">
        <v>341</v>
      </c>
      <c r="G167" s="80" t="s">
        <v>341</v>
      </c>
      <c r="H167" s="120" t="s">
        <v>270</v>
      </c>
      <c r="I167" s="67" t="s">
        <v>342</v>
      </c>
      <c r="J167" s="109" t="s">
        <v>271</v>
      </c>
      <c r="K167" s="109" t="s">
        <v>31</v>
      </c>
      <c r="L167" s="111" t="s">
        <v>32</v>
      </c>
      <c r="M167" s="111" t="s">
        <v>33</v>
      </c>
      <c r="N167" s="111" t="s">
        <v>332</v>
      </c>
      <c r="O167" s="111" t="str">
        <f t="shared" si="32"/>
        <v>-2A11</v>
      </c>
      <c r="P167" s="111">
        <v>11</v>
      </c>
      <c r="Q167" s="112" t="str">
        <f t="shared" si="33"/>
        <v>Q7.2</v>
      </c>
      <c r="R167" s="111" t="str">
        <f t="shared" si="35"/>
        <v>2105_AH1¶Bin vibrator¶Start</v>
      </c>
    </row>
    <row r="168" spans="2:18" ht="14.25">
      <c r="B168" s="109">
        <v>60</v>
      </c>
      <c r="C168" s="110" t="s">
        <v>349</v>
      </c>
      <c r="D168" s="109"/>
      <c r="E168" s="80" t="s">
        <v>350</v>
      </c>
      <c r="F168" s="80" t="s">
        <v>341</v>
      </c>
      <c r="G168" s="80" t="s">
        <v>341</v>
      </c>
      <c r="H168" s="120" t="s">
        <v>270</v>
      </c>
      <c r="I168" s="67" t="s">
        <v>342</v>
      </c>
      <c r="J168" s="109" t="s">
        <v>271</v>
      </c>
      <c r="K168" s="109" t="s">
        <v>31</v>
      </c>
      <c r="L168" s="111" t="s">
        <v>32</v>
      </c>
      <c r="M168" s="111" t="s">
        <v>33</v>
      </c>
      <c r="N168" s="111" t="s">
        <v>332</v>
      </c>
      <c r="O168" s="111" t="str">
        <f t="shared" si="32"/>
        <v>-2A11</v>
      </c>
      <c r="P168" s="111">
        <v>12</v>
      </c>
      <c r="Q168" s="112" t="str">
        <f t="shared" si="33"/>
        <v>Q7.3</v>
      </c>
      <c r="R168" s="111" t="str">
        <f t="shared" si="35"/>
        <v>2201_AH1¶Bin vibrator¶Start</v>
      </c>
    </row>
    <row r="169" spans="2:18" ht="14.25">
      <c r="B169" s="109">
        <v>61</v>
      </c>
      <c r="C169" s="110" t="s">
        <v>351</v>
      </c>
      <c r="D169" s="109"/>
      <c r="E169" s="80" t="s">
        <v>352</v>
      </c>
      <c r="F169" s="80" t="s">
        <v>341</v>
      </c>
      <c r="G169" s="80" t="s">
        <v>341</v>
      </c>
      <c r="H169" s="120" t="s">
        <v>270</v>
      </c>
      <c r="I169" s="67" t="s">
        <v>342</v>
      </c>
      <c r="J169" s="109" t="s">
        <v>271</v>
      </c>
      <c r="K169" s="109" t="s">
        <v>31</v>
      </c>
      <c r="L169" s="111" t="s">
        <v>32</v>
      </c>
      <c r="M169" s="111" t="s">
        <v>33</v>
      </c>
      <c r="N169" s="111" t="s">
        <v>332</v>
      </c>
      <c r="O169" s="111" t="str">
        <f t="shared" si="32"/>
        <v>-2A11</v>
      </c>
      <c r="P169" s="111">
        <v>13</v>
      </c>
      <c r="Q169" s="112" t="str">
        <f t="shared" si="33"/>
        <v>Q7.4</v>
      </c>
      <c r="R169" s="111" t="str">
        <f t="shared" si="35"/>
        <v>2301_AH1¶Bin vibrator¶Start</v>
      </c>
    </row>
    <row r="170" spans="2:18" ht="14.25">
      <c r="B170" s="109">
        <v>62</v>
      </c>
      <c r="C170" s="110" t="s">
        <v>353</v>
      </c>
      <c r="D170" s="109"/>
      <c r="E170" s="80" t="s">
        <v>354</v>
      </c>
      <c r="F170" s="80" t="s">
        <v>341</v>
      </c>
      <c r="G170" s="80" t="s">
        <v>341</v>
      </c>
      <c r="H170" s="120" t="s">
        <v>270</v>
      </c>
      <c r="I170" s="67" t="s">
        <v>342</v>
      </c>
      <c r="J170" s="109" t="s">
        <v>271</v>
      </c>
      <c r="K170" s="109" t="s">
        <v>31</v>
      </c>
      <c r="L170" s="111" t="s">
        <v>32</v>
      </c>
      <c r="M170" s="111" t="s">
        <v>33</v>
      </c>
      <c r="N170" s="111" t="s">
        <v>332</v>
      </c>
      <c r="O170" s="111" t="str">
        <f t="shared" si="32"/>
        <v>-2A11</v>
      </c>
      <c r="P170" s="111">
        <v>14</v>
      </c>
      <c r="Q170" s="112" t="str">
        <f t="shared" si="33"/>
        <v>Q7.5</v>
      </c>
      <c r="R170" s="111" t="str">
        <f t="shared" si="35"/>
        <v>2401_AH1¶Bin vibrator¶Start</v>
      </c>
    </row>
    <row r="171" spans="2:18" ht="14.25">
      <c r="B171" s="109">
        <v>63</v>
      </c>
      <c r="C171" s="110" t="s">
        <v>355</v>
      </c>
      <c r="D171" s="109"/>
      <c r="E171" s="80" t="s">
        <v>356</v>
      </c>
      <c r="F171" s="80" t="s">
        <v>341</v>
      </c>
      <c r="G171" s="80" t="s">
        <v>341</v>
      </c>
      <c r="H171" s="120" t="s">
        <v>270</v>
      </c>
      <c r="I171" s="67" t="s">
        <v>342</v>
      </c>
      <c r="J171" s="109" t="s">
        <v>271</v>
      </c>
      <c r="K171" s="109" t="s">
        <v>31</v>
      </c>
      <c r="L171" s="111" t="s">
        <v>32</v>
      </c>
      <c r="M171" s="111" t="s">
        <v>33</v>
      </c>
      <c r="N171" s="111" t="s">
        <v>332</v>
      </c>
      <c r="O171" s="111" t="str">
        <f t="shared" si="32"/>
        <v>-2A11</v>
      </c>
      <c r="P171" s="111">
        <v>15</v>
      </c>
      <c r="Q171" s="112" t="str">
        <f t="shared" si="33"/>
        <v>Q7.6</v>
      </c>
      <c r="R171" s="111" t="str">
        <f t="shared" si="35"/>
        <v>2501_AH1¶Bin vibrator¶Start</v>
      </c>
    </row>
    <row r="172" spans="2:18" ht="14.25">
      <c r="B172" s="109">
        <v>64</v>
      </c>
      <c r="C172" s="110" t="s">
        <v>357</v>
      </c>
      <c r="D172" s="109"/>
      <c r="E172" s="80" t="s">
        <v>358</v>
      </c>
      <c r="F172" s="80" t="s">
        <v>341</v>
      </c>
      <c r="G172" s="80" t="s">
        <v>341</v>
      </c>
      <c r="H172" s="120" t="s">
        <v>270</v>
      </c>
      <c r="I172" s="67" t="s">
        <v>342</v>
      </c>
      <c r="J172" s="109" t="s">
        <v>271</v>
      </c>
      <c r="K172" s="109" t="s">
        <v>31</v>
      </c>
      <c r="L172" s="111" t="s">
        <v>32</v>
      </c>
      <c r="M172" s="111" t="s">
        <v>33</v>
      </c>
      <c r="N172" s="111" t="s">
        <v>332</v>
      </c>
      <c r="O172" s="111" t="str">
        <f t="shared" si="32"/>
        <v>-2A11</v>
      </c>
      <c r="P172" s="111">
        <v>16</v>
      </c>
      <c r="Q172" s="112" t="str">
        <f t="shared" si="33"/>
        <v>Q7.7</v>
      </c>
      <c r="R172" s="111" t="str">
        <f t="shared" si="35"/>
        <v>2601_AH1¶Bin vibrator¶Start</v>
      </c>
    </row>
    <row r="173" spans="2:18" ht="14.25">
      <c r="B173" s="109">
        <v>65</v>
      </c>
      <c r="C173" s="110" t="s">
        <v>359</v>
      </c>
      <c r="D173" s="109"/>
      <c r="E173" s="80" t="s">
        <v>360</v>
      </c>
      <c r="F173" s="80" t="s">
        <v>341</v>
      </c>
      <c r="G173" s="80" t="s">
        <v>341</v>
      </c>
      <c r="H173" s="120" t="s">
        <v>270</v>
      </c>
      <c r="I173" s="67" t="s">
        <v>342</v>
      </c>
      <c r="J173" s="109" t="s">
        <v>271</v>
      </c>
      <c r="K173" s="109" t="s">
        <v>31</v>
      </c>
      <c r="L173" s="111" t="s">
        <v>32</v>
      </c>
      <c r="M173" s="111" t="s">
        <v>33</v>
      </c>
      <c r="N173" s="111" t="s">
        <v>361</v>
      </c>
      <c r="O173" s="111" t="str">
        <f t="shared" ref="O173" si="36">M173&amp;N173</f>
        <v>-2A12</v>
      </c>
      <c r="P173" s="111">
        <v>1</v>
      </c>
      <c r="Q173" s="112" t="str">
        <f t="shared" ref="Q173" si="37">C173</f>
        <v>Q8.0</v>
      </c>
      <c r="R173" s="111" t="str">
        <f t="shared" si="35"/>
        <v>3004_AH1¶Bin vibrator¶Start</v>
      </c>
    </row>
    <row r="174" spans="2:18" ht="14.25">
      <c r="B174" s="109">
        <v>66</v>
      </c>
      <c r="C174" s="110" t="s">
        <v>362</v>
      </c>
      <c r="D174" s="109"/>
      <c r="E174" s="67" t="s">
        <v>363</v>
      </c>
      <c r="F174" s="67" t="s">
        <v>364</v>
      </c>
      <c r="G174" s="67" t="s">
        <v>364</v>
      </c>
      <c r="H174" s="109" t="s">
        <v>270</v>
      </c>
      <c r="I174" s="67" t="s">
        <v>365</v>
      </c>
      <c r="J174" s="109" t="s">
        <v>271</v>
      </c>
      <c r="K174" s="109" t="s">
        <v>31</v>
      </c>
      <c r="L174" s="111" t="s">
        <v>32</v>
      </c>
      <c r="M174" s="111" t="s">
        <v>33</v>
      </c>
      <c r="N174" s="111" t="s">
        <v>361</v>
      </c>
      <c r="O174" s="111" t="str">
        <f t="shared" ref="O174:O220" si="38">M174&amp;N174</f>
        <v>-2A12</v>
      </c>
      <c r="P174" s="111">
        <v>2</v>
      </c>
      <c r="Q174" s="112" t="str">
        <f t="shared" ref="Q174:Q220" si="39">C174</f>
        <v>Q8.1</v>
      </c>
      <c r="R174" s="111" t="str">
        <f t="shared" ref="R174" si="40">E174&amp;L174&amp;I174&amp;L174&amp;J174</f>
        <v>2024_QM¶Air cap¶Start</v>
      </c>
    </row>
    <row r="175" spans="2:18" ht="14.25">
      <c r="B175" s="109">
        <v>67</v>
      </c>
      <c r="C175" s="110" t="s">
        <v>366</v>
      </c>
      <c r="D175" s="109"/>
      <c r="E175" s="67" t="s">
        <v>367</v>
      </c>
      <c r="F175" s="67" t="s">
        <v>119</v>
      </c>
      <c r="G175" s="67" t="s">
        <v>119</v>
      </c>
      <c r="H175" s="109" t="s">
        <v>270</v>
      </c>
      <c r="I175" s="67" t="s">
        <v>368</v>
      </c>
      <c r="J175" s="109" t="s">
        <v>271</v>
      </c>
      <c r="K175" s="109" t="s">
        <v>31</v>
      </c>
      <c r="L175" s="111" t="s">
        <v>32</v>
      </c>
      <c r="M175" s="111" t="s">
        <v>33</v>
      </c>
      <c r="N175" s="111" t="s">
        <v>361</v>
      </c>
      <c r="O175" s="111" t="str">
        <f t="shared" si="38"/>
        <v>-2A12</v>
      </c>
      <c r="P175" s="111">
        <v>3</v>
      </c>
      <c r="Q175" s="112" t="str">
        <f t="shared" si="39"/>
        <v>Q8.2</v>
      </c>
      <c r="R175" s="111" t="str">
        <f t="shared" ref="R175:R209" si="41">E175&amp;L175&amp;I175&amp;L175&amp;J175</f>
        <v>2101_1_QS¶Air lock¶Start</v>
      </c>
    </row>
    <row r="176" spans="2:18" ht="14.25">
      <c r="B176" s="109">
        <v>68</v>
      </c>
      <c r="C176" s="110" t="s">
        <v>369</v>
      </c>
      <c r="D176" s="109"/>
      <c r="E176" s="67" t="s">
        <v>370</v>
      </c>
      <c r="F176" s="67" t="s">
        <v>123</v>
      </c>
      <c r="G176" s="67" t="s">
        <v>123</v>
      </c>
      <c r="H176" s="109" t="s">
        <v>270</v>
      </c>
      <c r="I176" s="67" t="s">
        <v>368</v>
      </c>
      <c r="J176" s="109" t="s">
        <v>271</v>
      </c>
      <c r="K176" s="109" t="s">
        <v>31</v>
      </c>
      <c r="L176" s="111" t="s">
        <v>32</v>
      </c>
      <c r="M176" s="111" t="s">
        <v>33</v>
      </c>
      <c r="N176" s="111" t="s">
        <v>361</v>
      </c>
      <c r="O176" s="111" t="str">
        <f t="shared" si="38"/>
        <v>-2A12</v>
      </c>
      <c r="P176" s="111">
        <v>4</v>
      </c>
      <c r="Q176" s="112" t="str">
        <f t="shared" si="39"/>
        <v>Q8.3</v>
      </c>
      <c r="R176" s="111" t="str">
        <f t="shared" si="41"/>
        <v>2101_2_QS¶Air lock¶Start</v>
      </c>
    </row>
    <row r="177" spans="2:18" ht="14.25">
      <c r="B177" s="109">
        <v>69</v>
      </c>
      <c r="C177" s="110" t="s">
        <v>371</v>
      </c>
      <c r="D177" s="109"/>
      <c r="E177" s="67" t="s">
        <v>372</v>
      </c>
      <c r="F177" s="67" t="s">
        <v>127</v>
      </c>
      <c r="G177" s="67" t="s">
        <v>127</v>
      </c>
      <c r="H177" s="109" t="s">
        <v>270</v>
      </c>
      <c r="I177" s="67" t="s">
        <v>368</v>
      </c>
      <c r="J177" s="109" t="s">
        <v>271</v>
      </c>
      <c r="K177" s="109" t="s">
        <v>31</v>
      </c>
      <c r="L177" s="111" t="s">
        <v>32</v>
      </c>
      <c r="M177" s="111" t="s">
        <v>33</v>
      </c>
      <c r="N177" s="111" t="s">
        <v>361</v>
      </c>
      <c r="O177" s="111" t="str">
        <f t="shared" si="38"/>
        <v>-2A12</v>
      </c>
      <c r="P177" s="111">
        <v>5</v>
      </c>
      <c r="Q177" s="112" t="str">
        <f t="shared" si="39"/>
        <v>Q8.4</v>
      </c>
      <c r="R177" s="111" t="str">
        <f t="shared" si="41"/>
        <v>2101_3_QS¶Air lock¶Start</v>
      </c>
    </row>
    <row r="178" spans="2:18" ht="14.25">
      <c r="B178" s="109">
        <v>70</v>
      </c>
      <c r="C178" s="110" t="s">
        <v>373</v>
      </c>
      <c r="D178" s="109"/>
      <c r="E178" s="67" t="s">
        <v>374</v>
      </c>
      <c r="F178" s="67" t="s">
        <v>131</v>
      </c>
      <c r="G178" s="67" t="s">
        <v>131</v>
      </c>
      <c r="H178" s="109" t="s">
        <v>270</v>
      </c>
      <c r="I178" s="67" t="s">
        <v>368</v>
      </c>
      <c r="J178" s="109" t="s">
        <v>271</v>
      </c>
      <c r="K178" s="109" t="s">
        <v>31</v>
      </c>
      <c r="L178" s="111" t="s">
        <v>32</v>
      </c>
      <c r="M178" s="111" t="s">
        <v>33</v>
      </c>
      <c r="N178" s="111" t="s">
        <v>361</v>
      </c>
      <c r="O178" s="111" t="str">
        <f t="shared" si="38"/>
        <v>-2A12</v>
      </c>
      <c r="P178" s="111">
        <v>6</v>
      </c>
      <c r="Q178" s="112" t="str">
        <f t="shared" si="39"/>
        <v>Q8.5</v>
      </c>
      <c r="R178" s="111" t="str">
        <f t="shared" si="41"/>
        <v>2101_4_QS¶Air lock¶Start</v>
      </c>
    </row>
    <row r="179" spans="2:18" ht="14.25">
      <c r="B179" s="109">
        <v>71</v>
      </c>
      <c r="C179" s="110" t="s">
        <v>375</v>
      </c>
      <c r="D179" s="109"/>
      <c r="E179" s="67" t="s">
        <v>376</v>
      </c>
      <c r="F179" s="67" t="s">
        <v>135</v>
      </c>
      <c r="G179" s="67" t="s">
        <v>135</v>
      </c>
      <c r="H179" s="109" t="s">
        <v>270</v>
      </c>
      <c r="I179" s="67" t="s">
        <v>368</v>
      </c>
      <c r="J179" s="109" t="s">
        <v>271</v>
      </c>
      <c r="K179" s="109" t="s">
        <v>31</v>
      </c>
      <c r="L179" s="111" t="s">
        <v>32</v>
      </c>
      <c r="M179" s="111" t="s">
        <v>33</v>
      </c>
      <c r="N179" s="111" t="s">
        <v>361</v>
      </c>
      <c r="O179" s="111" t="str">
        <f t="shared" si="38"/>
        <v>-2A12</v>
      </c>
      <c r="P179" s="111">
        <v>7</v>
      </c>
      <c r="Q179" s="112" t="str">
        <f t="shared" si="39"/>
        <v>Q8.6</v>
      </c>
      <c r="R179" s="111" t="str">
        <f t="shared" si="41"/>
        <v>2101_5_QS¶Air lock¶Start</v>
      </c>
    </row>
    <row r="180" spans="2:18" ht="14.25">
      <c r="B180" s="109">
        <v>72</v>
      </c>
      <c r="C180" s="110" t="s">
        <v>377</v>
      </c>
      <c r="D180" s="109"/>
      <c r="E180" s="67" t="s">
        <v>378</v>
      </c>
      <c r="F180" s="67" t="s">
        <v>140</v>
      </c>
      <c r="G180" s="67" t="s">
        <v>140</v>
      </c>
      <c r="H180" s="109" t="s">
        <v>270</v>
      </c>
      <c r="I180" s="67" t="s">
        <v>368</v>
      </c>
      <c r="J180" s="109" t="s">
        <v>271</v>
      </c>
      <c r="K180" s="109" t="s">
        <v>31</v>
      </c>
      <c r="L180" s="111" t="s">
        <v>32</v>
      </c>
      <c r="M180" s="111" t="s">
        <v>33</v>
      </c>
      <c r="N180" s="111" t="s">
        <v>361</v>
      </c>
      <c r="O180" s="111" t="str">
        <f t="shared" si="38"/>
        <v>-2A12</v>
      </c>
      <c r="P180" s="111">
        <v>8</v>
      </c>
      <c r="Q180" s="112" t="str">
        <f t="shared" si="39"/>
        <v>Q8.7</v>
      </c>
      <c r="R180" s="111" t="str">
        <f t="shared" si="41"/>
        <v>2101_6_QS¶Air lock¶Start</v>
      </c>
    </row>
    <row r="181" spans="2:18" ht="14.25">
      <c r="B181" s="109">
        <v>73</v>
      </c>
      <c r="C181" s="110" t="s">
        <v>379</v>
      </c>
      <c r="D181" s="109"/>
      <c r="E181" s="67" t="s">
        <v>380</v>
      </c>
      <c r="F181" s="67" t="s">
        <v>145</v>
      </c>
      <c r="G181" s="67" t="s">
        <v>145</v>
      </c>
      <c r="H181" s="109" t="s">
        <v>270</v>
      </c>
      <c r="I181" s="67" t="s">
        <v>368</v>
      </c>
      <c r="J181" s="109" t="s">
        <v>271</v>
      </c>
      <c r="K181" s="109" t="s">
        <v>31</v>
      </c>
      <c r="L181" s="111" t="s">
        <v>32</v>
      </c>
      <c r="M181" s="111" t="s">
        <v>33</v>
      </c>
      <c r="N181" s="111" t="s">
        <v>361</v>
      </c>
      <c r="O181" s="111" t="str">
        <f t="shared" si="38"/>
        <v>-2A12</v>
      </c>
      <c r="P181" s="111">
        <v>9</v>
      </c>
      <c r="Q181" s="112" t="str">
        <f t="shared" si="39"/>
        <v>Q9.0</v>
      </c>
      <c r="R181" s="111" t="str">
        <f t="shared" si="41"/>
        <v>2101_7_QS¶Air lock¶Start</v>
      </c>
    </row>
    <row r="182" spans="2:18" ht="14.25">
      <c r="B182" s="109">
        <v>74</v>
      </c>
      <c r="C182" s="110" t="s">
        <v>381</v>
      </c>
      <c r="D182" s="109"/>
      <c r="E182" s="67" t="s">
        <v>382</v>
      </c>
      <c r="F182" s="67" t="s">
        <v>150</v>
      </c>
      <c r="G182" s="67" t="s">
        <v>150</v>
      </c>
      <c r="H182" s="109" t="s">
        <v>270</v>
      </c>
      <c r="I182" s="67" t="s">
        <v>368</v>
      </c>
      <c r="J182" s="109" t="s">
        <v>271</v>
      </c>
      <c r="K182" s="109" t="s">
        <v>31</v>
      </c>
      <c r="L182" s="111" t="s">
        <v>32</v>
      </c>
      <c r="M182" s="111" t="s">
        <v>33</v>
      </c>
      <c r="N182" s="111" t="s">
        <v>361</v>
      </c>
      <c r="O182" s="111" t="str">
        <f t="shared" si="38"/>
        <v>-2A12</v>
      </c>
      <c r="P182" s="111">
        <v>10</v>
      </c>
      <c r="Q182" s="112" t="str">
        <f t="shared" si="39"/>
        <v>Q9.1</v>
      </c>
      <c r="R182" s="111" t="str">
        <f t="shared" si="41"/>
        <v>2101_8_QS¶Air lock¶Start</v>
      </c>
    </row>
    <row r="183" spans="2:18" ht="14.25">
      <c r="B183" s="109">
        <v>75</v>
      </c>
      <c r="C183" s="110" t="s">
        <v>383</v>
      </c>
      <c r="D183" s="109"/>
      <c r="E183" s="67" t="s">
        <v>384</v>
      </c>
      <c r="F183" s="67" t="s">
        <v>155</v>
      </c>
      <c r="G183" s="67" t="s">
        <v>155</v>
      </c>
      <c r="H183" s="109" t="s">
        <v>270</v>
      </c>
      <c r="I183" s="67" t="s">
        <v>368</v>
      </c>
      <c r="J183" s="109" t="s">
        <v>271</v>
      </c>
      <c r="K183" s="109" t="s">
        <v>31</v>
      </c>
      <c r="L183" s="111" t="s">
        <v>32</v>
      </c>
      <c r="M183" s="111" t="s">
        <v>33</v>
      </c>
      <c r="N183" s="111" t="s">
        <v>361</v>
      </c>
      <c r="O183" s="111" t="str">
        <f t="shared" si="38"/>
        <v>-2A12</v>
      </c>
      <c r="P183" s="111">
        <v>11</v>
      </c>
      <c r="Q183" s="112" t="str">
        <f t="shared" si="39"/>
        <v>Q9.2</v>
      </c>
      <c r="R183" s="111" t="str">
        <f t="shared" si="41"/>
        <v>2101_9_QS¶Air lock¶Start</v>
      </c>
    </row>
    <row r="184" spans="2:18" ht="14.25">
      <c r="B184" s="109">
        <v>76</v>
      </c>
      <c r="C184" s="110" t="s">
        <v>385</v>
      </c>
      <c r="D184" s="109"/>
      <c r="E184" s="67" t="s">
        <v>386</v>
      </c>
      <c r="F184" s="67" t="s">
        <v>160</v>
      </c>
      <c r="G184" s="67" t="s">
        <v>160</v>
      </c>
      <c r="H184" s="109" t="s">
        <v>270</v>
      </c>
      <c r="I184" s="67" t="s">
        <v>368</v>
      </c>
      <c r="J184" s="109" t="s">
        <v>271</v>
      </c>
      <c r="K184" s="109" t="s">
        <v>31</v>
      </c>
      <c r="L184" s="111" t="s">
        <v>32</v>
      </c>
      <c r="M184" s="111" t="s">
        <v>33</v>
      </c>
      <c r="N184" s="111" t="s">
        <v>361</v>
      </c>
      <c r="O184" s="111" t="str">
        <f t="shared" si="38"/>
        <v>-2A12</v>
      </c>
      <c r="P184" s="111">
        <v>12</v>
      </c>
      <c r="Q184" s="112" t="str">
        <f t="shared" si="39"/>
        <v>Q9.3</v>
      </c>
      <c r="R184" s="111" t="str">
        <f t="shared" si="41"/>
        <v>2101_10_QS¶Air lock¶Start</v>
      </c>
    </row>
    <row r="185" spans="2:18" ht="14.25">
      <c r="B185" s="109">
        <v>77</v>
      </c>
      <c r="C185" s="110" t="s">
        <v>387</v>
      </c>
      <c r="D185" s="109"/>
      <c r="E185" s="67" t="s">
        <v>388</v>
      </c>
      <c r="F185" s="67" t="s">
        <v>165</v>
      </c>
      <c r="G185" s="67" t="s">
        <v>165</v>
      </c>
      <c r="H185" s="109" t="s">
        <v>270</v>
      </c>
      <c r="I185" s="67" t="s">
        <v>368</v>
      </c>
      <c r="J185" s="109" t="s">
        <v>271</v>
      </c>
      <c r="K185" s="109" t="s">
        <v>31</v>
      </c>
      <c r="L185" s="111" t="s">
        <v>32</v>
      </c>
      <c r="M185" s="111" t="s">
        <v>33</v>
      </c>
      <c r="N185" s="111" t="s">
        <v>361</v>
      </c>
      <c r="O185" s="111" t="str">
        <f t="shared" si="38"/>
        <v>-2A12</v>
      </c>
      <c r="P185" s="111">
        <v>13</v>
      </c>
      <c r="Q185" s="112" t="str">
        <f t="shared" si="39"/>
        <v>Q9.4</v>
      </c>
      <c r="R185" s="111" t="str">
        <f t="shared" si="41"/>
        <v>2101_11_QS¶Air lock¶Start</v>
      </c>
    </row>
    <row r="186" spans="2:18" ht="14.25">
      <c r="B186" s="109">
        <v>78</v>
      </c>
      <c r="C186" s="110" t="s">
        <v>389</v>
      </c>
      <c r="D186" s="109"/>
      <c r="E186" s="67" t="s">
        <v>390</v>
      </c>
      <c r="F186" s="67" t="s">
        <v>169</v>
      </c>
      <c r="G186" s="67" t="s">
        <v>169</v>
      </c>
      <c r="H186" s="109" t="s">
        <v>270</v>
      </c>
      <c r="I186" s="67" t="s">
        <v>368</v>
      </c>
      <c r="J186" s="109" t="s">
        <v>271</v>
      </c>
      <c r="K186" s="109" t="s">
        <v>31</v>
      </c>
      <c r="L186" s="111" t="s">
        <v>32</v>
      </c>
      <c r="M186" s="111" t="s">
        <v>33</v>
      </c>
      <c r="N186" s="111" t="s">
        <v>361</v>
      </c>
      <c r="O186" s="111" t="str">
        <f t="shared" si="38"/>
        <v>-2A12</v>
      </c>
      <c r="P186" s="111">
        <v>14</v>
      </c>
      <c r="Q186" s="112" t="str">
        <f t="shared" si="39"/>
        <v>Q9.5</v>
      </c>
      <c r="R186" s="111" t="str">
        <f t="shared" si="41"/>
        <v>2101_12_QS¶Air lock¶Start</v>
      </c>
    </row>
    <row r="187" spans="2:18" ht="14.25">
      <c r="B187" s="109">
        <v>79</v>
      </c>
      <c r="C187" s="110" t="s">
        <v>391</v>
      </c>
      <c r="D187" s="109"/>
      <c r="E187" s="67" t="s">
        <v>392</v>
      </c>
      <c r="F187" s="67" t="s">
        <v>173</v>
      </c>
      <c r="G187" s="67" t="s">
        <v>173</v>
      </c>
      <c r="H187" s="109" t="s">
        <v>270</v>
      </c>
      <c r="I187" s="67" t="s">
        <v>368</v>
      </c>
      <c r="J187" s="109" t="s">
        <v>271</v>
      </c>
      <c r="K187" s="109" t="s">
        <v>31</v>
      </c>
      <c r="L187" s="111" t="s">
        <v>32</v>
      </c>
      <c r="M187" s="111" t="s">
        <v>33</v>
      </c>
      <c r="N187" s="111" t="s">
        <v>361</v>
      </c>
      <c r="O187" s="111" t="str">
        <f t="shared" si="38"/>
        <v>-2A12</v>
      </c>
      <c r="P187" s="111">
        <v>15</v>
      </c>
      <c r="Q187" s="112" t="str">
        <f t="shared" si="39"/>
        <v>Q9.6</v>
      </c>
      <c r="R187" s="111" t="str">
        <f t="shared" si="41"/>
        <v>2101_13_QS¶Air lock¶Start</v>
      </c>
    </row>
    <row r="188" spans="2:18" ht="14.25">
      <c r="B188" s="109">
        <v>80</v>
      </c>
      <c r="C188" s="110" t="s">
        <v>393</v>
      </c>
      <c r="D188" s="109"/>
      <c r="E188" s="67" t="s">
        <v>394</v>
      </c>
      <c r="F188" s="67" t="s">
        <v>177</v>
      </c>
      <c r="G188" s="67" t="s">
        <v>177</v>
      </c>
      <c r="H188" s="109" t="s">
        <v>270</v>
      </c>
      <c r="I188" s="67" t="s">
        <v>368</v>
      </c>
      <c r="J188" s="109" t="s">
        <v>271</v>
      </c>
      <c r="K188" s="109" t="s">
        <v>31</v>
      </c>
      <c r="L188" s="111" t="s">
        <v>32</v>
      </c>
      <c r="M188" s="111" t="s">
        <v>33</v>
      </c>
      <c r="N188" s="111" t="s">
        <v>361</v>
      </c>
      <c r="O188" s="111" t="str">
        <f t="shared" si="38"/>
        <v>-2A12</v>
      </c>
      <c r="P188" s="111">
        <v>16</v>
      </c>
      <c r="Q188" s="112" t="str">
        <f t="shared" si="39"/>
        <v>Q9.7</v>
      </c>
      <c r="R188" s="111" t="str">
        <f t="shared" si="41"/>
        <v>2101_14_QS¶Air lock¶Start</v>
      </c>
    </row>
    <row r="189" spans="2:18" ht="14.25">
      <c r="B189" s="109">
        <v>81</v>
      </c>
      <c r="C189" s="110" t="s">
        <v>395</v>
      </c>
      <c r="D189" s="109"/>
      <c r="E189" s="67" t="s">
        <v>396</v>
      </c>
      <c r="F189" s="67" t="s">
        <v>181</v>
      </c>
      <c r="G189" s="67" t="s">
        <v>181</v>
      </c>
      <c r="H189" s="109" t="s">
        <v>270</v>
      </c>
      <c r="I189" s="67" t="s">
        <v>368</v>
      </c>
      <c r="J189" s="109" t="s">
        <v>271</v>
      </c>
      <c r="K189" s="109" t="s">
        <v>31</v>
      </c>
      <c r="L189" s="111" t="s">
        <v>32</v>
      </c>
      <c r="M189" s="111" t="s">
        <v>33</v>
      </c>
      <c r="N189" s="111" t="s">
        <v>397</v>
      </c>
      <c r="O189" s="111" t="str">
        <f t="shared" si="38"/>
        <v>-2A13</v>
      </c>
      <c r="P189" s="111">
        <v>1</v>
      </c>
      <c r="Q189" s="112" t="str">
        <f t="shared" si="39"/>
        <v>Q10.0</v>
      </c>
      <c r="R189" s="111" t="str">
        <f t="shared" si="41"/>
        <v>2101_15_QS¶Air lock¶Start</v>
      </c>
    </row>
    <row r="190" spans="2:18" ht="14.25">
      <c r="B190" s="109">
        <v>82</v>
      </c>
      <c r="C190" s="110" t="s">
        <v>398</v>
      </c>
      <c r="D190" s="109"/>
      <c r="E190" s="67" t="s">
        <v>399</v>
      </c>
      <c r="F190" s="67" t="s">
        <v>185</v>
      </c>
      <c r="G190" s="67" t="s">
        <v>185</v>
      </c>
      <c r="H190" s="109" t="s">
        <v>270</v>
      </c>
      <c r="I190" s="67" t="s">
        <v>368</v>
      </c>
      <c r="J190" s="109" t="s">
        <v>271</v>
      </c>
      <c r="K190" s="109" t="s">
        <v>31</v>
      </c>
      <c r="L190" s="111" t="s">
        <v>32</v>
      </c>
      <c r="M190" s="111" t="s">
        <v>33</v>
      </c>
      <c r="N190" s="111" t="s">
        <v>397</v>
      </c>
      <c r="O190" s="111" t="str">
        <f t="shared" si="38"/>
        <v>-2A13</v>
      </c>
      <c r="P190" s="111">
        <v>2</v>
      </c>
      <c r="Q190" s="112" t="str">
        <f t="shared" si="39"/>
        <v>Q10.1</v>
      </c>
      <c r="R190" s="111" t="str">
        <f t="shared" si="41"/>
        <v>2101_16_QS¶Air lock¶Start</v>
      </c>
    </row>
    <row r="191" spans="2:18" ht="14.25">
      <c r="B191" s="109">
        <v>83</v>
      </c>
      <c r="C191" s="110" t="s">
        <v>400</v>
      </c>
      <c r="D191" s="109"/>
      <c r="E191" s="67" t="s">
        <v>401</v>
      </c>
      <c r="F191" s="67" t="s">
        <v>190</v>
      </c>
      <c r="G191" s="67" t="s">
        <v>190</v>
      </c>
      <c r="H191" s="109" t="s">
        <v>270</v>
      </c>
      <c r="I191" s="67" t="s">
        <v>368</v>
      </c>
      <c r="J191" s="109" t="s">
        <v>271</v>
      </c>
      <c r="K191" s="109" t="s">
        <v>31</v>
      </c>
      <c r="L191" s="111" t="s">
        <v>32</v>
      </c>
      <c r="M191" s="111" t="s">
        <v>33</v>
      </c>
      <c r="N191" s="111" t="s">
        <v>397</v>
      </c>
      <c r="O191" s="111" t="str">
        <f t="shared" si="38"/>
        <v>-2A13</v>
      </c>
      <c r="P191" s="111">
        <v>3</v>
      </c>
      <c r="Q191" s="112" t="str">
        <f t="shared" si="39"/>
        <v>Q10.2</v>
      </c>
      <c r="R191" s="111" t="str">
        <f t="shared" si="41"/>
        <v>2101_17_QS¶Air lock¶Start</v>
      </c>
    </row>
    <row r="192" spans="2:18" ht="14.25">
      <c r="B192" s="109">
        <v>84</v>
      </c>
      <c r="C192" s="110" t="s">
        <v>402</v>
      </c>
      <c r="D192" s="109"/>
      <c r="E192" s="67" t="s">
        <v>403</v>
      </c>
      <c r="F192" s="67" t="s">
        <v>194</v>
      </c>
      <c r="G192" s="67" t="s">
        <v>194</v>
      </c>
      <c r="H192" s="109" t="s">
        <v>270</v>
      </c>
      <c r="I192" s="67" t="s">
        <v>368</v>
      </c>
      <c r="J192" s="109" t="s">
        <v>271</v>
      </c>
      <c r="K192" s="109" t="s">
        <v>31</v>
      </c>
      <c r="L192" s="111" t="s">
        <v>32</v>
      </c>
      <c r="M192" s="111" t="s">
        <v>33</v>
      </c>
      <c r="N192" s="111" t="s">
        <v>397</v>
      </c>
      <c r="O192" s="111" t="str">
        <f t="shared" si="38"/>
        <v>-2A13</v>
      </c>
      <c r="P192" s="111">
        <v>4</v>
      </c>
      <c r="Q192" s="112" t="str">
        <f t="shared" si="39"/>
        <v>Q10.3</v>
      </c>
      <c r="R192" s="111" t="str">
        <f t="shared" si="41"/>
        <v>2101_18_QS¶Air lock¶Start</v>
      </c>
    </row>
    <row r="193" spans="2:18" ht="14.25">
      <c r="B193" s="109">
        <v>85</v>
      </c>
      <c r="C193" s="110" t="s">
        <v>404</v>
      </c>
      <c r="D193" s="109"/>
      <c r="E193" s="67" t="s">
        <v>405</v>
      </c>
      <c r="F193" s="67" t="s">
        <v>199</v>
      </c>
      <c r="G193" s="67" t="s">
        <v>199</v>
      </c>
      <c r="H193" s="109" t="s">
        <v>270</v>
      </c>
      <c r="I193" s="67" t="s">
        <v>368</v>
      </c>
      <c r="J193" s="109" t="s">
        <v>271</v>
      </c>
      <c r="K193" s="109" t="s">
        <v>31</v>
      </c>
      <c r="L193" s="111" t="s">
        <v>32</v>
      </c>
      <c r="M193" s="111" t="s">
        <v>33</v>
      </c>
      <c r="N193" s="111" t="s">
        <v>397</v>
      </c>
      <c r="O193" s="111" t="str">
        <f t="shared" si="38"/>
        <v>-2A13</v>
      </c>
      <c r="P193" s="111">
        <v>5</v>
      </c>
      <c r="Q193" s="112" t="str">
        <f t="shared" si="39"/>
        <v>Q10.4</v>
      </c>
      <c r="R193" s="111" t="str">
        <f t="shared" si="41"/>
        <v>2101_19_QS¶Air lock¶Start</v>
      </c>
    </row>
    <row r="194" spans="2:18" ht="14.25">
      <c r="B194" s="109">
        <v>86</v>
      </c>
      <c r="C194" s="110" t="s">
        <v>406</v>
      </c>
      <c r="D194" s="109"/>
      <c r="E194" s="67" t="s">
        <v>407</v>
      </c>
      <c r="F194" s="67" t="s">
        <v>204</v>
      </c>
      <c r="G194" s="67" t="s">
        <v>204</v>
      </c>
      <c r="H194" s="109" t="s">
        <v>270</v>
      </c>
      <c r="I194" s="67" t="s">
        <v>368</v>
      </c>
      <c r="J194" s="109" t="s">
        <v>271</v>
      </c>
      <c r="K194" s="109" t="s">
        <v>31</v>
      </c>
      <c r="L194" s="111" t="s">
        <v>32</v>
      </c>
      <c r="M194" s="111" t="s">
        <v>33</v>
      </c>
      <c r="N194" s="111" t="s">
        <v>397</v>
      </c>
      <c r="O194" s="111" t="str">
        <f t="shared" si="38"/>
        <v>-2A13</v>
      </c>
      <c r="P194" s="111">
        <v>6</v>
      </c>
      <c r="Q194" s="112" t="str">
        <f t="shared" si="39"/>
        <v>Q10.5</v>
      </c>
      <c r="R194" s="111" t="str">
        <f t="shared" si="41"/>
        <v>2101_20_QS¶Air lock¶Start</v>
      </c>
    </row>
    <row r="195" spans="2:18" ht="14.25">
      <c r="B195" s="109">
        <v>87</v>
      </c>
      <c r="C195" s="110" t="s">
        <v>408</v>
      </c>
      <c r="D195" s="109"/>
      <c r="E195" s="67" t="s">
        <v>409</v>
      </c>
      <c r="F195" s="67" t="s">
        <v>208</v>
      </c>
      <c r="G195" s="67" t="s">
        <v>208</v>
      </c>
      <c r="H195" s="109" t="s">
        <v>270</v>
      </c>
      <c r="I195" s="67" t="s">
        <v>368</v>
      </c>
      <c r="J195" s="109" t="s">
        <v>271</v>
      </c>
      <c r="K195" s="109" t="s">
        <v>31</v>
      </c>
      <c r="L195" s="111" t="s">
        <v>32</v>
      </c>
      <c r="M195" s="111" t="s">
        <v>33</v>
      </c>
      <c r="N195" s="111" t="s">
        <v>397</v>
      </c>
      <c r="O195" s="111" t="str">
        <f t="shared" si="38"/>
        <v>-2A13</v>
      </c>
      <c r="P195" s="111">
        <v>7</v>
      </c>
      <c r="Q195" s="112" t="str">
        <f t="shared" si="39"/>
        <v>Q10.6</v>
      </c>
      <c r="R195" s="111" t="str">
        <f t="shared" si="41"/>
        <v>2101_21_QS¶Air lock¶Start</v>
      </c>
    </row>
    <row r="196" spans="2:18" ht="14.25">
      <c r="B196" s="109">
        <v>88</v>
      </c>
      <c r="C196" s="110" t="s">
        <v>410</v>
      </c>
      <c r="D196" s="109"/>
      <c r="E196" s="67" t="s">
        <v>411</v>
      </c>
      <c r="F196" s="67" t="s">
        <v>212</v>
      </c>
      <c r="G196" s="67" t="s">
        <v>212</v>
      </c>
      <c r="H196" s="109" t="s">
        <v>270</v>
      </c>
      <c r="I196" s="67" t="s">
        <v>368</v>
      </c>
      <c r="J196" s="109" t="s">
        <v>271</v>
      </c>
      <c r="K196" s="109" t="s">
        <v>31</v>
      </c>
      <c r="L196" s="111" t="s">
        <v>32</v>
      </c>
      <c r="M196" s="111" t="s">
        <v>33</v>
      </c>
      <c r="N196" s="111" t="s">
        <v>397</v>
      </c>
      <c r="O196" s="111" t="str">
        <f t="shared" si="38"/>
        <v>-2A13</v>
      </c>
      <c r="P196" s="111">
        <v>8</v>
      </c>
      <c r="Q196" s="112" t="str">
        <f t="shared" si="39"/>
        <v>Q10.7</v>
      </c>
      <c r="R196" s="111" t="str">
        <f t="shared" si="41"/>
        <v>2101_22_QS¶Air lock¶Start</v>
      </c>
    </row>
    <row r="197" spans="2:18" ht="14.25">
      <c r="B197" s="109">
        <v>89</v>
      </c>
      <c r="C197" s="110" t="s">
        <v>412</v>
      </c>
      <c r="D197" s="109"/>
      <c r="E197" s="67" t="s">
        <v>413</v>
      </c>
      <c r="F197" s="67" t="s">
        <v>216</v>
      </c>
      <c r="G197" s="67" t="s">
        <v>216</v>
      </c>
      <c r="H197" s="109" t="s">
        <v>270</v>
      </c>
      <c r="I197" s="67" t="s">
        <v>368</v>
      </c>
      <c r="J197" s="109" t="s">
        <v>271</v>
      </c>
      <c r="K197" s="109" t="s">
        <v>31</v>
      </c>
      <c r="L197" s="111" t="s">
        <v>32</v>
      </c>
      <c r="M197" s="111" t="s">
        <v>33</v>
      </c>
      <c r="N197" s="111" t="s">
        <v>397</v>
      </c>
      <c r="O197" s="111" t="str">
        <f t="shared" si="38"/>
        <v>-2A13</v>
      </c>
      <c r="P197" s="111">
        <v>9</v>
      </c>
      <c r="Q197" s="112" t="str">
        <f t="shared" si="39"/>
        <v>Q11.0</v>
      </c>
      <c r="R197" s="111" t="str">
        <f t="shared" si="41"/>
        <v>2101_23_QS¶Air lock¶Start</v>
      </c>
    </row>
    <row r="198" spans="2:18" ht="14.25">
      <c r="B198" s="109">
        <v>90</v>
      </c>
      <c r="C198" s="110" t="s">
        <v>414</v>
      </c>
      <c r="D198" s="109"/>
      <c r="E198" s="67" t="s">
        <v>415</v>
      </c>
      <c r="F198" s="67" t="s">
        <v>220</v>
      </c>
      <c r="G198" s="67" t="s">
        <v>220</v>
      </c>
      <c r="H198" s="109" t="s">
        <v>270</v>
      </c>
      <c r="I198" s="67" t="s">
        <v>368</v>
      </c>
      <c r="J198" s="109" t="s">
        <v>271</v>
      </c>
      <c r="K198" s="109" t="s">
        <v>31</v>
      </c>
      <c r="L198" s="111" t="s">
        <v>32</v>
      </c>
      <c r="M198" s="111" t="s">
        <v>33</v>
      </c>
      <c r="N198" s="111" t="s">
        <v>397</v>
      </c>
      <c r="O198" s="111" t="str">
        <f t="shared" si="38"/>
        <v>-2A13</v>
      </c>
      <c r="P198" s="111">
        <v>10</v>
      </c>
      <c r="Q198" s="112" t="str">
        <f t="shared" si="39"/>
        <v>Q11.1</v>
      </c>
      <c r="R198" s="111" t="str">
        <f t="shared" si="41"/>
        <v>2101_24_QS¶Air lock¶Start</v>
      </c>
    </row>
    <row r="199" spans="2:18" ht="14.25">
      <c r="B199" s="109">
        <v>91</v>
      </c>
      <c r="C199" s="110" t="s">
        <v>416</v>
      </c>
      <c r="D199" s="109"/>
      <c r="E199" s="67" t="s">
        <v>417</v>
      </c>
      <c r="F199" s="67" t="s">
        <v>224</v>
      </c>
      <c r="G199" s="67" t="s">
        <v>224</v>
      </c>
      <c r="H199" s="109" t="s">
        <v>270</v>
      </c>
      <c r="I199" s="67" t="s">
        <v>368</v>
      </c>
      <c r="J199" s="109" t="s">
        <v>271</v>
      </c>
      <c r="K199" s="109" t="s">
        <v>31</v>
      </c>
      <c r="L199" s="111" t="s">
        <v>32</v>
      </c>
      <c r="M199" s="111" t="s">
        <v>33</v>
      </c>
      <c r="N199" s="111" t="s">
        <v>397</v>
      </c>
      <c r="O199" s="111" t="str">
        <f t="shared" si="38"/>
        <v>-2A13</v>
      </c>
      <c r="P199" s="111">
        <v>11</v>
      </c>
      <c r="Q199" s="112" t="str">
        <f t="shared" si="39"/>
        <v>Q11.2</v>
      </c>
      <c r="R199" s="111" t="str">
        <f t="shared" si="41"/>
        <v>2101_25_QS¶Air lock¶Start</v>
      </c>
    </row>
    <row r="200" spans="2:18" ht="14.25">
      <c r="B200" s="109">
        <v>92</v>
      </c>
      <c r="C200" s="110" t="s">
        <v>418</v>
      </c>
      <c r="D200" s="109"/>
      <c r="E200" s="67" t="s">
        <v>419</v>
      </c>
      <c r="F200" s="67" t="s">
        <v>228</v>
      </c>
      <c r="G200" s="67" t="s">
        <v>228</v>
      </c>
      <c r="H200" s="109" t="s">
        <v>270</v>
      </c>
      <c r="I200" s="67" t="s">
        <v>368</v>
      </c>
      <c r="J200" s="109" t="s">
        <v>271</v>
      </c>
      <c r="K200" s="109" t="s">
        <v>31</v>
      </c>
      <c r="L200" s="111" t="s">
        <v>32</v>
      </c>
      <c r="M200" s="111" t="s">
        <v>33</v>
      </c>
      <c r="N200" s="111" t="s">
        <v>397</v>
      </c>
      <c r="O200" s="111" t="str">
        <f t="shared" si="38"/>
        <v>-2A13</v>
      </c>
      <c r="P200" s="111">
        <v>12</v>
      </c>
      <c r="Q200" s="112" t="str">
        <f t="shared" si="39"/>
        <v>Q11.3</v>
      </c>
      <c r="R200" s="111" t="str">
        <f t="shared" si="41"/>
        <v>2101_26_QS¶Air lock¶Start</v>
      </c>
    </row>
    <row r="201" spans="2:18" ht="14.25">
      <c r="B201" s="109">
        <v>93</v>
      </c>
      <c r="C201" s="110" t="s">
        <v>420</v>
      </c>
      <c r="D201" s="109"/>
      <c r="E201" s="67" t="s">
        <v>421</v>
      </c>
      <c r="F201" s="67" t="s">
        <v>232</v>
      </c>
      <c r="G201" s="67" t="s">
        <v>232</v>
      </c>
      <c r="H201" s="109" t="s">
        <v>270</v>
      </c>
      <c r="I201" s="67" t="s">
        <v>368</v>
      </c>
      <c r="J201" s="109" t="s">
        <v>271</v>
      </c>
      <c r="K201" s="109" t="s">
        <v>31</v>
      </c>
      <c r="L201" s="111" t="s">
        <v>32</v>
      </c>
      <c r="M201" s="111" t="s">
        <v>33</v>
      </c>
      <c r="N201" s="111" t="s">
        <v>397</v>
      </c>
      <c r="O201" s="111" t="str">
        <f t="shared" si="38"/>
        <v>-2A13</v>
      </c>
      <c r="P201" s="111">
        <v>13</v>
      </c>
      <c r="Q201" s="112" t="str">
        <f t="shared" si="39"/>
        <v>Q11.4</v>
      </c>
      <c r="R201" s="111" t="str">
        <f t="shared" si="41"/>
        <v>2101_27_QS¶Air lock¶Start</v>
      </c>
    </row>
    <row r="202" spans="2:18" ht="14.25">
      <c r="B202" s="109">
        <v>94</v>
      </c>
      <c r="C202" s="110" t="s">
        <v>422</v>
      </c>
      <c r="D202" s="109"/>
      <c r="E202" s="67" t="s">
        <v>423</v>
      </c>
      <c r="F202" s="67" t="s">
        <v>236</v>
      </c>
      <c r="G202" s="67" t="s">
        <v>236</v>
      </c>
      <c r="H202" s="109" t="s">
        <v>270</v>
      </c>
      <c r="I202" s="67" t="s">
        <v>368</v>
      </c>
      <c r="J202" s="109" t="s">
        <v>271</v>
      </c>
      <c r="K202" s="109" t="s">
        <v>31</v>
      </c>
      <c r="L202" s="111" t="s">
        <v>32</v>
      </c>
      <c r="M202" s="111" t="s">
        <v>33</v>
      </c>
      <c r="N202" s="111" t="s">
        <v>397</v>
      </c>
      <c r="O202" s="111" t="str">
        <f t="shared" si="38"/>
        <v>-2A13</v>
      </c>
      <c r="P202" s="111">
        <v>14</v>
      </c>
      <c r="Q202" s="112" t="str">
        <f t="shared" si="39"/>
        <v>Q11.5</v>
      </c>
      <c r="R202" s="111" t="str">
        <f t="shared" si="41"/>
        <v>2101_28_QS¶Air lock¶Start</v>
      </c>
    </row>
    <row r="203" spans="2:18" ht="14.25">
      <c r="B203" s="109">
        <v>95</v>
      </c>
      <c r="C203" s="110" t="s">
        <v>424</v>
      </c>
      <c r="D203" s="109"/>
      <c r="E203" s="78"/>
      <c r="F203" s="78"/>
      <c r="G203" s="78"/>
      <c r="H203" s="109"/>
      <c r="I203" s="109"/>
      <c r="J203" s="109"/>
      <c r="K203" s="109" t="s">
        <v>31</v>
      </c>
      <c r="L203" s="111" t="s">
        <v>32</v>
      </c>
      <c r="M203" s="111" t="s">
        <v>33</v>
      </c>
      <c r="N203" s="111" t="s">
        <v>397</v>
      </c>
      <c r="O203" s="111" t="str">
        <f t="shared" si="38"/>
        <v>-2A13</v>
      </c>
      <c r="P203" s="111">
        <v>15</v>
      </c>
      <c r="Q203" s="112" t="str">
        <f t="shared" si="39"/>
        <v>Q11.6</v>
      </c>
      <c r="R203" s="111" t="str">
        <f t="shared" si="41"/>
        <v>¶¶</v>
      </c>
    </row>
    <row r="204" spans="2:18" ht="14.25">
      <c r="B204" s="109">
        <v>96</v>
      </c>
      <c r="C204" s="110" t="s">
        <v>425</v>
      </c>
      <c r="D204" s="109"/>
      <c r="E204" s="78"/>
      <c r="F204" s="78"/>
      <c r="G204" s="78"/>
      <c r="H204" s="109"/>
      <c r="I204" s="109"/>
      <c r="J204" s="109"/>
      <c r="K204" s="109" t="s">
        <v>31</v>
      </c>
      <c r="L204" s="111" t="s">
        <v>32</v>
      </c>
      <c r="M204" s="111" t="s">
        <v>33</v>
      </c>
      <c r="N204" s="111" t="s">
        <v>397</v>
      </c>
      <c r="O204" s="111" t="str">
        <f t="shared" si="38"/>
        <v>-2A13</v>
      </c>
      <c r="P204" s="111">
        <v>16</v>
      </c>
      <c r="Q204" s="112" t="str">
        <f t="shared" si="39"/>
        <v>Q11.7</v>
      </c>
      <c r="R204" s="111" t="str">
        <f t="shared" si="41"/>
        <v>¶¶</v>
      </c>
    </row>
    <row r="205" spans="2:18" ht="14.25">
      <c r="B205" s="109">
        <v>97</v>
      </c>
      <c r="C205" s="175" t="s">
        <v>426</v>
      </c>
      <c r="D205" s="176"/>
      <c r="E205" s="177" t="s">
        <v>1518</v>
      </c>
      <c r="F205" s="177" t="s">
        <v>1516</v>
      </c>
      <c r="G205" s="177">
        <v>20220420</v>
      </c>
      <c r="H205" s="176"/>
      <c r="I205" s="177"/>
      <c r="J205" s="176"/>
      <c r="K205" s="109" t="s">
        <v>31</v>
      </c>
      <c r="L205" s="111" t="s">
        <v>32</v>
      </c>
      <c r="M205" s="111" t="s">
        <v>33</v>
      </c>
      <c r="N205" s="111" t="s">
        <v>427</v>
      </c>
      <c r="O205" s="111" t="str">
        <f t="shared" si="38"/>
        <v>-2A14</v>
      </c>
      <c r="P205" s="111">
        <v>1</v>
      </c>
      <c r="Q205" s="112" t="str">
        <f t="shared" si="39"/>
        <v>Q12.0</v>
      </c>
      <c r="R205" s="111" t="str">
        <f t="shared" si="41"/>
        <v>新增¶¶</v>
      </c>
    </row>
    <row r="206" spans="2:18" ht="14.25">
      <c r="B206" s="109">
        <v>98</v>
      </c>
      <c r="C206" s="175" t="s">
        <v>428</v>
      </c>
      <c r="D206" s="176"/>
      <c r="E206" s="177" t="s">
        <v>1518</v>
      </c>
      <c r="F206" s="177" t="s">
        <v>1517</v>
      </c>
      <c r="G206" s="177">
        <v>20220420</v>
      </c>
      <c r="H206" s="176"/>
      <c r="I206" s="177"/>
      <c r="J206" s="176"/>
      <c r="K206" s="109" t="s">
        <v>31</v>
      </c>
      <c r="L206" s="111" t="s">
        <v>32</v>
      </c>
      <c r="M206" s="111" t="s">
        <v>33</v>
      </c>
      <c r="N206" s="111" t="s">
        <v>427</v>
      </c>
      <c r="O206" s="111" t="str">
        <f t="shared" si="38"/>
        <v>-2A14</v>
      </c>
      <c r="P206" s="111">
        <v>2</v>
      </c>
      <c r="Q206" s="112" t="str">
        <f t="shared" si="39"/>
        <v>Q12.1</v>
      </c>
      <c r="R206" s="111" t="str">
        <f t="shared" si="41"/>
        <v>新增¶¶</v>
      </c>
    </row>
    <row r="207" spans="2:18" ht="14.25">
      <c r="B207" s="109">
        <v>99</v>
      </c>
      <c r="C207" s="175" t="s">
        <v>429</v>
      </c>
      <c r="D207" s="176"/>
      <c r="E207" s="177" t="s">
        <v>1518</v>
      </c>
      <c r="F207" s="177" t="s">
        <v>1516</v>
      </c>
      <c r="G207" s="177">
        <v>20220420</v>
      </c>
      <c r="H207" s="176"/>
      <c r="I207" s="177"/>
      <c r="J207" s="176"/>
      <c r="K207" s="109" t="s">
        <v>31</v>
      </c>
      <c r="L207" s="111" t="s">
        <v>32</v>
      </c>
      <c r="M207" s="111" t="s">
        <v>33</v>
      </c>
      <c r="N207" s="111" t="s">
        <v>427</v>
      </c>
      <c r="O207" s="111" t="str">
        <f t="shared" si="38"/>
        <v>-2A14</v>
      </c>
      <c r="P207" s="111">
        <v>3</v>
      </c>
      <c r="Q207" s="112" t="str">
        <f t="shared" si="39"/>
        <v>Q12.2</v>
      </c>
      <c r="R207" s="111" t="str">
        <f t="shared" si="41"/>
        <v>新增¶¶</v>
      </c>
    </row>
    <row r="208" spans="2:18" ht="14.25">
      <c r="B208" s="109">
        <v>100</v>
      </c>
      <c r="C208" s="175" t="s">
        <v>430</v>
      </c>
      <c r="D208" s="176"/>
      <c r="E208" s="177" t="s">
        <v>1518</v>
      </c>
      <c r="F208" s="177" t="s">
        <v>1517</v>
      </c>
      <c r="G208" s="177">
        <v>20220420</v>
      </c>
      <c r="H208" s="176"/>
      <c r="I208" s="177"/>
      <c r="J208" s="176"/>
      <c r="K208" s="109" t="s">
        <v>31</v>
      </c>
      <c r="L208" s="111" t="s">
        <v>32</v>
      </c>
      <c r="M208" s="111" t="s">
        <v>33</v>
      </c>
      <c r="N208" s="111" t="s">
        <v>427</v>
      </c>
      <c r="O208" s="111" t="str">
        <f t="shared" si="38"/>
        <v>-2A14</v>
      </c>
      <c r="P208" s="111">
        <v>4</v>
      </c>
      <c r="Q208" s="112" t="str">
        <f t="shared" si="39"/>
        <v>Q12.3</v>
      </c>
      <c r="R208" s="111" t="str">
        <f t="shared" si="41"/>
        <v>新增¶¶</v>
      </c>
    </row>
    <row r="209" spans="2:18" ht="14.25">
      <c r="B209" s="109">
        <v>101</v>
      </c>
      <c r="C209" s="175" t="s">
        <v>431</v>
      </c>
      <c r="D209" s="176"/>
      <c r="E209" s="177" t="s">
        <v>1518</v>
      </c>
      <c r="F209" s="177" t="s">
        <v>1519</v>
      </c>
      <c r="G209" s="177">
        <v>20220420</v>
      </c>
      <c r="H209" s="176"/>
      <c r="I209" s="176"/>
      <c r="J209" s="176"/>
      <c r="K209" s="109" t="s">
        <v>31</v>
      </c>
      <c r="L209" s="111" t="s">
        <v>32</v>
      </c>
      <c r="M209" s="111" t="s">
        <v>33</v>
      </c>
      <c r="N209" s="111" t="s">
        <v>427</v>
      </c>
      <c r="O209" s="111" t="str">
        <f t="shared" si="38"/>
        <v>-2A14</v>
      </c>
      <c r="P209" s="111">
        <v>5</v>
      </c>
      <c r="Q209" s="112" t="str">
        <f t="shared" si="39"/>
        <v>Q12.4</v>
      </c>
      <c r="R209" s="111" t="str">
        <f t="shared" si="41"/>
        <v>新增¶¶</v>
      </c>
    </row>
    <row r="210" spans="2:18" ht="14.25">
      <c r="B210" s="109">
        <v>102</v>
      </c>
      <c r="C210" s="175" t="s">
        <v>432</v>
      </c>
      <c r="D210" s="176"/>
      <c r="E210" s="177" t="s">
        <v>1518</v>
      </c>
      <c r="F210" s="177" t="s">
        <v>1519</v>
      </c>
      <c r="G210" s="177">
        <v>20220420</v>
      </c>
      <c r="H210" s="176"/>
      <c r="I210" s="176"/>
      <c r="J210" s="176"/>
      <c r="K210" s="109" t="s">
        <v>31</v>
      </c>
      <c r="L210" s="111" t="s">
        <v>32</v>
      </c>
      <c r="M210" s="111" t="s">
        <v>33</v>
      </c>
      <c r="N210" s="111" t="s">
        <v>427</v>
      </c>
      <c r="O210" s="111" t="str">
        <f t="shared" si="38"/>
        <v>-2A14</v>
      </c>
      <c r="P210" s="111">
        <v>6</v>
      </c>
      <c r="Q210" s="112" t="str">
        <f t="shared" si="39"/>
        <v>Q12.5</v>
      </c>
      <c r="R210" s="111" t="str">
        <f>E210&amp;L210&amp;I210&amp;L210&amp;J394</f>
        <v>新增¶¶</v>
      </c>
    </row>
    <row r="211" spans="2:18" ht="14.25">
      <c r="B211" s="109">
        <v>103</v>
      </c>
      <c r="C211" s="175" t="s">
        <v>433</v>
      </c>
      <c r="D211" s="176"/>
      <c r="E211" s="177"/>
      <c r="F211" s="177"/>
      <c r="G211" s="177"/>
      <c r="H211" s="176"/>
      <c r="I211" s="176"/>
      <c r="J211" s="176"/>
      <c r="K211" s="109" t="s">
        <v>31</v>
      </c>
      <c r="L211" s="111" t="s">
        <v>32</v>
      </c>
      <c r="M211" s="111" t="s">
        <v>33</v>
      </c>
      <c r="N211" s="111" t="s">
        <v>427</v>
      </c>
      <c r="O211" s="111" t="str">
        <f t="shared" si="38"/>
        <v>-2A14</v>
      </c>
      <c r="P211" s="111">
        <v>7</v>
      </c>
      <c r="Q211" s="112" t="str">
        <f t="shared" si="39"/>
        <v>Q12.6</v>
      </c>
      <c r="R211" s="111" t="str">
        <f>E211&amp;L211&amp;I211&amp;L211&amp;J395</f>
        <v>¶¶</v>
      </c>
    </row>
    <row r="212" spans="2:18" ht="14.25">
      <c r="B212" s="109">
        <v>104</v>
      </c>
      <c r="C212" s="110" t="s">
        <v>434</v>
      </c>
      <c r="D212" s="109"/>
      <c r="E212" s="67"/>
      <c r="F212" s="67"/>
      <c r="G212" s="67"/>
      <c r="H212" s="109"/>
      <c r="I212" s="67"/>
      <c r="J212" s="109"/>
      <c r="K212" s="109" t="s">
        <v>31</v>
      </c>
      <c r="L212" s="111" t="s">
        <v>32</v>
      </c>
      <c r="M212" s="111" t="s">
        <v>33</v>
      </c>
      <c r="N212" s="111" t="s">
        <v>427</v>
      </c>
      <c r="O212" s="111" t="str">
        <f t="shared" si="38"/>
        <v>-2A14</v>
      </c>
      <c r="P212" s="111">
        <v>8</v>
      </c>
      <c r="Q212" s="112" t="str">
        <f t="shared" si="39"/>
        <v>Q12.7</v>
      </c>
      <c r="R212" s="111" t="str">
        <f t="shared" ref="R212" si="42">E212&amp;L212&amp;I212&amp;L212&amp;J386</f>
        <v>¶¶</v>
      </c>
    </row>
    <row r="213" spans="2:18" ht="14.25">
      <c r="B213" s="109">
        <v>105</v>
      </c>
      <c r="C213" s="110" t="s">
        <v>435</v>
      </c>
      <c r="D213" s="109"/>
      <c r="E213" s="78"/>
      <c r="F213" s="78"/>
      <c r="G213" s="78"/>
      <c r="H213" s="109"/>
      <c r="I213" s="109"/>
      <c r="J213" s="109"/>
      <c r="K213" s="109" t="s">
        <v>31</v>
      </c>
      <c r="L213" s="111" t="s">
        <v>32</v>
      </c>
      <c r="M213" s="111" t="s">
        <v>33</v>
      </c>
      <c r="N213" s="111" t="s">
        <v>427</v>
      </c>
      <c r="O213" s="111" t="str">
        <f t="shared" si="38"/>
        <v>-2A14</v>
      </c>
      <c r="P213" s="111">
        <v>9</v>
      </c>
      <c r="Q213" s="112" t="str">
        <f t="shared" si="39"/>
        <v>Q13.0</v>
      </c>
      <c r="R213" s="111" t="str">
        <f t="shared" ref="R213:R220" si="43">E213&amp;L213&amp;I213&amp;L213&amp;J387</f>
        <v>¶¶</v>
      </c>
    </row>
    <row r="214" spans="2:18" ht="14.25">
      <c r="B214" s="109">
        <v>106</v>
      </c>
      <c r="C214" s="110" t="s">
        <v>436</v>
      </c>
      <c r="D214" s="109"/>
      <c r="E214" s="78"/>
      <c r="F214" s="78"/>
      <c r="G214" s="78"/>
      <c r="H214" s="109"/>
      <c r="I214" s="109"/>
      <c r="J214" s="109"/>
      <c r="K214" s="109" t="s">
        <v>31</v>
      </c>
      <c r="L214" s="111" t="s">
        <v>32</v>
      </c>
      <c r="M214" s="111" t="s">
        <v>33</v>
      </c>
      <c r="N214" s="111" t="s">
        <v>427</v>
      </c>
      <c r="O214" s="111" t="str">
        <f t="shared" si="38"/>
        <v>-2A14</v>
      </c>
      <c r="P214" s="111">
        <v>10</v>
      </c>
      <c r="Q214" s="112" t="str">
        <f t="shared" si="39"/>
        <v>Q13.1</v>
      </c>
      <c r="R214" s="111" t="str">
        <f t="shared" si="43"/>
        <v>¶¶</v>
      </c>
    </row>
    <row r="215" spans="2:18" ht="14.25">
      <c r="B215" s="109">
        <v>107</v>
      </c>
      <c r="C215" s="110" t="s">
        <v>437</v>
      </c>
      <c r="D215" s="109"/>
      <c r="E215" s="78"/>
      <c r="F215" s="78"/>
      <c r="G215" s="78"/>
      <c r="H215" s="109"/>
      <c r="I215" s="109"/>
      <c r="J215" s="109"/>
      <c r="K215" s="109" t="s">
        <v>31</v>
      </c>
      <c r="L215" s="111" t="s">
        <v>32</v>
      </c>
      <c r="M215" s="111" t="s">
        <v>33</v>
      </c>
      <c r="N215" s="111" t="s">
        <v>427</v>
      </c>
      <c r="O215" s="111" t="str">
        <f t="shared" si="38"/>
        <v>-2A14</v>
      </c>
      <c r="P215" s="111">
        <v>11</v>
      </c>
      <c r="Q215" s="112" t="str">
        <f t="shared" si="39"/>
        <v>Q13.2</v>
      </c>
      <c r="R215" s="111" t="str">
        <f t="shared" si="43"/>
        <v>¶¶</v>
      </c>
    </row>
    <row r="216" spans="2:18" ht="14.25">
      <c r="B216" s="109">
        <v>108</v>
      </c>
      <c r="C216" s="110" t="s">
        <v>438</v>
      </c>
      <c r="D216" s="109"/>
      <c r="E216" s="78"/>
      <c r="F216" s="78"/>
      <c r="G216" s="78"/>
      <c r="H216" s="109"/>
      <c r="I216" s="109"/>
      <c r="J216" s="109"/>
      <c r="K216" s="109" t="s">
        <v>31</v>
      </c>
      <c r="L216" s="111" t="s">
        <v>32</v>
      </c>
      <c r="M216" s="111" t="s">
        <v>33</v>
      </c>
      <c r="N216" s="111" t="s">
        <v>427</v>
      </c>
      <c r="O216" s="111" t="str">
        <f t="shared" si="38"/>
        <v>-2A14</v>
      </c>
      <c r="P216" s="111">
        <v>12</v>
      </c>
      <c r="Q216" s="112" t="str">
        <f t="shared" si="39"/>
        <v>Q13.3</v>
      </c>
      <c r="R216" s="111" t="str">
        <f t="shared" si="43"/>
        <v>¶¶</v>
      </c>
    </row>
    <row r="217" spans="2:18" ht="14.25">
      <c r="B217" s="109">
        <v>109</v>
      </c>
      <c r="C217" s="110" t="s">
        <v>439</v>
      </c>
      <c r="D217" s="109"/>
      <c r="E217" s="78"/>
      <c r="F217" s="78"/>
      <c r="G217" s="78"/>
      <c r="H217" s="109"/>
      <c r="I217" s="109"/>
      <c r="J217" s="109"/>
      <c r="K217" s="109" t="s">
        <v>31</v>
      </c>
      <c r="L217" s="111" t="s">
        <v>32</v>
      </c>
      <c r="M217" s="111" t="s">
        <v>33</v>
      </c>
      <c r="N217" s="111" t="s">
        <v>427</v>
      </c>
      <c r="O217" s="111" t="str">
        <f t="shared" si="38"/>
        <v>-2A14</v>
      </c>
      <c r="P217" s="111">
        <v>13</v>
      </c>
      <c r="Q217" s="112" t="str">
        <f t="shared" si="39"/>
        <v>Q13.4</v>
      </c>
      <c r="R217" s="111" t="str">
        <f t="shared" si="43"/>
        <v>¶¶</v>
      </c>
    </row>
    <row r="218" spans="2:18" ht="14.25">
      <c r="B218" s="109">
        <v>110</v>
      </c>
      <c r="C218" s="110" t="s">
        <v>440</v>
      </c>
      <c r="D218" s="109"/>
      <c r="E218" s="78"/>
      <c r="F218" s="78"/>
      <c r="G218" s="78"/>
      <c r="H218" s="109"/>
      <c r="I218" s="88"/>
      <c r="J218" s="109"/>
      <c r="K218" s="109" t="s">
        <v>31</v>
      </c>
      <c r="L218" s="111" t="s">
        <v>32</v>
      </c>
      <c r="M218" s="111" t="s">
        <v>33</v>
      </c>
      <c r="N218" s="111" t="s">
        <v>427</v>
      </c>
      <c r="O218" s="111" t="str">
        <f t="shared" si="38"/>
        <v>-2A14</v>
      </c>
      <c r="P218" s="111">
        <v>14</v>
      </c>
      <c r="Q218" s="112" t="str">
        <f t="shared" si="39"/>
        <v>Q13.5</v>
      </c>
      <c r="R218" s="111" t="str">
        <f t="shared" si="43"/>
        <v>¶¶</v>
      </c>
    </row>
    <row r="219" spans="2:18" ht="14.25">
      <c r="B219" s="109">
        <v>111</v>
      </c>
      <c r="C219" s="110" t="s">
        <v>441</v>
      </c>
      <c r="D219" s="109"/>
      <c r="E219" s="78"/>
      <c r="F219" s="78"/>
      <c r="G219" s="78"/>
      <c r="H219" s="109"/>
      <c r="I219" s="109"/>
      <c r="J219" s="109"/>
      <c r="K219" s="109" t="s">
        <v>31</v>
      </c>
      <c r="L219" s="111" t="s">
        <v>32</v>
      </c>
      <c r="M219" s="111" t="s">
        <v>33</v>
      </c>
      <c r="N219" s="111" t="s">
        <v>427</v>
      </c>
      <c r="O219" s="111" t="str">
        <f t="shared" si="38"/>
        <v>-2A14</v>
      </c>
      <c r="P219" s="111">
        <v>15</v>
      </c>
      <c r="Q219" s="112" t="str">
        <f t="shared" si="39"/>
        <v>Q13.6</v>
      </c>
      <c r="R219" s="111" t="str">
        <f t="shared" si="43"/>
        <v>¶¶</v>
      </c>
    </row>
    <row r="220" spans="2:18" ht="14.25">
      <c r="B220" s="109">
        <v>112</v>
      </c>
      <c r="C220" s="110" t="s">
        <v>442</v>
      </c>
      <c r="D220" s="109"/>
      <c r="E220" s="78"/>
      <c r="F220" s="78"/>
      <c r="G220" s="78"/>
      <c r="H220" s="109"/>
      <c r="I220" s="88"/>
      <c r="J220" s="109"/>
      <c r="K220" s="109" t="s">
        <v>31</v>
      </c>
      <c r="L220" s="111" t="s">
        <v>32</v>
      </c>
      <c r="M220" s="111" t="s">
        <v>33</v>
      </c>
      <c r="N220" s="111" t="s">
        <v>427</v>
      </c>
      <c r="O220" s="111" t="str">
        <f t="shared" si="38"/>
        <v>-2A14</v>
      </c>
      <c r="P220" s="111">
        <v>16</v>
      </c>
      <c r="Q220" s="112" t="str">
        <f t="shared" si="39"/>
        <v>Q13.7</v>
      </c>
      <c r="R220" s="111" t="str">
        <f t="shared" si="43"/>
        <v>¶¶</v>
      </c>
    </row>
  </sheetData>
  <mergeCells count="1">
    <mergeCell ref="B100:C100"/>
  </mergeCells>
  <phoneticPr fontId="6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Q212"/>
  <sheetViews>
    <sheetView topLeftCell="A180" zoomScale="124" zoomScaleNormal="124" workbookViewId="0">
      <selection activeCell="I186" sqref="I186"/>
    </sheetView>
  </sheetViews>
  <sheetFormatPr defaultColWidth="9" defaultRowHeight="12"/>
  <cols>
    <col min="1" max="1" width="3.375" style="98" customWidth="1"/>
    <col min="2" max="2" width="5" style="98" customWidth="1"/>
    <col min="3" max="3" width="8.75" style="98" customWidth="1"/>
    <col min="4" max="4" width="6.75" style="98" customWidth="1"/>
    <col min="5" max="5" width="14.5" style="99" customWidth="1"/>
    <col min="6" max="6" width="23" style="99" customWidth="1"/>
    <col min="7" max="7" width="14.125" style="99" customWidth="1"/>
    <col min="8" max="8" width="26.5" style="99" customWidth="1"/>
    <col min="9" max="9" width="25.75" style="99" customWidth="1"/>
    <col min="10" max="10" width="12.125" style="98" customWidth="1"/>
    <col min="11" max="12" width="2.625" style="98" customWidth="1"/>
    <col min="13" max="13" width="6.5" style="98" customWidth="1"/>
    <col min="14" max="14" width="6.625" style="98" customWidth="1"/>
    <col min="15" max="15" width="3.75" style="98" customWidth="1"/>
    <col min="16" max="16" width="6.625" style="98" customWidth="1"/>
    <col min="17" max="17" width="28.625" style="98" customWidth="1"/>
    <col min="18" max="16384" width="9" style="98"/>
  </cols>
  <sheetData>
    <row r="1" spans="2:17">
      <c r="B1" s="100" t="s">
        <v>18</v>
      </c>
    </row>
    <row r="2" spans="2:17">
      <c r="B2" s="100" t="s">
        <v>19</v>
      </c>
      <c r="C2" s="100" t="s">
        <v>20</v>
      </c>
      <c r="D2" s="100" t="s">
        <v>21</v>
      </c>
      <c r="E2" s="100" t="s">
        <v>22</v>
      </c>
      <c r="F2" s="100" t="s">
        <v>23</v>
      </c>
      <c r="G2" s="100" t="s">
        <v>24</v>
      </c>
      <c r="H2" s="100" t="s">
        <v>23</v>
      </c>
      <c r="I2" s="100" t="s">
        <v>24</v>
      </c>
      <c r="J2" s="100" t="s">
        <v>25</v>
      </c>
    </row>
    <row r="3" spans="2:17" ht="14.25">
      <c r="B3" s="70">
        <v>1</v>
      </c>
      <c r="C3" s="70" t="s">
        <v>443</v>
      </c>
      <c r="D3" s="70"/>
      <c r="E3" s="67" t="s">
        <v>444</v>
      </c>
      <c r="F3" s="67" t="s">
        <v>89</v>
      </c>
      <c r="G3" s="65" t="s">
        <v>39</v>
      </c>
      <c r="H3" s="67" t="s">
        <v>90</v>
      </c>
      <c r="I3" s="65" t="s">
        <v>40</v>
      </c>
      <c r="J3" s="70" t="s">
        <v>445</v>
      </c>
      <c r="K3" s="101" t="s">
        <v>32</v>
      </c>
      <c r="L3" s="101" t="s">
        <v>33</v>
      </c>
      <c r="M3" s="101" t="s">
        <v>446</v>
      </c>
      <c r="N3" s="101" t="str">
        <f>L3&amp;M3</f>
        <v>-3A2</v>
      </c>
      <c r="O3" s="99">
        <v>1</v>
      </c>
      <c r="P3" s="102" t="str">
        <f t="shared" ref="P3" si="0">C3</f>
        <v>I12.0</v>
      </c>
      <c r="Q3" s="101" t="str">
        <f>E3&amp;K3&amp;H3&amp;K3&amp;I3</f>
        <v>D1¶Screw feeder¶E-STOP</v>
      </c>
    </row>
    <row r="4" spans="2:17" ht="14.25">
      <c r="B4" s="70">
        <v>2</v>
      </c>
      <c r="C4" s="70" t="s">
        <v>447</v>
      </c>
      <c r="D4" s="70"/>
      <c r="E4" s="67" t="s">
        <v>448</v>
      </c>
      <c r="F4" s="67" t="s">
        <v>92</v>
      </c>
      <c r="G4" s="65" t="s">
        <v>28</v>
      </c>
      <c r="H4" s="67" t="s">
        <v>90</v>
      </c>
      <c r="I4" s="65" t="s">
        <v>30</v>
      </c>
      <c r="J4" s="70" t="s">
        <v>445</v>
      </c>
      <c r="K4" s="101" t="s">
        <v>32</v>
      </c>
      <c r="L4" s="101" t="s">
        <v>33</v>
      </c>
      <c r="M4" s="101" t="s">
        <v>446</v>
      </c>
      <c r="N4" s="101" t="str">
        <f t="shared" ref="N4" si="1">L4&amp;M4</f>
        <v>-3A2</v>
      </c>
      <c r="O4" s="99">
        <v>2</v>
      </c>
      <c r="P4" s="102" t="str">
        <f t="shared" ref="P4:P35" si="2">C4</f>
        <v>I12.1</v>
      </c>
      <c r="Q4" s="101" t="str">
        <f>E4&amp;K4&amp;H4&amp;K4&amp;I4</f>
        <v>M01¶Screw feeder¶Running</v>
      </c>
    </row>
    <row r="5" spans="2:17" ht="14.25">
      <c r="B5" s="70">
        <v>3</v>
      </c>
      <c r="C5" s="70" t="s">
        <v>449</v>
      </c>
      <c r="D5" s="70"/>
      <c r="E5" s="67" t="s">
        <v>450</v>
      </c>
      <c r="F5" s="67" t="s">
        <v>92</v>
      </c>
      <c r="G5" s="65" t="s">
        <v>28</v>
      </c>
      <c r="H5" s="67" t="s">
        <v>90</v>
      </c>
      <c r="I5" s="65" t="s">
        <v>30</v>
      </c>
      <c r="J5" s="70" t="s">
        <v>445</v>
      </c>
      <c r="K5" s="101" t="s">
        <v>32</v>
      </c>
      <c r="L5" s="101" t="s">
        <v>33</v>
      </c>
      <c r="M5" s="101" t="s">
        <v>446</v>
      </c>
      <c r="N5" s="101" t="str">
        <f t="shared" ref="N5:N36" si="3">L5&amp;M5</f>
        <v>-3A2</v>
      </c>
      <c r="O5" s="99">
        <v>3</v>
      </c>
      <c r="P5" s="102" t="str">
        <f t="shared" si="2"/>
        <v>I12.2</v>
      </c>
      <c r="Q5" s="101" t="str">
        <f t="shared" ref="Q5" si="4">E5&amp;K5&amp;H5&amp;K5&amp;I5</f>
        <v>M02¶Screw feeder¶Running</v>
      </c>
    </row>
    <row r="6" spans="2:17" ht="14.25">
      <c r="B6" s="70">
        <v>4</v>
      </c>
      <c r="C6" s="70" t="s">
        <v>451</v>
      </c>
      <c r="D6" s="70"/>
      <c r="E6" s="67" t="s">
        <v>452</v>
      </c>
      <c r="F6" s="67" t="s">
        <v>92</v>
      </c>
      <c r="G6" s="65" t="s">
        <v>28</v>
      </c>
      <c r="H6" s="67" t="s">
        <v>90</v>
      </c>
      <c r="I6" s="65" t="s">
        <v>30</v>
      </c>
      <c r="J6" s="70" t="s">
        <v>445</v>
      </c>
      <c r="K6" s="101" t="s">
        <v>32</v>
      </c>
      <c r="L6" s="101" t="s">
        <v>33</v>
      </c>
      <c r="M6" s="101" t="s">
        <v>446</v>
      </c>
      <c r="N6" s="101" t="str">
        <f t="shared" si="3"/>
        <v>-3A2</v>
      </c>
      <c r="O6" s="99">
        <v>4</v>
      </c>
      <c r="P6" s="102" t="str">
        <f t="shared" si="2"/>
        <v>I12.3</v>
      </c>
      <c r="Q6" s="101" t="str">
        <f>E6&amp;K6&amp;H6&amp;K6&amp;I6</f>
        <v>M03¶Screw feeder¶Running</v>
      </c>
    </row>
    <row r="7" spans="2:17" ht="14.25">
      <c r="B7" s="70">
        <v>5</v>
      </c>
      <c r="C7" s="70" t="s">
        <v>453</v>
      </c>
      <c r="D7" s="70"/>
      <c r="E7" s="67" t="s">
        <v>454</v>
      </c>
      <c r="F7" s="67" t="s">
        <v>92</v>
      </c>
      <c r="G7" s="65" t="s">
        <v>28</v>
      </c>
      <c r="H7" s="67" t="s">
        <v>90</v>
      </c>
      <c r="I7" s="65" t="s">
        <v>30</v>
      </c>
      <c r="J7" s="70" t="s">
        <v>445</v>
      </c>
      <c r="K7" s="101" t="s">
        <v>32</v>
      </c>
      <c r="L7" s="101" t="s">
        <v>33</v>
      </c>
      <c r="M7" s="101" t="s">
        <v>446</v>
      </c>
      <c r="N7" s="101" t="str">
        <f t="shared" si="3"/>
        <v>-3A2</v>
      </c>
      <c r="O7" s="99">
        <v>5</v>
      </c>
      <c r="P7" s="102" t="str">
        <f t="shared" si="2"/>
        <v>I12.4</v>
      </c>
      <c r="Q7" s="101" t="str">
        <f>E7&amp;K7&amp;H7&amp;K7&amp;I7</f>
        <v>M04¶Screw feeder¶Running</v>
      </c>
    </row>
    <row r="8" spans="2:17" ht="14.25">
      <c r="B8" s="70">
        <v>6</v>
      </c>
      <c r="C8" s="70" t="s">
        <v>455</v>
      </c>
      <c r="D8" s="70"/>
      <c r="E8" s="67" t="s">
        <v>456</v>
      </c>
      <c r="F8" s="67" t="s">
        <v>92</v>
      </c>
      <c r="G8" s="65" t="s">
        <v>28</v>
      </c>
      <c r="H8" s="67" t="s">
        <v>90</v>
      </c>
      <c r="I8" s="65" t="s">
        <v>30</v>
      </c>
      <c r="J8" s="70" t="s">
        <v>445</v>
      </c>
      <c r="K8" s="101" t="s">
        <v>32</v>
      </c>
      <c r="L8" s="101" t="s">
        <v>33</v>
      </c>
      <c r="M8" s="101" t="s">
        <v>446</v>
      </c>
      <c r="N8" s="101" t="str">
        <f t="shared" si="3"/>
        <v>-3A2</v>
      </c>
      <c r="O8" s="99">
        <v>6</v>
      </c>
      <c r="P8" s="102" t="str">
        <f t="shared" si="2"/>
        <v>I12.5</v>
      </c>
      <c r="Q8" s="101" t="str">
        <f>E8&amp;K8&amp;H8&amp;K8&amp;I8</f>
        <v>M05¶Screw feeder¶Running</v>
      </c>
    </row>
    <row r="9" spans="2:17" ht="14.25">
      <c r="B9" s="70">
        <v>7</v>
      </c>
      <c r="C9" s="70" t="s">
        <v>457</v>
      </c>
      <c r="D9" s="70"/>
      <c r="E9" s="67" t="s">
        <v>458</v>
      </c>
      <c r="F9" s="67" t="s">
        <v>92</v>
      </c>
      <c r="G9" s="65" t="s">
        <v>28</v>
      </c>
      <c r="H9" s="67" t="s">
        <v>90</v>
      </c>
      <c r="I9" s="65" t="s">
        <v>30</v>
      </c>
      <c r="J9" s="70" t="s">
        <v>445</v>
      </c>
      <c r="K9" s="101" t="s">
        <v>32</v>
      </c>
      <c r="L9" s="101" t="s">
        <v>33</v>
      </c>
      <c r="M9" s="101" t="s">
        <v>446</v>
      </c>
      <c r="N9" s="101" t="str">
        <f t="shared" si="3"/>
        <v>-3A2</v>
      </c>
      <c r="O9" s="99">
        <v>7</v>
      </c>
      <c r="P9" s="102" t="str">
        <f t="shared" si="2"/>
        <v>I12.6</v>
      </c>
      <c r="Q9" s="101" t="str">
        <f>E9&amp;K9&amp;H9&amp;K9&amp;I11</f>
        <v>M06¶Screw feeder¶Running</v>
      </c>
    </row>
    <row r="10" spans="2:17" ht="14.25">
      <c r="B10" s="70">
        <v>8</v>
      </c>
      <c r="C10" s="70" t="s">
        <v>459</v>
      </c>
      <c r="D10" s="70"/>
      <c r="E10" s="67" t="s">
        <v>460</v>
      </c>
      <c r="F10" s="67" t="s">
        <v>92</v>
      </c>
      <c r="G10" s="65" t="s">
        <v>28</v>
      </c>
      <c r="H10" s="67" t="s">
        <v>90</v>
      </c>
      <c r="I10" s="65" t="s">
        <v>30</v>
      </c>
      <c r="J10" s="70" t="s">
        <v>445</v>
      </c>
      <c r="K10" s="101" t="s">
        <v>32</v>
      </c>
      <c r="L10" s="101" t="s">
        <v>33</v>
      </c>
      <c r="M10" s="101" t="s">
        <v>446</v>
      </c>
      <c r="N10" s="101" t="str">
        <f t="shared" si="3"/>
        <v>-3A2</v>
      </c>
      <c r="O10" s="99">
        <v>8</v>
      </c>
      <c r="P10" s="102" t="str">
        <f t="shared" si="2"/>
        <v>I12.7</v>
      </c>
      <c r="Q10" s="101" t="str">
        <f>E10&amp;K10&amp;H10&amp;K10&amp;I11</f>
        <v>M07¶Screw feeder¶Running</v>
      </c>
    </row>
    <row r="11" spans="2:17" ht="14.25">
      <c r="B11" s="70">
        <v>9</v>
      </c>
      <c r="C11" s="70" t="s">
        <v>461</v>
      </c>
      <c r="D11" s="70"/>
      <c r="E11" s="67" t="s">
        <v>462</v>
      </c>
      <c r="F11" s="67" t="s">
        <v>92</v>
      </c>
      <c r="G11" s="65" t="s">
        <v>28</v>
      </c>
      <c r="H11" s="67" t="s">
        <v>90</v>
      </c>
      <c r="I11" s="65" t="s">
        <v>30</v>
      </c>
      <c r="J11" s="70" t="s">
        <v>445</v>
      </c>
      <c r="K11" s="101" t="s">
        <v>32</v>
      </c>
      <c r="L11" s="101" t="s">
        <v>33</v>
      </c>
      <c r="M11" s="101" t="s">
        <v>446</v>
      </c>
      <c r="N11" s="101" t="str">
        <f t="shared" si="3"/>
        <v>-3A2</v>
      </c>
      <c r="O11" s="99">
        <v>9</v>
      </c>
      <c r="P11" s="102" t="str">
        <f t="shared" si="2"/>
        <v>I13.0</v>
      </c>
      <c r="Q11" s="101" t="str">
        <f t="shared" ref="Q11" si="5">E11&amp;K11&amp;H11&amp;K11&amp;I11</f>
        <v>M08¶Screw feeder¶Running</v>
      </c>
    </row>
    <row r="12" spans="2:17" ht="14.25">
      <c r="B12" s="70">
        <v>10</v>
      </c>
      <c r="C12" s="70" t="s">
        <v>463</v>
      </c>
      <c r="D12" s="70"/>
      <c r="E12" s="67" t="s">
        <v>464</v>
      </c>
      <c r="F12" s="67" t="s">
        <v>92</v>
      </c>
      <c r="G12" s="65" t="s">
        <v>28</v>
      </c>
      <c r="H12" s="67" t="s">
        <v>90</v>
      </c>
      <c r="I12" s="65" t="s">
        <v>30</v>
      </c>
      <c r="J12" s="70" t="s">
        <v>445</v>
      </c>
      <c r="K12" s="101" t="s">
        <v>32</v>
      </c>
      <c r="L12" s="101" t="s">
        <v>33</v>
      </c>
      <c r="M12" s="101" t="s">
        <v>446</v>
      </c>
      <c r="N12" s="101" t="str">
        <f t="shared" si="3"/>
        <v>-3A2</v>
      </c>
      <c r="O12" s="99">
        <v>10</v>
      </c>
      <c r="P12" s="102" t="str">
        <f t="shared" si="2"/>
        <v>I13.1</v>
      </c>
      <c r="Q12" s="101" t="str">
        <f>E12&amp;K12&amp;H12&amp;K12&amp;I14</f>
        <v>M09¶Screw feeder¶E-STOP</v>
      </c>
    </row>
    <row r="13" spans="2:17" ht="14.25">
      <c r="B13" s="70">
        <v>11</v>
      </c>
      <c r="C13" s="70" t="s">
        <v>465</v>
      </c>
      <c r="D13" s="70"/>
      <c r="E13" s="67" t="s">
        <v>466</v>
      </c>
      <c r="F13" s="67" t="s">
        <v>92</v>
      </c>
      <c r="G13" s="65" t="s">
        <v>28</v>
      </c>
      <c r="H13" s="67" t="s">
        <v>90</v>
      </c>
      <c r="I13" s="65" t="s">
        <v>30</v>
      </c>
      <c r="J13" s="70" t="s">
        <v>445</v>
      </c>
      <c r="K13" s="101" t="s">
        <v>32</v>
      </c>
      <c r="L13" s="101" t="s">
        <v>33</v>
      </c>
      <c r="M13" s="101" t="s">
        <v>446</v>
      </c>
      <c r="N13" s="101" t="str">
        <f t="shared" si="3"/>
        <v>-3A2</v>
      </c>
      <c r="O13" s="99">
        <v>11</v>
      </c>
      <c r="P13" s="102" t="str">
        <f t="shared" si="2"/>
        <v>I13.2</v>
      </c>
      <c r="Q13" s="101" t="str">
        <f>E13&amp;K13&amp;H13&amp;K13&amp;I14</f>
        <v>M10¶Screw feeder¶E-STOP</v>
      </c>
    </row>
    <row r="14" spans="2:17" ht="14.25">
      <c r="B14" s="70">
        <v>12</v>
      </c>
      <c r="C14" s="70" t="s">
        <v>467</v>
      </c>
      <c r="D14" s="70"/>
      <c r="E14" s="67" t="s">
        <v>468</v>
      </c>
      <c r="F14" s="67" t="s">
        <v>89</v>
      </c>
      <c r="G14" s="65" t="s">
        <v>39</v>
      </c>
      <c r="H14" s="67" t="s">
        <v>90</v>
      </c>
      <c r="I14" s="65" t="s">
        <v>40</v>
      </c>
      <c r="J14" s="70" t="s">
        <v>445</v>
      </c>
      <c r="K14" s="101" t="s">
        <v>32</v>
      </c>
      <c r="L14" s="101" t="s">
        <v>33</v>
      </c>
      <c r="M14" s="101" t="s">
        <v>446</v>
      </c>
      <c r="N14" s="101" t="str">
        <f t="shared" si="3"/>
        <v>-3A2</v>
      </c>
      <c r="O14" s="99">
        <v>12</v>
      </c>
      <c r="P14" s="102" t="str">
        <f t="shared" si="2"/>
        <v>I13.3</v>
      </c>
      <c r="Q14" s="101" t="str">
        <f t="shared" ref="Q14" si="6">E14&amp;K14&amp;H14&amp;K14&amp;I14</f>
        <v>D2¶Screw feeder¶E-STOP</v>
      </c>
    </row>
    <row r="15" spans="2:17" ht="14.25">
      <c r="B15" s="70">
        <v>13</v>
      </c>
      <c r="C15" s="70" t="s">
        <v>469</v>
      </c>
      <c r="D15" s="70"/>
      <c r="E15" s="67" t="s">
        <v>470</v>
      </c>
      <c r="F15" s="67" t="s">
        <v>92</v>
      </c>
      <c r="G15" s="65" t="s">
        <v>28</v>
      </c>
      <c r="H15" s="67" t="s">
        <v>90</v>
      </c>
      <c r="I15" s="65" t="s">
        <v>30</v>
      </c>
      <c r="J15" s="70" t="s">
        <v>445</v>
      </c>
      <c r="K15" s="101" t="s">
        <v>32</v>
      </c>
      <c r="L15" s="101" t="s">
        <v>33</v>
      </c>
      <c r="M15" s="101" t="s">
        <v>446</v>
      </c>
      <c r="N15" s="101" t="str">
        <f t="shared" si="3"/>
        <v>-3A2</v>
      </c>
      <c r="O15" s="99">
        <v>13</v>
      </c>
      <c r="P15" s="102" t="str">
        <f t="shared" si="2"/>
        <v>I13.4</v>
      </c>
      <c r="Q15" s="101" t="str">
        <f t="shared" ref="Q15:Q32" si="7">E15&amp;K15&amp;H15&amp;K15&amp;I15</f>
        <v>M11¶Screw feeder¶Running</v>
      </c>
    </row>
    <row r="16" spans="2:17" ht="14.25">
      <c r="B16" s="70">
        <v>14</v>
      </c>
      <c r="C16" s="70" t="s">
        <v>471</v>
      </c>
      <c r="D16" s="70"/>
      <c r="E16" s="67" t="s">
        <v>472</v>
      </c>
      <c r="F16" s="67" t="s">
        <v>92</v>
      </c>
      <c r="G16" s="65" t="s">
        <v>28</v>
      </c>
      <c r="H16" s="67" t="s">
        <v>90</v>
      </c>
      <c r="I16" s="65" t="s">
        <v>30</v>
      </c>
      <c r="J16" s="70" t="s">
        <v>445</v>
      </c>
      <c r="K16" s="101" t="s">
        <v>32</v>
      </c>
      <c r="L16" s="101" t="s">
        <v>33</v>
      </c>
      <c r="M16" s="101" t="s">
        <v>446</v>
      </c>
      <c r="N16" s="101" t="str">
        <f t="shared" si="3"/>
        <v>-3A2</v>
      </c>
      <c r="O16" s="99">
        <v>14</v>
      </c>
      <c r="P16" s="102" t="str">
        <f t="shared" si="2"/>
        <v>I13.5</v>
      </c>
      <c r="Q16" s="101" t="str">
        <f t="shared" si="7"/>
        <v>M12¶Screw feeder¶Running</v>
      </c>
    </row>
    <row r="17" spans="2:17" ht="14.25">
      <c r="B17" s="70">
        <v>15</v>
      </c>
      <c r="C17" s="70" t="s">
        <v>473</v>
      </c>
      <c r="D17" s="70"/>
      <c r="E17" s="67" t="s">
        <v>474</v>
      </c>
      <c r="F17" s="67" t="s">
        <v>92</v>
      </c>
      <c r="G17" s="65" t="s">
        <v>28</v>
      </c>
      <c r="H17" s="67" t="s">
        <v>90</v>
      </c>
      <c r="I17" s="65" t="s">
        <v>30</v>
      </c>
      <c r="J17" s="70" t="s">
        <v>445</v>
      </c>
      <c r="K17" s="101" t="s">
        <v>32</v>
      </c>
      <c r="L17" s="101" t="s">
        <v>33</v>
      </c>
      <c r="M17" s="101" t="s">
        <v>446</v>
      </c>
      <c r="N17" s="101" t="str">
        <f t="shared" si="3"/>
        <v>-3A2</v>
      </c>
      <c r="O17" s="99">
        <v>15</v>
      </c>
      <c r="P17" s="102" t="str">
        <f t="shared" si="2"/>
        <v>I13.6</v>
      </c>
      <c r="Q17" s="101" t="str">
        <f t="shared" si="7"/>
        <v>M13¶Screw feeder¶Running</v>
      </c>
    </row>
    <row r="18" spans="2:17" ht="14.25">
      <c r="B18" s="70">
        <v>16</v>
      </c>
      <c r="C18" s="70" t="s">
        <v>475</v>
      </c>
      <c r="D18" s="70"/>
      <c r="E18" s="67" t="s">
        <v>476</v>
      </c>
      <c r="F18" s="67" t="s">
        <v>92</v>
      </c>
      <c r="G18" s="65" t="s">
        <v>28</v>
      </c>
      <c r="H18" s="67" t="s">
        <v>90</v>
      </c>
      <c r="I18" s="65" t="s">
        <v>30</v>
      </c>
      <c r="J18" s="70" t="s">
        <v>445</v>
      </c>
      <c r="K18" s="101" t="s">
        <v>32</v>
      </c>
      <c r="L18" s="101" t="s">
        <v>33</v>
      </c>
      <c r="M18" s="101" t="s">
        <v>446</v>
      </c>
      <c r="N18" s="101" t="str">
        <f t="shared" si="3"/>
        <v>-3A2</v>
      </c>
      <c r="O18" s="99">
        <v>16</v>
      </c>
      <c r="P18" s="102" t="str">
        <f t="shared" si="2"/>
        <v>I13.7</v>
      </c>
      <c r="Q18" s="101" t="str">
        <f t="shared" si="7"/>
        <v>M14¶Screw feeder¶Running</v>
      </c>
    </row>
    <row r="19" spans="2:17" ht="14.25">
      <c r="B19" s="70">
        <v>17</v>
      </c>
      <c r="C19" s="70" t="s">
        <v>477</v>
      </c>
      <c r="D19" s="70"/>
      <c r="E19" s="67" t="s">
        <v>478</v>
      </c>
      <c r="F19" s="67" t="s">
        <v>92</v>
      </c>
      <c r="G19" s="65" t="s">
        <v>28</v>
      </c>
      <c r="H19" s="67" t="s">
        <v>90</v>
      </c>
      <c r="I19" s="65" t="s">
        <v>30</v>
      </c>
      <c r="J19" s="70" t="s">
        <v>445</v>
      </c>
      <c r="K19" s="101" t="s">
        <v>32</v>
      </c>
      <c r="L19" s="101" t="s">
        <v>33</v>
      </c>
      <c r="M19" s="101" t="s">
        <v>479</v>
      </c>
      <c r="N19" s="101" t="str">
        <f t="shared" si="3"/>
        <v>-3A3</v>
      </c>
      <c r="O19" s="99">
        <v>1</v>
      </c>
      <c r="P19" s="102" t="str">
        <f t="shared" si="2"/>
        <v>I14.0</v>
      </c>
      <c r="Q19" s="101" t="str">
        <f t="shared" si="7"/>
        <v>M15¶Screw feeder¶Running</v>
      </c>
    </row>
    <row r="20" spans="2:17" ht="14.25">
      <c r="B20" s="70">
        <v>18</v>
      </c>
      <c r="C20" s="70" t="s">
        <v>480</v>
      </c>
      <c r="D20" s="70"/>
      <c r="E20" s="67" t="s">
        <v>481</v>
      </c>
      <c r="F20" s="67" t="s">
        <v>92</v>
      </c>
      <c r="G20" s="65" t="s">
        <v>28</v>
      </c>
      <c r="H20" s="67" t="s">
        <v>90</v>
      </c>
      <c r="I20" s="65" t="s">
        <v>30</v>
      </c>
      <c r="J20" s="70" t="s">
        <v>445</v>
      </c>
      <c r="K20" s="101" t="s">
        <v>32</v>
      </c>
      <c r="L20" s="101" t="s">
        <v>33</v>
      </c>
      <c r="M20" s="101" t="s">
        <v>479</v>
      </c>
      <c r="N20" s="101" t="str">
        <f t="shared" si="3"/>
        <v>-3A3</v>
      </c>
      <c r="O20" s="99">
        <v>2</v>
      </c>
      <c r="P20" s="102" t="str">
        <f t="shared" si="2"/>
        <v>I14.1</v>
      </c>
      <c r="Q20" s="101" t="str">
        <f t="shared" si="7"/>
        <v>M16¶Screw feeder¶Running</v>
      </c>
    </row>
    <row r="21" spans="2:17" ht="14.25">
      <c r="B21" s="70">
        <v>19</v>
      </c>
      <c r="C21" s="70" t="s">
        <v>482</v>
      </c>
      <c r="D21" s="70"/>
      <c r="E21" s="67" t="s">
        <v>483</v>
      </c>
      <c r="F21" s="67" t="s">
        <v>92</v>
      </c>
      <c r="G21" s="65" t="s">
        <v>28</v>
      </c>
      <c r="H21" s="67" t="s">
        <v>90</v>
      </c>
      <c r="I21" s="65" t="s">
        <v>30</v>
      </c>
      <c r="J21" s="70" t="s">
        <v>445</v>
      </c>
      <c r="K21" s="101" t="s">
        <v>32</v>
      </c>
      <c r="L21" s="101" t="s">
        <v>33</v>
      </c>
      <c r="M21" s="101" t="s">
        <v>479</v>
      </c>
      <c r="N21" s="101" t="str">
        <f t="shared" si="3"/>
        <v>-3A3</v>
      </c>
      <c r="O21" s="99">
        <v>3</v>
      </c>
      <c r="P21" s="102" t="str">
        <f t="shared" si="2"/>
        <v>I14.2</v>
      </c>
      <c r="Q21" s="101" t="str">
        <f t="shared" si="7"/>
        <v>M17¶Screw feeder¶Running</v>
      </c>
    </row>
    <row r="22" spans="2:17" ht="14.25">
      <c r="B22" s="70">
        <v>20</v>
      </c>
      <c r="C22" s="70" t="s">
        <v>484</v>
      </c>
      <c r="D22" s="70"/>
      <c r="E22" s="67" t="s">
        <v>485</v>
      </c>
      <c r="F22" s="67" t="s">
        <v>89</v>
      </c>
      <c r="G22" s="65" t="s">
        <v>39</v>
      </c>
      <c r="H22" s="67" t="s">
        <v>90</v>
      </c>
      <c r="I22" s="65" t="s">
        <v>40</v>
      </c>
      <c r="J22" s="70" t="s">
        <v>445</v>
      </c>
      <c r="K22" s="101" t="s">
        <v>32</v>
      </c>
      <c r="L22" s="101" t="s">
        <v>33</v>
      </c>
      <c r="M22" s="101" t="s">
        <v>479</v>
      </c>
      <c r="N22" s="101" t="str">
        <f t="shared" si="3"/>
        <v>-3A3</v>
      </c>
      <c r="O22" s="99">
        <v>4</v>
      </c>
      <c r="P22" s="102" t="str">
        <f t="shared" si="2"/>
        <v>I14.3</v>
      </c>
      <c r="Q22" s="101" t="str">
        <f t="shared" si="7"/>
        <v>D3¶Screw feeder¶E-STOP</v>
      </c>
    </row>
    <row r="23" spans="2:17" ht="14.25">
      <c r="B23" s="70">
        <v>21</v>
      </c>
      <c r="C23" s="70" t="s">
        <v>486</v>
      </c>
      <c r="D23" s="70"/>
      <c r="E23" s="67" t="s">
        <v>487</v>
      </c>
      <c r="F23" s="67" t="s">
        <v>92</v>
      </c>
      <c r="G23" s="65" t="s">
        <v>28</v>
      </c>
      <c r="H23" s="67" t="s">
        <v>90</v>
      </c>
      <c r="I23" s="65" t="s">
        <v>30</v>
      </c>
      <c r="J23" s="70" t="s">
        <v>445</v>
      </c>
      <c r="K23" s="101" t="s">
        <v>32</v>
      </c>
      <c r="L23" s="101" t="s">
        <v>33</v>
      </c>
      <c r="M23" s="101" t="s">
        <v>479</v>
      </c>
      <c r="N23" s="101" t="str">
        <f t="shared" si="3"/>
        <v>-3A3</v>
      </c>
      <c r="O23" s="99">
        <v>5</v>
      </c>
      <c r="P23" s="102" t="str">
        <f t="shared" si="2"/>
        <v>I14.4</v>
      </c>
      <c r="Q23" s="101" t="str">
        <f t="shared" si="7"/>
        <v>M18¶Screw feeder¶Running</v>
      </c>
    </row>
    <row r="24" spans="2:17" ht="14.25">
      <c r="B24" s="70">
        <v>22</v>
      </c>
      <c r="C24" s="70" t="s">
        <v>488</v>
      </c>
      <c r="D24" s="70"/>
      <c r="E24" s="67" t="s">
        <v>489</v>
      </c>
      <c r="F24" s="67" t="s">
        <v>92</v>
      </c>
      <c r="G24" s="65" t="s">
        <v>28</v>
      </c>
      <c r="H24" s="67" t="s">
        <v>90</v>
      </c>
      <c r="I24" s="65" t="s">
        <v>30</v>
      </c>
      <c r="J24" s="70" t="s">
        <v>445</v>
      </c>
      <c r="K24" s="101" t="s">
        <v>32</v>
      </c>
      <c r="L24" s="101" t="s">
        <v>33</v>
      </c>
      <c r="M24" s="101" t="s">
        <v>479</v>
      </c>
      <c r="N24" s="101" t="str">
        <f t="shared" si="3"/>
        <v>-3A3</v>
      </c>
      <c r="O24" s="99">
        <v>6</v>
      </c>
      <c r="P24" s="102" t="str">
        <f t="shared" si="2"/>
        <v>I14.5</v>
      </c>
      <c r="Q24" s="101" t="str">
        <f t="shared" si="7"/>
        <v>M19¶Screw feeder¶Running</v>
      </c>
    </row>
    <row r="25" spans="2:17" ht="14.25">
      <c r="B25" s="70">
        <v>23</v>
      </c>
      <c r="C25" s="70" t="s">
        <v>490</v>
      </c>
      <c r="D25" s="70"/>
      <c r="E25" s="67" t="s">
        <v>491</v>
      </c>
      <c r="F25" s="67" t="s">
        <v>92</v>
      </c>
      <c r="G25" s="65" t="s">
        <v>28</v>
      </c>
      <c r="H25" s="67" t="s">
        <v>90</v>
      </c>
      <c r="I25" s="65" t="s">
        <v>30</v>
      </c>
      <c r="J25" s="70" t="s">
        <v>445</v>
      </c>
      <c r="K25" s="101" t="s">
        <v>32</v>
      </c>
      <c r="L25" s="101" t="s">
        <v>33</v>
      </c>
      <c r="M25" s="101" t="s">
        <v>479</v>
      </c>
      <c r="N25" s="101" t="str">
        <f t="shared" si="3"/>
        <v>-3A3</v>
      </c>
      <c r="O25" s="99">
        <v>7</v>
      </c>
      <c r="P25" s="102" t="str">
        <f t="shared" si="2"/>
        <v>I14.6</v>
      </c>
      <c r="Q25" s="101" t="str">
        <f t="shared" si="7"/>
        <v>M20¶Screw feeder¶Running</v>
      </c>
    </row>
    <row r="26" spans="2:17" ht="14.25">
      <c r="B26" s="70">
        <v>24</v>
      </c>
      <c r="C26" s="70" t="s">
        <v>492</v>
      </c>
      <c r="D26" s="70"/>
      <c r="E26" s="67" t="s">
        <v>493</v>
      </c>
      <c r="F26" s="67" t="s">
        <v>92</v>
      </c>
      <c r="G26" s="65" t="s">
        <v>28</v>
      </c>
      <c r="H26" s="67" t="s">
        <v>90</v>
      </c>
      <c r="I26" s="65" t="s">
        <v>30</v>
      </c>
      <c r="J26" s="70" t="s">
        <v>445</v>
      </c>
      <c r="K26" s="101" t="s">
        <v>32</v>
      </c>
      <c r="L26" s="101" t="s">
        <v>33</v>
      </c>
      <c r="M26" s="101" t="s">
        <v>479</v>
      </c>
      <c r="N26" s="101" t="str">
        <f t="shared" si="3"/>
        <v>-3A3</v>
      </c>
      <c r="O26" s="99">
        <v>8</v>
      </c>
      <c r="P26" s="102" t="str">
        <f t="shared" si="2"/>
        <v>I14.7</v>
      </c>
      <c r="Q26" s="101" t="str">
        <f t="shared" si="7"/>
        <v>M21¶Screw feeder¶Running</v>
      </c>
    </row>
    <row r="27" spans="2:17" ht="14.25">
      <c r="B27" s="70">
        <v>25</v>
      </c>
      <c r="C27" s="70" t="s">
        <v>494</v>
      </c>
      <c r="D27" s="70"/>
      <c r="E27" s="67" t="s">
        <v>495</v>
      </c>
      <c r="F27" s="67" t="s">
        <v>92</v>
      </c>
      <c r="G27" s="65" t="s">
        <v>28</v>
      </c>
      <c r="H27" s="67" t="s">
        <v>90</v>
      </c>
      <c r="I27" s="65" t="s">
        <v>30</v>
      </c>
      <c r="J27" s="70" t="s">
        <v>445</v>
      </c>
      <c r="K27" s="101" t="s">
        <v>32</v>
      </c>
      <c r="L27" s="101" t="s">
        <v>33</v>
      </c>
      <c r="M27" s="101" t="s">
        <v>479</v>
      </c>
      <c r="N27" s="101" t="str">
        <f t="shared" si="3"/>
        <v>-3A3</v>
      </c>
      <c r="O27" s="99">
        <v>9</v>
      </c>
      <c r="P27" s="102" t="str">
        <f t="shared" si="2"/>
        <v>I15.0</v>
      </c>
      <c r="Q27" s="101" t="str">
        <f t="shared" si="7"/>
        <v>M22¶Screw feeder¶Running</v>
      </c>
    </row>
    <row r="28" spans="2:17" ht="14.25">
      <c r="B28" s="70">
        <v>26</v>
      </c>
      <c r="C28" s="70" t="s">
        <v>496</v>
      </c>
      <c r="D28" s="70"/>
      <c r="E28" s="67" t="s">
        <v>497</v>
      </c>
      <c r="F28" s="67" t="s">
        <v>92</v>
      </c>
      <c r="G28" s="65" t="s">
        <v>28</v>
      </c>
      <c r="H28" s="67" t="s">
        <v>90</v>
      </c>
      <c r="I28" s="65" t="s">
        <v>30</v>
      </c>
      <c r="J28" s="70" t="s">
        <v>445</v>
      </c>
      <c r="K28" s="101" t="s">
        <v>32</v>
      </c>
      <c r="L28" s="101" t="s">
        <v>33</v>
      </c>
      <c r="M28" s="101" t="s">
        <v>479</v>
      </c>
      <c r="N28" s="101" t="str">
        <f t="shared" si="3"/>
        <v>-3A3</v>
      </c>
      <c r="O28" s="99">
        <v>10</v>
      </c>
      <c r="P28" s="102" t="str">
        <f t="shared" si="2"/>
        <v>I15.1</v>
      </c>
      <c r="Q28" s="101" t="str">
        <f t="shared" si="7"/>
        <v>M23¶Screw feeder¶Running</v>
      </c>
    </row>
    <row r="29" spans="2:17" ht="14.25">
      <c r="B29" s="70">
        <v>27</v>
      </c>
      <c r="C29" s="70" t="s">
        <v>498</v>
      </c>
      <c r="D29" s="70"/>
      <c r="E29" s="67" t="s">
        <v>499</v>
      </c>
      <c r="F29" s="67" t="s">
        <v>89</v>
      </c>
      <c r="G29" s="65" t="s">
        <v>39</v>
      </c>
      <c r="H29" s="67" t="s">
        <v>90</v>
      </c>
      <c r="I29" s="65" t="s">
        <v>40</v>
      </c>
      <c r="J29" s="70" t="s">
        <v>445</v>
      </c>
      <c r="K29" s="101" t="s">
        <v>32</v>
      </c>
      <c r="L29" s="101" t="s">
        <v>33</v>
      </c>
      <c r="M29" s="101" t="s">
        <v>479</v>
      </c>
      <c r="N29" s="101" t="str">
        <f t="shared" si="3"/>
        <v>-3A3</v>
      </c>
      <c r="O29" s="99">
        <v>11</v>
      </c>
      <c r="P29" s="102" t="str">
        <f t="shared" si="2"/>
        <v>I15.2</v>
      </c>
      <c r="Q29" s="101" t="str">
        <f t="shared" si="7"/>
        <v>D4¶Screw feeder¶E-STOP</v>
      </c>
    </row>
    <row r="30" spans="2:17" ht="14.25">
      <c r="B30" s="70">
        <v>28</v>
      </c>
      <c r="C30" s="70" t="s">
        <v>500</v>
      </c>
      <c r="D30" s="70"/>
      <c r="E30" s="67" t="s">
        <v>501</v>
      </c>
      <c r="F30" s="67" t="s">
        <v>92</v>
      </c>
      <c r="G30" s="65" t="s">
        <v>28</v>
      </c>
      <c r="H30" s="67" t="s">
        <v>90</v>
      </c>
      <c r="I30" s="65" t="s">
        <v>30</v>
      </c>
      <c r="J30" s="70" t="s">
        <v>445</v>
      </c>
      <c r="K30" s="101" t="s">
        <v>32</v>
      </c>
      <c r="L30" s="101" t="s">
        <v>33</v>
      </c>
      <c r="M30" s="101" t="s">
        <v>479</v>
      </c>
      <c r="N30" s="101" t="str">
        <f t="shared" si="3"/>
        <v>-3A3</v>
      </c>
      <c r="O30" s="99">
        <v>12</v>
      </c>
      <c r="P30" s="102" t="str">
        <f t="shared" si="2"/>
        <v>I15.3</v>
      </c>
      <c r="Q30" s="101" t="str">
        <f t="shared" si="7"/>
        <v>M24¶Screw feeder¶Running</v>
      </c>
    </row>
    <row r="31" spans="2:17" ht="14.25">
      <c r="B31" s="70">
        <v>29</v>
      </c>
      <c r="C31" s="70" t="s">
        <v>502</v>
      </c>
      <c r="D31" s="70"/>
      <c r="E31" s="67" t="s">
        <v>503</v>
      </c>
      <c r="F31" s="67" t="s">
        <v>92</v>
      </c>
      <c r="G31" s="65" t="s">
        <v>28</v>
      </c>
      <c r="H31" s="67" t="s">
        <v>90</v>
      </c>
      <c r="I31" s="65" t="s">
        <v>30</v>
      </c>
      <c r="J31" s="70" t="s">
        <v>445</v>
      </c>
      <c r="K31" s="101" t="s">
        <v>32</v>
      </c>
      <c r="L31" s="101" t="s">
        <v>33</v>
      </c>
      <c r="M31" s="101" t="s">
        <v>479</v>
      </c>
      <c r="N31" s="101" t="str">
        <f t="shared" si="3"/>
        <v>-3A3</v>
      </c>
      <c r="O31" s="99">
        <v>13</v>
      </c>
      <c r="P31" s="102" t="str">
        <f t="shared" si="2"/>
        <v>I15.4</v>
      </c>
      <c r="Q31" s="101" t="str">
        <f t="shared" si="7"/>
        <v>M25¶Screw feeder¶Running</v>
      </c>
    </row>
    <row r="32" spans="2:17" ht="14.25">
      <c r="B32" s="70">
        <v>30</v>
      </c>
      <c r="C32" s="70" t="s">
        <v>504</v>
      </c>
      <c r="D32" s="70"/>
      <c r="E32" s="67" t="s">
        <v>505</v>
      </c>
      <c r="F32" s="67" t="s">
        <v>92</v>
      </c>
      <c r="G32" s="65" t="s">
        <v>28</v>
      </c>
      <c r="H32" s="67" t="s">
        <v>90</v>
      </c>
      <c r="I32" s="65" t="s">
        <v>30</v>
      </c>
      <c r="J32" s="70" t="s">
        <v>445</v>
      </c>
      <c r="K32" s="101" t="s">
        <v>32</v>
      </c>
      <c r="L32" s="101" t="s">
        <v>33</v>
      </c>
      <c r="M32" s="101" t="s">
        <v>479</v>
      </c>
      <c r="N32" s="101" t="str">
        <f t="shared" si="3"/>
        <v>-3A3</v>
      </c>
      <c r="O32" s="99">
        <v>14</v>
      </c>
      <c r="P32" s="102" t="str">
        <f t="shared" si="2"/>
        <v>I15.5</v>
      </c>
      <c r="Q32" s="101" t="str">
        <f t="shared" si="7"/>
        <v>M26¶Screw feeder¶Running</v>
      </c>
    </row>
    <row r="33" spans="2:17" ht="14.25">
      <c r="B33" s="70">
        <v>31</v>
      </c>
      <c r="C33" s="70" t="s">
        <v>506</v>
      </c>
      <c r="D33" s="70"/>
      <c r="E33" s="67" t="s">
        <v>507</v>
      </c>
      <c r="F33" s="67" t="s">
        <v>92</v>
      </c>
      <c r="G33" s="65" t="s">
        <v>28</v>
      </c>
      <c r="H33" s="67" t="s">
        <v>90</v>
      </c>
      <c r="I33" s="65" t="s">
        <v>30</v>
      </c>
      <c r="J33" s="70" t="s">
        <v>445</v>
      </c>
      <c r="K33" s="101" t="s">
        <v>32</v>
      </c>
      <c r="L33" s="101" t="s">
        <v>33</v>
      </c>
      <c r="M33" s="101" t="s">
        <v>479</v>
      </c>
      <c r="N33" s="101" t="str">
        <f t="shared" si="3"/>
        <v>-3A3</v>
      </c>
      <c r="O33" s="99">
        <v>15</v>
      </c>
      <c r="P33" s="102" t="str">
        <f t="shared" si="2"/>
        <v>I15.6</v>
      </c>
      <c r="Q33" s="101" t="str">
        <f t="shared" ref="Q33" si="8">E33&amp;K33&amp;H33&amp;K33&amp;I33</f>
        <v>M27¶Screw feeder¶Running</v>
      </c>
    </row>
    <row r="34" spans="2:17" ht="14.25">
      <c r="B34" s="70">
        <v>32</v>
      </c>
      <c r="C34" s="70" t="s">
        <v>508</v>
      </c>
      <c r="D34" s="70"/>
      <c r="E34" s="67" t="s">
        <v>509</v>
      </c>
      <c r="F34" s="67" t="s">
        <v>92</v>
      </c>
      <c r="G34" s="65" t="s">
        <v>28</v>
      </c>
      <c r="H34" s="67" t="s">
        <v>90</v>
      </c>
      <c r="I34" s="65" t="s">
        <v>30</v>
      </c>
      <c r="J34" s="70" t="s">
        <v>445</v>
      </c>
      <c r="K34" s="101" t="s">
        <v>32</v>
      </c>
      <c r="L34" s="101" t="s">
        <v>33</v>
      </c>
      <c r="M34" s="101" t="s">
        <v>479</v>
      </c>
      <c r="N34" s="101" t="str">
        <f t="shared" si="3"/>
        <v>-3A3</v>
      </c>
      <c r="O34" s="99">
        <v>16</v>
      </c>
      <c r="P34" s="102" t="str">
        <f t="shared" si="2"/>
        <v>I15.7</v>
      </c>
      <c r="Q34" s="101" t="str">
        <f t="shared" ref="Q34:Q65" si="9">E34&amp;K34&amp;H34&amp;K34&amp;I34</f>
        <v>M28¶Screw feeder¶Running</v>
      </c>
    </row>
    <row r="35" spans="2:17" ht="14.25">
      <c r="B35" s="70">
        <v>33</v>
      </c>
      <c r="C35" s="70" t="s">
        <v>510</v>
      </c>
      <c r="D35" s="70"/>
      <c r="E35" s="67" t="s">
        <v>511</v>
      </c>
      <c r="F35" s="67" t="s">
        <v>92</v>
      </c>
      <c r="G35" s="65" t="s">
        <v>28</v>
      </c>
      <c r="H35" s="67" t="s">
        <v>90</v>
      </c>
      <c r="I35" s="65" t="s">
        <v>30</v>
      </c>
      <c r="J35" s="70" t="s">
        <v>445</v>
      </c>
      <c r="K35" s="101" t="s">
        <v>32</v>
      </c>
      <c r="L35" s="101" t="s">
        <v>33</v>
      </c>
      <c r="M35" s="101" t="s">
        <v>512</v>
      </c>
      <c r="N35" s="101" t="str">
        <f t="shared" si="3"/>
        <v>-3A4</v>
      </c>
      <c r="O35" s="99">
        <v>1</v>
      </c>
      <c r="P35" s="102" t="str">
        <f t="shared" si="2"/>
        <v>I16.0</v>
      </c>
      <c r="Q35" s="101" t="str">
        <f t="shared" si="9"/>
        <v>M29¶Screw feeder¶Running</v>
      </c>
    </row>
    <row r="36" spans="2:17" ht="14.25">
      <c r="B36" s="70">
        <v>34</v>
      </c>
      <c r="C36" s="70" t="s">
        <v>513</v>
      </c>
      <c r="D36" s="70"/>
      <c r="E36" s="67" t="s">
        <v>514</v>
      </c>
      <c r="F36" s="67" t="s">
        <v>92</v>
      </c>
      <c r="G36" s="65" t="s">
        <v>28</v>
      </c>
      <c r="H36" s="67" t="s">
        <v>90</v>
      </c>
      <c r="I36" s="65" t="s">
        <v>30</v>
      </c>
      <c r="J36" s="70" t="s">
        <v>445</v>
      </c>
      <c r="K36" s="101" t="s">
        <v>32</v>
      </c>
      <c r="L36" s="101" t="s">
        <v>33</v>
      </c>
      <c r="M36" s="101" t="s">
        <v>512</v>
      </c>
      <c r="N36" s="101" t="str">
        <f t="shared" si="3"/>
        <v>-3A4</v>
      </c>
      <c r="O36" s="99">
        <v>2</v>
      </c>
      <c r="P36" s="102" t="str">
        <f t="shared" ref="P36:P66" si="10">C36</f>
        <v>I16.1</v>
      </c>
      <c r="Q36" s="101" t="str">
        <f t="shared" si="9"/>
        <v>M30¶Screw feeder¶Running</v>
      </c>
    </row>
    <row r="37" spans="2:17" ht="14.25">
      <c r="B37" s="70">
        <v>35</v>
      </c>
      <c r="C37" s="70" t="s">
        <v>515</v>
      </c>
      <c r="D37" s="70"/>
      <c r="E37" s="67" t="s">
        <v>516</v>
      </c>
      <c r="F37" s="67" t="s">
        <v>92</v>
      </c>
      <c r="G37" s="65" t="s">
        <v>28</v>
      </c>
      <c r="H37" s="67" t="s">
        <v>90</v>
      </c>
      <c r="I37" s="65" t="s">
        <v>30</v>
      </c>
      <c r="J37" s="70" t="s">
        <v>445</v>
      </c>
      <c r="K37" s="101" t="s">
        <v>32</v>
      </c>
      <c r="L37" s="101" t="s">
        <v>33</v>
      </c>
      <c r="M37" s="101" t="s">
        <v>512</v>
      </c>
      <c r="N37" s="101" t="str">
        <f t="shared" ref="N37:N68" si="11">L37&amp;M37</f>
        <v>-3A4</v>
      </c>
      <c r="O37" s="99">
        <v>3</v>
      </c>
      <c r="P37" s="102" t="str">
        <f t="shared" si="10"/>
        <v>I16.2</v>
      </c>
      <c r="Q37" s="101" t="str">
        <f t="shared" si="9"/>
        <v>M31¶Screw feeder¶Running</v>
      </c>
    </row>
    <row r="38" spans="2:17" ht="14.25">
      <c r="B38" s="70">
        <v>36</v>
      </c>
      <c r="C38" s="70" t="s">
        <v>517</v>
      </c>
      <c r="D38" s="70"/>
      <c r="E38" s="67" t="s">
        <v>518</v>
      </c>
      <c r="F38" s="67" t="s">
        <v>92</v>
      </c>
      <c r="G38" s="65" t="s">
        <v>28</v>
      </c>
      <c r="H38" s="67" t="s">
        <v>90</v>
      </c>
      <c r="I38" s="65" t="s">
        <v>30</v>
      </c>
      <c r="J38" s="70" t="s">
        <v>445</v>
      </c>
      <c r="K38" s="101" t="s">
        <v>32</v>
      </c>
      <c r="L38" s="101" t="s">
        <v>33</v>
      </c>
      <c r="M38" s="101" t="s">
        <v>512</v>
      </c>
      <c r="N38" s="101" t="str">
        <f t="shared" si="11"/>
        <v>-3A4</v>
      </c>
      <c r="O38" s="99">
        <v>4</v>
      </c>
      <c r="P38" s="102" t="str">
        <f t="shared" si="10"/>
        <v>I16.3</v>
      </c>
      <c r="Q38" s="101" t="str">
        <f t="shared" si="9"/>
        <v>M32¶Screw feeder¶Running</v>
      </c>
    </row>
    <row r="39" spans="2:17" ht="14.25">
      <c r="B39" s="70">
        <v>37</v>
      </c>
      <c r="C39" s="70" t="s">
        <v>519</v>
      </c>
      <c r="D39" s="70"/>
      <c r="E39" s="67" t="s">
        <v>520</v>
      </c>
      <c r="F39" s="67" t="s">
        <v>89</v>
      </c>
      <c r="G39" s="65" t="s">
        <v>39</v>
      </c>
      <c r="H39" s="67" t="s">
        <v>90</v>
      </c>
      <c r="I39" s="65" t="s">
        <v>40</v>
      </c>
      <c r="J39" s="70" t="s">
        <v>445</v>
      </c>
      <c r="K39" s="101" t="s">
        <v>32</v>
      </c>
      <c r="L39" s="101" t="s">
        <v>33</v>
      </c>
      <c r="M39" s="101" t="s">
        <v>512</v>
      </c>
      <c r="N39" s="101" t="str">
        <f t="shared" si="11"/>
        <v>-3A4</v>
      </c>
      <c r="O39" s="99">
        <v>5</v>
      </c>
      <c r="P39" s="102" t="str">
        <f t="shared" si="10"/>
        <v>I16.4</v>
      </c>
      <c r="Q39" s="101" t="str">
        <f t="shared" si="9"/>
        <v>D5¶Screw feeder¶E-STOP</v>
      </c>
    </row>
    <row r="40" spans="2:17" ht="14.25">
      <c r="B40" s="70">
        <v>38</v>
      </c>
      <c r="C40" s="70" t="s">
        <v>521</v>
      </c>
      <c r="D40" s="70"/>
      <c r="E40" s="67" t="s">
        <v>522</v>
      </c>
      <c r="F40" s="67" t="s">
        <v>92</v>
      </c>
      <c r="G40" s="65" t="s">
        <v>28</v>
      </c>
      <c r="H40" s="67" t="s">
        <v>90</v>
      </c>
      <c r="I40" s="65" t="s">
        <v>30</v>
      </c>
      <c r="J40" s="70" t="s">
        <v>445</v>
      </c>
      <c r="K40" s="101" t="s">
        <v>32</v>
      </c>
      <c r="L40" s="101" t="s">
        <v>33</v>
      </c>
      <c r="M40" s="101" t="s">
        <v>512</v>
      </c>
      <c r="N40" s="101" t="str">
        <f t="shared" si="11"/>
        <v>-3A4</v>
      </c>
      <c r="O40" s="99">
        <v>6</v>
      </c>
      <c r="P40" s="102" t="str">
        <f t="shared" si="10"/>
        <v>I16.5</v>
      </c>
      <c r="Q40" s="101" t="str">
        <f t="shared" si="9"/>
        <v>M33¶Screw feeder¶Running</v>
      </c>
    </row>
    <row r="41" spans="2:17" ht="14.25">
      <c r="B41" s="70">
        <v>39</v>
      </c>
      <c r="C41" s="70" t="s">
        <v>523</v>
      </c>
      <c r="D41" s="70"/>
      <c r="E41" s="67" t="s">
        <v>524</v>
      </c>
      <c r="F41" s="67" t="s">
        <v>92</v>
      </c>
      <c r="G41" s="65" t="s">
        <v>28</v>
      </c>
      <c r="H41" s="67" t="s">
        <v>90</v>
      </c>
      <c r="I41" s="65" t="s">
        <v>30</v>
      </c>
      <c r="J41" s="70" t="s">
        <v>445</v>
      </c>
      <c r="K41" s="101" t="s">
        <v>32</v>
      </c>
      <c r="L41" s="101" t="s">
        <v>33</v>
      </c>
      <c r="M41" s="101" t="s">
        <v>512</v>
      </c>
      <c r="N41" s="101" t="str">
        <f t="shared" si="11"/>
        <v>-3A4</v>
      </c>
      <c r="O41" s="99">
        <v>7</v>
      </c>
      <c r="P41" s="102" t="str">
        <f t="shared" si="10"/>
        <v>I16.6</v>
      </c>
      <c r="Q41" s="101" t="str">
        <f t="shared" si="9"/>
        <v>M34¶Screw feeder¶Running</v>
      </c>
    </row>
    <row r="42" spans="2:17" ht="14.25">
      <c r="B42" s="70">
        <v>40</v>
      </c>
      <c r="C42" s="70" t="s">
        <v>525</v>
      </c>
      <c r="D42" s="70"/>
      <c r="E42" s="67" t="s">
        <v>526</v>
      </c>
      <c r="F42" s="67" t="s">
        <v>92</v>
      </c>
      <c r="G42" s="65" t="s">
        <v>28</v>
      </c>
      <c r="H42" s="67" t="s">
        <v>90</v>
      </c>
      <c r="I42" s="65" t="s">
        <v>30</v>
      </c>
      <c r="J42" s="70" t="s">
        <v>445</v>
      </c>
      <c r="K42" s="101" t="s">
        <v>32</v>
      </c>
      <c r="L42" s="101" t="s">
        <v>33</v>
      </c>
      <c r="M42" s="101" t="s">
        <v>512</v>
      </c>
      <c r="N42" s="101" t="str">
        <f t="shared" si="11"/>
        <v>-3A4</v>
      </c>
      <c r="O42" s="99">
        <v>8</v>
      </c>
      <c r="P42" s="102" t="str">
        <f t="shared" si="10"/>
        <v>I16.7</v>
      </c>
      <c r="Q42" s="101" t="str">
        <f t="shared" si="9"/>
        <v>M35¶Screw feeder¶Running</v>
      </c>
    </row>
    <row r="43" spans="2:17" ht="14.25">
      <c r="B43" s="70">
        <v>41</v>
      </c>
      <c r="C43" s="70" t="s">
        <v>527</v>
      </c>
      <c r="D43" s="70"/>
      <c r="E43" s="67" t="s">
        <v>528</v>
      </c>
      <c r="F43" s="67" t="s">
        <v>92</v>
      </c>
      <c r="G43" s="65" t="s">
        <v>28</v>
      </c>
      <c r="H43" s="67" t="s">
        <v>90</v>
      </c>
      <c r="I43" s="65" t="s">
        <v>30</v>
      </c>
      <c r="J43" s="70" t="s">
        <v>445</v>
      </c>
      <c r="K43" s="101" t="s">
        <v>32</v>
      </c>
      <c r="L43" s="101" t="s">
        <v>33</v>
      </c>
      <c r="M43" s="101" t="s">
        <v>512</v>
      </c>
      <c r="N43" s="101" t="str">
        <f t="shared" si="11"/>
        <v>-3A4</v>
      </c>
      <c r="O43" s="99">
        <v>9</v>
      </c>
      <c r="P43" s="102" t="str">
        <f t="shared" si="10"/>
        <v>I17.0</v>
      </c>
      <c r="Q43" s="101" t="str">
        <f t="shared" si="9"/>
        <v>M36¶Screw feeder¶Running</v>
      </c>
    </row>
    <row r="44" spans="2:17" ht="14.25">
      <c r="B44" s="70">
        <v>42</v>
      </c>
      <c r="C44" s="70" t="s">
        <v>529</v>
      </c>
      <c r="D44" s="70"/>
      <c r="E44" s="67" t="s">
        <v>530</v>
      </c>
      <c r="F44" s="67" t="s">
        <v>531</v>
      </c>
      <c r="G44" s="67"/>
      <c r="H44" s="67" t="s">
        <v>532</v>
      </c>
      <c r="I44" s="67"/>
      <c r="J44" s="70" t="s">
        <v>445</v>
      </c>
      <c r="K44" s="101" t="s">
        <v>32</v>
      </c>
      <c r="L44" s="101" t="s">
        <v>33</v>
      </c>
      <c r="M44" s="101" t="s">
        <v>512</v>
      </c>
      <c r="N44" s="101" t="str">
        <f t="shared" si="11"/>
        <v>-3A4</v>
      </c>
      <c r="O44" s="99">
        <v>10</v>
      </c>
      <c r="P44" s="102" t="str">
        <f t="shared" si="10"/>
        <v>I17.1</v>
      </c>
      <c r="Q44" s="101" t="str">
        <f t="shared" si="9"/>
        <v>2002_1_HL¶High Level¶</v>
      </c>
    </row>
    <row r="45" spans="2:17" ht="14.25">
      <c r="B45" s="70">
        <v>43</v>
      </c>
      <c r="C45" s="70" t="s">
        <v>533</v>
      </c>
      <c r="D45" s="70"/>
      <c r="E45" s="67" t="s">
        <v>534</v>
      </c>
      <c r="F45" s="67" t="s">
        <v>535</v>
      </c>
      <c r="G45" s="67"/>
      <c r="H45" s="67" t="s">
        <v>532</v>
      </c>
      <c r="I45" s="67"/>
      <c r="J45" s="70" t="s">
        <v>445</v>
      </c>
      <c r="K45" s="101" t="s">
        <v>32</v>
      </c>
      <c r="L45" s="101" t="s">
        <v>33</v>
      </c>
      <c r="M45" s="101" t="s">
        <v>512</v>
      </c>
      <c r="N45" s="101" t="str">
        <f t="shared" si="11"/>
        <v>-3A4</v>
      </c>
      <c r="O45" s="99">
        <v>11</v>
      </c>
      <c r="P45" s="102" t="str">
        <f t="shared" si="10"/>
        <v>I17.2</v>
      </c>
      <c r="Q45" s="101" t="str">
        <f t="shared" si="9"/>
        <v>2002_2_HL¶High Level¶</v>
      </c>
    </row>
    <row r="46" spans="2:17" ht="14.25">
      <c r="B46" s="70">
        <v>44</v>
      </c>
      <c r="C46" s="70" t="s">
        <v>536</v>
      </c>
      <c r="D46" s="70"/>
      <c r="E46" s="67" t="s">
        <v>537</v>
      </c>
      <c r="F46" s="67" t="s">
        <v>538</v>
      </c>
      <c r="G46" s="67"/>
      <c r="H46" s="67" t="s">
        <v>532</v>
      </c>
      <c r="I46" s="67"/>
      <c r="J46" s="70" t="s">
        <v>445</v>
      </c>
      <c r="K46" s="101" t="s">
        <v>32</v>
      </c>
      <c r="L46" s="101" t="s">
        <v>33</v>
      </c>
      <c r="M46" s="101" t="s">
        <v>512</v>
      </c>
      <c r="N46" s="101" t="str">
        <f t="shared" si="11"/>
        <v>-3A4</v>
      </c>
      <c r="O46" s="99">
        <v>12</v>
      </c>
      <c r="P46" s="102" t="str">
        <f t="shared" si="10"/>
        <v>I17.3</v>
      </c>
      <c r="Q46" s="101" t="str">
        <f t="shared" si="9"/>
        <v>2002_3_HL¶High Level¶</v>
      </c>
    </row>
    <row r="47" spans="2:17" ht="14.25">
      <c r="B47" s="70">
        <v>45</v>
      </c>
      <c r="C47" s="70" t="s">
        <v>539</v>
      </c>
      <c r="D47" s="70"/>
      <c r="E47" s="67" t="s">
        <v>540</v>
      </c>
      <c r="F47" s="67" t="s">
        <v>541</v>
      </c>
      <c r="G47" s="67"/>
      <c r="H47" s="67" t="s">
        <v>532</v>
      </c>
      <c r="I47" s="67"/>
      <c r="J47" s="70" t="s">
        <v>445</v>
      </c>
      <c r="K47" s="101" t="s">
        <v>32</v>
      </c>
      <c r="L47" s="101" t="s">
        <v>33</v>
      </c>
      <c r="M47" s="101" t="s">
        <v>512</v>
      </c>
      <c r="N47" s="101" t="str">
        <f t="shared" si="11"/>
        <v>-3A4</v>
      </c>
      <c r="O47" s="99">
        <v>13</v>
      </c>
      <c r="P47" s="102" t="str">
        <f t="shared" si="10"/>
        <v>I17.4</v>
      </c>
      <c r="Q47" s="101" t="str">
        <f t="shared" si="9"/>
        <v>2002_4_HL¶High Level¶</v>
      </c>
    </row>
    <row r="48" spans="2:17" ht="14.25">
      <c r="B48" s="70">
        <v>46</v>
      </c>
      <c r="C48" s="70" t="s">
        <v>542</v>
      </c>
      <c r="D48" s="70"/>
      <c r="E48" s="67" t="s">
        <v>543</v>
      </c>
      <c r="F48" s="67" t="s">
        <v>544</v>
      </c>
      <c r="G48" s="67"/>
      <c r="H48" s="67" t="s">
        <v>545</v>
      </c>
      <c r="I48" s="67"/>
      <c r="J48" s="70" t="s">
        <v>445</v>
      </c>
      <c r="K48" s="101" t="s">
        <v>32</v>
      </c>
      <c r="L48" s="101" t="s">
        <v>33</v>
      </c>
      <c r="M48" s="101" t="s">
        <v>512</v>
      </c>
      <c r="N48" s="101" t="str">
        <f t="shared" si="11"/>
        <v>-3A4</v>
      </c>
      <c r="O48" s="99">
        <v>14</v>
      </c>
      <c r="P48" s="102" t="str">
        <f t="shared" si="10"/>
        <v>I17.5</v>
      </c>
      <c r="Q48" s="101" t="str">
        <f t="shared" si="9"/>
        <v>2004_1_LL¶Low Level¶</v>
      </c>
    </row>
    <row r="49" spans="2:17" ht="14.25">
      <c r="B49" s="70">
        <v>47</v>
      </c>
      <c r="C49" s="70" t="s">
        <v>546</v>
      </c>
      <c r="D49" s="70"/>
      <c r="E49" s="67" t="s">
        <v>547</v>
      </c>
      <c r="F49" s="67" t="s">
        <v>548</v>
      </c>
      <c r="G49" s="67"/>
      <c r="H49" s="67" t="s">
        <v>545</v>
      </c>
      <c r="I49" s="67"/>
      <c r="J49" s="70" t="s">
        <v>445</v>
      </c>
      <c r="K49" s="101" t="s">
        <v>32</v>
      </c>
      <c r="L49" s="101" t="s">
        <v>33</v>
      </c>
      <c r="M49" s="101" t="s">
        <v>512</v>
      </c>
      <c r="N49" s="101" t="str">
        <f t="shared" si="11"/>
        <v>-3A4</v>
      </c>
      <c r="O49" s="99">
        <v>15</v>
      </c>
      <c r="P49" s="102" t="str">
        <f t="shared" si="10"/>
        <v>I17.6</v>
      </c>
      <c r="Q49" s="101" t="str">
        <f t="shared" si="9"/>
        <v>2004_2_LL¶Low Level¶</v>
      </c>
    </row>
    <row r="50" spans="2:17" ht="14.25">
      <c r="B50" s="70">
        <v>48</v>
      </c>
      <c r="C50" s="70" t="s">
        <v>549</v>
      </c>
      <c r="D50" s="70"/>
      <c r="E50" s="67" t="s">
        <v>550</v>
      </c>
      <c r="F50" s="67" t="s">
        <v>551</v>
      </c>
      <c r="G50" s="67"/>
      <c r="H50" s="67" t="s">
        <v>545</v>
      </c>
      <c r="I50" s="67"/>
      <c r="J50" s="70" t="s">
        <v>445</v>
      </c>
      <c r="K50" s="101" t="s">
        <v>32</v>
      </c>
      <c r="L50" s="101" t="s">
        <v>33</v>
      </c>
      <c r="M50" s="101" t="s">
        <v>512</v>
      </c>
      <c r="N50" s="101" t="str">
        <f t="shared" si="11"/>
        <v>-3A4</v>
      </c>
      <c r="O50" s="99">
        <v>16</v>
      </c>
      <c r="P50" s="102" t="str">
        <f t="shared" si="10"/>
        <v>I17.7</v>
      </c>
      <c r="Q50" s="101" t="str">
        <f t="shared" si="9"/>
        <v>2004_3_LL¶Low Level¶</v>
      </c>
    </row>
    <row r="51" spans="2:17" ht="14.25">
      <c r="B51" s="70">
        <v>49</v>
      </c>
      <c r="C51" s="70" t="s">
        <v>552</v>
      </c>
      <c r="D51" s="70"/>
      <c r="E51" s="67" t="s">
        <v>553</v>
      </c>
      <c r="F51" s="67" t="s">
        <v>554</v>
      </c>
      <c r="G51" s="67"/>
      <c r="H51" s="67" t="s">
        <v>545</v>
      </c>
      <c r="I51" s="67"/>
      <c r="J51" s="70" t="s">
        <v>445</v>
      </c>
      <c r="K51" s="101" t="s">
        <v>32</v>
      </c>
      <c r="L51" s="101" t="s">
        <v>33</v>
      </c>
      <c r="M51" s="101" t="s">
        <v>555</v>
      </c>
      <c r="N51" s="101" t="str">
        <f t="shared" si="11"/>
        <v>-3A5</v>
      </c>
      <c r="O51" s="99">
        <v>1</v>
      </c>
      <c r="P51" s="102" t="str">
        <f t="shared" si="10"/>
        <v>I18.0</v>
      </c>
      <c r="Q51" s="101" t="str">
        <f t="shared" si="9"/>
        <v>2004_4_LL¶Low Level¶</v>
      </c>
    </row>
    <row r="52" spans="2:17" ht="14.25">
      <c r="B52" s="70">
        <v>50</v>
      </c>
      <c r="C52" s="70" t="s">
        <v>556</v>
      </c>
      <c r="D52" s="70"/>
      <c r="E52" s="67" t="s">
        <v>557</v>
      </c>
      <c r="F52" s="67" t="s">
        <v>558</v>
      </c>
      <c r="G52" s="67"/>
      <c r="H52" s="67" t="s">
        <v>545</v>
      </c>
      <c r="I52" s="67"/>
      <c r="J52" s="70" t="s">
        <v>445</v>
      </c>
      <c r="K52" s="101" t="s">
        <v>32</v>
      </c>
      <c r="L52" s="101" t="s">
        <v>33</v>
      </c>
      <c r="M52" s="101" t="s">
        <v>555</v>
      </c>
      <c r="N52" s="101" t="str">
        <f t="shared" si="11"/>
        <v>-3A5</v>
      </c>
      <c r="O52" s="99">
        <v>2</v>
      </c>
      <c r="P52" s="102" t="str">
        <f t="shared" si="10"/>
        <v>I18.1</v>
      </c>
      <c r="Q52" s="101" t="str">
        <f t="shared" si="9"/>
        <v>2102_1_LL¶Low Level¶</v>
      </c>
    </row>
    <row r="53" spans="2:17" ht="14.25">
      <c r="B53" s="70">
        <v>51</v>
      </c>
      <c r="C53" s="70" t="s">
        <v>559</v>
      </c>
      <c r="D53" s="70"/>
      <c r="E53" s="67" t="s">
        <v>560</v>
      </c>
      <c r="F53" s="67" t="s">
        <v>561</v>
      </c>
      <c r="G53" s="67"/>
      <c r="H53" s="67" t="s">
        <v>545</v>
      </c>
      <c r="I53" s="67"/>
      <c r="J53" s="70" t="s">
        <v>445</v>
      </c>
      <c r="K53" s="101" t="s">
        <v>32</v>
      </c>
      <c r="L53" s="101" t="s">
        <v>33</v>
      </c>
      <c r="M53" s="101" t="s">
        <v>555</v>
      </c>
      <c r="N53" s="101" t="str">
        <f t="shared" si="11"/>
        <v>-3A5</v>
      </c>
      <c r="O53" s="99">
        <v>3</v>
      </c>
      <c r="P53" s="102" t="str">
        <f t="shared" si="10"/>
        <v>I18.2</v>
      </c>
      <c r="Q53" s="101" t="str">
        <f t="shared" si="9"/>
        <v>2102_2_LL¶Low Level¶</v>
      </c>
    </row>
    <row r="54" spans="2:17" ht="14.25">
      <c r="B54" s="70">
        <v>52</v>
      </c>
      <c r="C54" s="70" t="s">
        <v>562</v>
      </c>
      <c r="D54" s="70"/>
      <c r="E54" s="67" t="s">
        <v>563</v>
      </c>
      <c r="F54" s="67" t="s">
        <v>564</v>
      </c>
      <c r="G54" s="67"/>
      <c r="H54" s="67" t="s">
        <v>545</v>
      </c>
      <c r="I54" s="67"/>
      <c r="J54" s="70" t="s">
        <v>445</v>
      </c>
      <c r="K54" s="101" t="s">
        <v>32</v>
      </c>
      <c r="L54" s="101" t="s">
        <v>33</v>
      </c>
      <c r="M54" s="101" t="s">
        <v>555</v>
      </c>
      <c r="N54" s="101" t="str">
        <f t="shared" si="11"/>
        <v>-3A5</v>
      </c>
      <c r="O54" s="99">
        <v>4</v>
      </c>
      <c r="P54" s="102" t="str">
        <f t="shared" si="10"/>
        <v>I18.3</v>
      </c>
      <c r="Q54" s="101" t="str">
        <f t="shared" si="9"/>
        <v>2102_3_LL¶Low Level¶</v>
      </c>
    </row>
    <row r="55" spans="2:17" ht="14.25">
      <c r="B55" s="70">
        <v>53</v>
      </c>
      <c r="C55" s="70" t="s">
        <v>565</v>
      </c>
      <c r="D55" s="70"/>
      <c r="E55" s="67" t="s">
        <v>566</v>
      </c>
      <c r="F55" s="67" t="s">
        <v>567</v>
      </c>
      <c r="G55" s="67"/>
      <c r="H55" s="67" t="s">
        <v>545</v>
      </c>
      <c r="I55" s="67"/>
      <c r="J55" s="70" t="s">
        <v>445</v>
      </c>
      <c r="K55" s="101" t="s">
        <v>32</v>
      </c>
      <c r="L55" s="101" t="s">
        <v>33</v>
      </c>
      <c r="M55" s="101" t="s">
        <v>555</v>
      </c>
      <c r="N55" s="101" t="str">
        <f t="shared" si="11"/>
        <v>-3A5</v>
      </c>
      <c r="O55" s="99">
        <v>5</v>
      </c>
      <c r="P55" s="102" t="str">
        <f t="shared" si="10"/>
        <v>I18.4</v>
      </c>
      <c r="Q55" s="101" t="str">
        <f t="shared" si="9"/>
        <v>2102_4_LL¶Low Level¶</v>
      </c>
    </row>
    <row r="56" spans="2:17" ht="14.25">
      <c r="B56" s="70">
        <v>54</v>
      </c>
      <c r="C56" s="70" t="s">
        <v>568</v>
      </c>
      <c r="D56" s="70"/>
      <c r="E56" s="67" t="s">
        <v>569</v>
      </c>
      <c r="F56" s="67" t="s">
        <v>570</v>
      </c>
      <c r="G56" s="67"/>
      <c r="H56" s="67" t="s">
        <v>545</v>
      </c>
      <c r="I56" s="67"/>
      <c r="J56" s="70" t="s">
        <v>445</v>
      </c>
      <c r="K56" s="101" t="s">
        <v>32</v>
      </c>
      <c r="L56" s="101" t="s">
        <v>33</v>
      </c>
      <c r="M56" s="101" t="s">
        <v>555</v>
      </c>
      <c r="N56" s="101" t="str">
        <f t="shared" si="11"/>
        <v>-3A5</v>
      </c>
      <c r="O56" s="99">
        <v>6</v>
      </c>
      <c r="P56" s="102" t="str">
        <f t="shared" si="10"/>
        <v>I18.5</v>
      </c>
      <c r="Q56" s="101" t="str">
        <f t="shared" si="9"/>
        <v>2102_5_LL¶Low Level¶</v>
      </c>
    </row>
    <row r="57" spans="2:17" ht="14.25">
      <c r="B57" s="70">
        <v>55</v>
      </c>
      <c r="C57" s="70" t="s">
        <v>571</v>
      </c>
      <c r="D57" s="70"/>
      <c r="E57" s="67" t="s">
        <v>572</v>
      </c>
      <c r="F57" s="67" t="s">
        <v>573</v>
      </c>
      <c r="G57" s="67"/>
      <c r="H57" s="67" t="s">
        <v>545</v>
      </c>
      <c r="I57" s="67"/>
      <c r="J57" s="70" t="s">
        <v>445</v>
      </c>
      <c r="K57" s="101" t="s">
        <v>32</v>
      </c>
      <c r="L57" s="101" t="s">
        <v>33</v>
      </c>
      <c r="M57" s="101" t="s">
        <v>555</v>
      </c>
      <c r="N57" s="101" t="str">
        <f t="shared" si="11"/>
        <v>-3A5</v>
      </c>
      <c r="O57" s="99">
        <v>7</v>
      </c>
      <c r="P57" s="102" t="str">
        <f t="shared" si="10"/>
        <v>I18.6</v>
      </c>
      <c r="Q57" s="101" t="str">
        <f t="shared" si="9"/>
        <v>2102_6_LL¶Low Level¶</v>
      </c>
    </row>
    <row r="58" spans="2:17" ht="14.25">
      <c r="B58" s="70">
        <v>56</v>
      </c>
      <c r="C58" s="70" t="s">
        <v>574</v>
      </c>
      <c r="D58" s="70"/>
      <c r="E58" s="67" t="s">
        <v>575</v>
      </c>
      <c r="F58" s="67" t="s">
        <v>576</v>
      </c>
      <c r="G58" s="67"/>
      <c r="H58" s="67" t="s">
        <v>545</v>
      </c>
      <c r="I58" s="67"/>
      <c r="J58" s="70" t="s">
        <v>445</v>
      </c>
      <c r="K58" s="101" t="s">
        <v>32</v>
      </c>
      <c r="L58" s="101" t="s">
        <v>33</v>
      </c>
      <c r="M58" s="101" t="s">
        <v>555</v>
      </c>
      <c r="N58" s="101" t="str">
        <f t="shared" si="11"/>
        <v>-3A5</v>
      </c>
      <c r="O58" s="99">
        <v>8</v>
      </c>
      <c r="P58" s="102" t="str">
        <f t="shared" si="10"/>
        <v>I18.7</v>
      </c>
      <c r="Q58" s="101" t="str">
        <f t="shared" si="9"/>
        <v>2102_7_LL¶Low Level¶</v>
      </c>
    </row>
    <row r="59" spans="2:17" ht="14.25">
      <c r="B59" s="70">
        <v>57</v>
      </c>
      <c r="C59" s="70" t="s">
        <v>577</v>
      </c>
      <c r="D59" s="70"/>
      <c r="E59" s="67" t="s">
        <v>578</v>
      </c>
      <c r="F59" s="67" t="s">
        <v>579</v>
      </c>
      <c r="G59" s="67"/>
      <c r="H59" s="67" t="s">
        <v>545</v>
      </c>
      <c r="I59" s="67"/>
      <c r="J59" s="70" t="s">
        <v>445</v>
      </c>
      <c r="K59" s="101" t="s">
        <v>32</v>
      </c>
      <c r="L59" s="101" t="s">
        <v>33</v>
      </c>
      <c r="M59" s="101" t="s">
        <v>555</v>
      </c>
      <c r="N59" s="101" t="str">
        <f t="shared" si="11"/>
        <v>-3A5</v>
      </c>
      <c r="O59" s="99">
        <v>9</v>
      </c>
      <c r="P59" s="102" t="str">
        <f t="shared" si="10"/>
        <v>I19.0</v>
      </c>
      <c r="Q59" s="101" t="str">
        <f t="shared" si="9"/>
        <v>2102_8_LL¶Low Level¶</v>
      </c>
    </row>
    <row r="60" spans="2:17" ht="14.25">
      <c r="B60" s="70">
        <v>58</v>
      </c>
      <c r="C60" s="70" t="s">
        <v>580</v>
      </c>
      <c r="D60" s="70"/>
      <c r="E60" s="67" t="s">
        <v>581</v>
      </c>
      <c r="F60" s="67" t="s">
        <v>582</v>
      </c>
      <c r="G60" s="67"/>
      <c r="H60" s="67" t="s">
        <v>545</v>
      </c>
      <c r="I60" s="67"/>
      <c r="J60" s="70" t="s">
        <v>445</v>
      </c>
      <c r="K60" s="101" t="s">
        <v>32</v>
      </c>
      <c r="L60" s="101" t="s">
        <v>33</v>
      </c>
      <c r="M60" s="101" t="s">
        <v>555</v>
      </c>
      <c r="N60" s="101" t="str">
        <f t="shared" si="11"/>
        <v>-3A5</v>
      </c>
      <c r="O60" s="99">
        <v>10</v>
      </c>
      <c r="P60" s="102" t="str">
        <f t="shared" si="10"/>
        <v>I19.1</v>
      </c>
      <c r="Q60" s="101" t="str">
        <f t="shared" si="9"/>
        <v>2102_9_LL¶Low Level¶</v>
      </c>
    </row>
    <row r="61" spans="2:17" ht="14.25">
      <c r="B61" s="70">
        <v>59</v>
      </c>
      <c r="C61" s="70" t="s">
        <v>583</v>
      </c>
      <c r="D61" s="70"/>
      <c r="E61" s="67" t="s">
        <v>584</v>
      </c>
      <c r="F61" s="67" t="s">
        <v>585</v>
      </c>
      <c r="G61" s="67"/>
      <c r="H61" s="67" t="s">
        <v>545</v>
      </c>
      <c r="I61" s="67"/>
      <c r="J61" s="70" t="s">
        <v>445</v>
      </c>
      <c r="K61" s="101" t="s">
        <v>32</v>
      </c>
      <c r="L61" s="101" t="s">
        <v>33</v>
      </c>
      <c r="M61" s="101" t="s">
        <v>555</v>
      </c>
      <c r="N61" s="101" t="str">
        <f t="shared" si="11"/>
        <v>-3A5</v>
      </c>
      <c r="O61" s="99">
        <v>11</v>
      </c>
      <c r="P61" s="102" t="str">
        <f t="shared" si="10"/>
        <v>I19.2</v>
      </c>
      <c r="Q61" s="101" t="str">
        <f t="shared" si="9"/>
        <v>2102_10_LL¶Low Level¶</v>
      </c>
    </row>
    <row r="62" spans="2:17" ht="14.25">
      <c r="B62" s="70">
        <v>60</v>
      </c>
      <c r="C62" s="70" t="s">
        <v>586</v>
      </c>
      <c r="D62" s="70"/>
      <c r="E62" s="67" t="s">
        <v>587</v>
      </c>
      <c r="F62" s="67" t="s">
        <v>588</v>
      </c>
      <c r="G62" s="67"/>
      <c r="H62" s="67" t="s">
        <v>545</v>
      </c>
      <c r="I62" s="67"/>
      <c r="J62" s="70" t="s">
        <v>445</v>
      </c>
      <c r="K62" s="101" t="s">
        <v>32</v>
      </c>
      <c r="L62" s="101" t="s">
        <v>33</v>
      </c>
      <c r="M62" s="101" t="s">
        <v>555</v>
      </c>
      <c r="N62" s="101" t="str">
        <f t="shared" si="11"/>
        <v>-3A5</v>
      </c>
      <c r="O62" s="99">
        <v>12</v>
      </c>
      <c r="P62" s="102" t="str">
        <f t="shared" si="10"/>
        <v>I19.3</v>
      </c>
      <c r="Q62" s="101" t="str">
        <f t="shared" si="9"/>
        <v>2102_11_LL¶Low Level¶</v>
      </c>
    </row>
    <row r="63" spans="2:17" ht="14.25">
      <c r="B63" s="70">
        <v>61</v>
      </c>
      <c r="C63" s="70" t="s">
        <v>589</v>
      </c>
      <c r="D63" s="70"/>
      <c r="E63" s="67" t="s">
        <v>590</v>
      </c>
      <c r="F63" s="67" t="s">
        <v>591</v>
      </c>
      <c r="G63" s="67"/>
      <c r="H63" s="67" t="s">
        <v>545</v>
      </c>
      <c r="I63" s="67"/>
      <c r="J63" s="70" t="s">
        <v>445</v>
      </c>
      <c r="K63" s="101" t="s">
        <v>32</v>
      </c>
      <c r="L63" s="101" t="s">
        <v>33</v>
      </c>
      <c r="M63" s="101" t="s">
        <v>555</v>
      </c>
      <c r="N63" s="101" t="str">
        <f t="shared" si="11"/>
        <v>-3A5</v>
      </c>
      <c r="O63" s="99">
        <v>13</v>
      </c>
      <c r="P63" s="102" t="str">
        <f t="shared" si="10"/>
        <v>I19.4</v>
      </c>
      <c r="Q63" s="101" t="str">
        <f t="shared" si="9"/>
        <v>2102_12_LL¶Low Level¶</v>
      </c>
    </row>
    <row r="64" spans="2:17" ht="14.25">
      <c r="B64" s="70">
        <v>62</v>
      </c>
      <c r="C64" s="70" t="s">
        <v>592</v>
      </c>
      <c r="D64" s="70"/>
      <c r="E64" s="67" t="s">
        <v>593</v>
      </c>
      <c r="F64" s="67" t="s">
        <v>594</v>
      </c>
      <c r="G64" s="67"/>
      <c r="H64" s="67" t="s">
        <v>545</v>
      </c>
      <c r="I64" s="67"/>
      <c r="J64" s="70" t="s">
        <v>445</v>
      </c>
      <c r="K64" s="101" t="s">
        <v>32</v>
      </c>
      <c r="L64" s="101" t="s">
        <v>33</v>
      </c>
      <c r="M64" s="101" t="s">
        <v>555</v>
      </c>
      <c r="N64" s="101" t="str">
        <f t="shared" si="11"/>
        <v>-3A5</v>
      </c>
      <c r="O64" s="99">
        <v>14</v>
      </c>
      <c r="P64" s="102" t="str">
        <f t="shared" si="10"/>
        <v>I19.5</v>
      </c>
      <c r="Q64" s="101" t="str">
        <f t="shared" si="9"/>
        <v>2102_13_LL¶Low Level¶</v>
      </c>
    </row>
    <row r="65" spans="2:17" ht="14.25">
      <c r="B65" s="70">
        <v>63</v>
      </c>
      <c r="C65" s="70" t="s">
        <v>595</v>
      </c>
      <c r="D65" s="70"/>
      <c r="E65" s="67" t="s">
        <v>596</v>
      </c>
      <c r="F65" s="67" t="s">
        <v>597</v>
      </c>
      <c r="G65" s="67"/>
      <c r="H65" s="67" t="s">
        <v>545</v>
      </c>
      <c r="I65" s="67"/>
      <c r="J65" s="70" t="s">
        <v>445</v>
      </c>
      <c r="K65" s="101" t="s">
        <v>32</v>
      </c>
      <c r="L65" s="101" t="s">
        <v>33</v>
      </c>
      <c r="M65" s="101" t="s">
        <v>555</v>
      </c>
      <c r="N65" s="101" t="str">
        <f t="shared" si="11"/>
        <v>-3A5</v>
      </c>
      <c r="O65" s="99">
        <v>15</v>
      </c>
      <c r="P65" s="102" t="str">
        <f t="shared" si="10"/>
        <v>I19.6</v>
      </c>
      <c r="Q65" s="101" t="str">
        <f t="shared" si="9"/>
        <v>2102_14_LL¶Low Level¶</v>
      </c>
    </row>
    <row r="66" spans="2:17" ht="14.25">
      <c r="B66" s="70">
        <v>64</v>
      </c>
      <c r="C66" s="70" t="s">
        <v>598</v>
      </c>
      <c r="D66" s="70"/>
      <c r="E66" s="67" t="s">
        <v>599</v>
      </c>
      <c r="F66" s="67" t="s">
        <v>600</v>
      </c>
      <c r="G66" s="67"/>
      <c r="H66" s="67" t="s">
        <v>545</v>
      </c>
      <c r="I66" s="67"/>
      <c r="J66" s="70" t="s">
        <v>445</v>
      </c>
      <c r="K66" s="101" t="s">
        <v>32</v>
      </c>
      <c r="L66" s="101" t="s">
        <v>33</v>
      </c>
      <c r="M66" s="101" t="s">
        <v>555</v>
      </c>
      <c r="N66" s="101" t="str">
        <f t="shared" si="11"/>
        <v>-3A5</v>
      </c>
      <c r="O66" s="99">
        <v>16</v>
      </c>
      <c r="P66" s="102" t="str">
        <f t="shared" si="10"/>
        <v>I19.7</v>
      </c>
      <c r="Q66" s="101" t="str">
        <f t="shared" ref="Q66:Q96" si="12">E66&amp;K66&amp;H66&amp;K66&amp;I66</f>
        <v>2102_15_LL¶Low Level¶</v>
      </c>
    </row>
    <row r="67" spans="2:17" ht="14.25">
      <c r="B67" s="70">
        <v>65</v>
      </c>
      <c r="C67" s="70" t="s">
        <v>601</v>
      </c>
      <c r="D67" s="70"/>
      <c r="E67" s="67" t="s">
        <v>602</v>
      </c>
      <c r="F67" s="67" t="s">
        <v>603</v>
      </c>
      <c r="G67" s="67"/>
      <c r="H67" s="67" t="s">
        <v>545</v>
      </c>
      <c r="I67" s="67"/>
      <c r="J67" s="70" t="s">
        <v>445</v>
      </c>
      <c r="K67" s="101" t="s">
        <v>32</v>
      </c>
      <c r="L67" s="101" t="s">
        <v>33</v>
      </c>
      <c r="M67" s="101" t="s">
        <v>604</v>
      </c>
      <c r="N67" s="101" t="str">
        <f t="shared" si="11"/>
        <v>-3A6</v>
      </c>
      <c r="O67" s="99">
        <v>1</v>
      </c>
      <c r="P67" s="102" t="str">
        <f t="shared" ref="P67" si="13">C67</f>
        <v>I20.0</v>
      </c>
      <c r="Q67" s="101" t="str">
        <f t="shared" si="12"/>
        <v>2102_16_LL¶Low Level¶</v>
      </c>
    </row>
    <row r="68" spans="2:17" ht="14.25">
      <c r="B68" s="70">
        <v>66</v>
      </c>
      <c r="C68" s="70" t="s">
        <v>605</v>
      </c>
      <c r="D68" s="70"/>
      <c r="E68" s="67" t="s">
        <v>606</v>
      </c>
      <c r="F68" s="67" t="s">
        <v>607</v>
      </c>
      <c r="G68" s="67"/>
      <c r="H68" s="67" t="s">
        <v>545</v>
      </c>
      <c r="I68" s="67"/>
      <c r="J68" s="70" t="s">
        <v>445</v>
      </c>
      <c r="K68" s="101" t="s">
        <v>32</v>
      </c>
      <c r="L68" s="101" t="s">
        <v>33</v>
      </c>
      <c r="M68" s="101" t="s">
        <v>604</v>
      </c>
      <c r="N68" s="101" t="str">
        <f t="shared" ref="N68" si="14">L68&amp;M68</f>
        <v>-3A6</v>
      </c>
      <c r="O68" s="99">
        <v>2</v>
      </c>
      <c r="P68" s="102" t="str">
        <f t="shared" ref="P68:P114" si="15">C68</f>
        <v>I20.1</v>
      </c>
      <c r="Q68" s="101" t="str">
        <f t="shared" si="12"/>
        <v>2102_17_LL¶Low Level¶</v>
      </c>
    </row>
    <row r="69" spans="2:17" ht="14.25">
      <c r="B69" s="70">
        <v>67</v>
      </c>
      <c r="C69" s="70" t="s">
        <v>608</v>
      </c>
      <c r="D69" s="70"/>
      <c r="E69" s="67" t="s">
        <v>609</v>
      </c>
      <c r="F69" s="67" t="s">
        <v>610</v>
      </c>
      <c r="G69" s="67"/>
      <c r="H69" s="67" t="s">
        <v>545</v>
      </c>
      <c r="I69" s="67"/>
      <c r="J69" s="70" t="s">
        <v>445</v>
      </c>
      <c r="K69" s="101" t="s">
        <v>32</v>
      </c>
      <c r="L69" s="101" t="s">
        <v>33</v>
      </c>
      <c r="M69" s="101" t="s">
        <v>604</v>
      </c>
      <c r="N69" s="101" t="str">
        <f t="shared" ref="N69:N114" si="16">L69&amp;M69</f>
        <v>-3A6</v>
      </c>
      <c r="O69" s="99">
        <v>3</v>
      </c>
      <c r="P69" s="102" t="str">
        <f t="shared" si="15"/>
        <v>I20.2</v>
      </c>
      <c r="Q69" s="101" t="str">
        <f t="shared" si="12"/>
        <v>2102_18_LL¶Low Level¶</v>
      </c>
    </row>
    <row r="70" spans="2:17" ht="14.25">
      <c r="B70" s="70">
        <v>68</v>
      </c>
      <c r="C70" s="70" t="s">
        <v>611</v>
      </c>
      <c r="D70" s="70"/>
      <c r="E70" s="67" t="s">
        <v>612</v>
      </c>
      <c r="F70" s="67" t="s">
        <v>613</v>
      </c>
      <c r="G70" s="67"/>
      <c r="H70" s="67" t="s">
        <v>545</v>
      </c>
      <c r="I70" s="67"/>
      <c r="J70" s="70" t="s">
        <v>445</v>
      </c>
      <c r="K70" s="101" t="s">
        <v>32</v>
      </c>
      <c r="L70" s="101" t="s">
        <v>33</v>
      </c>
      <c r="M70" s="101" t="s">
        <v>604</v>
      </c>
      <c r="N70" s="101" t="str">
        <f t="shared" si="16"/>
        <v>-3A6</v>
      </c>
      <c r="O70" s="99">
        <v>4</v>
      </c>
      <c r="P70" s="102" t="str">
        <f t="shared" si="15"/>
        <v>I20.3</v>
      </c>
      <c r="Q70" s="101" t="str">
        <f t="shared" si="12"/>
        <v>2102_19_LL¶Low Level¶</v>
      </c>
    </row>
    <row r="71" spans="2:17" ht="14.25">
      <c r="B71" s="70">
        <v>69</v>
      </c>
      <c r="C71" s="70" t="s">
        <v>614</v>
      </c>
      <c r="D71" s="70"/>
      <c r="E71" s="67" t="s">
        <v>615</v>
      </c>
      <c r="F71" s="67" t="s">
        <v>616</v>
      </c>
      <c r="G71" s="67"/>
      <c r="H71" s="67" t="s">
        <v>545</v>
      </c>
      <c r="I71" s="67"/>
      <c r="J71" s="70" t="s">
        <v>445</v>
      </c>
      <c r="K71" s="101" t="s">
        <v>32</v>
      </c>
      <c r="L71" s="101" t="s">
        <v>33</v>
      </c>
      <c r="M71" s="101" t="s">
        <v>604</v>
      </c>
      <c r="N71" s="101" t="str">
        <f t="shared" si="16"/>
        <v>-3A6</v>
      </c>
      <c r="O71" s="99">
        <v>5</v>
      </c>
      <c r="P71" s="102" t="str">
        <f t="shared" si="15"/>
        <v>I20.4</v>
      </c>
      <c r="Q71" s="101" t="str">
        <f t="shared" si="12"/>
        <v>2102_20_LL¶Low Level¶</v>
      </c>
    </row>
    <row r="72" spans="2:17" ht="14.25">
      <c r="B72" s="70">
        <v>70</v>
      </c>
      <c r="C72" s="70" t="s">
        <v>617</v>
      </c>
      <c r="D72" s="70"/>
      <c r="E72" s="67" t="s">
        <v>618</v>
      </c>
      <c r="F72" s="67" t="s">
        <v>619</v>
      </c>
      <c r="G72" s="67"/>
      <c r="H72" s="67" t="s">
        <v>545</v>
      </c>
      <c r="I72" s="67"/>
      <c r="J72" s="70" t="s">
        <v>445</v>
      </c>
      <c r="K72" s="101" t="s">
        <v>32</v>
      </c>
      <c r="L72" s="101" t="s">
        <v>33</v>
      </c>
      <c r="M72" s="101" t="s">
        <v>604</v>
      </c>
      <c r="N72" s="101" t="str">
        <f t="shared" si="16"/>
        <v>-3A6</v>
      </c>
      <c r="O72" s="99">
        <v>6</v>
      </c>
      <c r="P72" s="102" t="str">
        <f t="shared" si="15"/>
        <v>I20.5</v>
      </c>
      <c r="Q72" s="101" t="str">
        <f t="shared" si="12"/>
        <v>2102_21_LL¶Low Level¶</v>
      </c>
    </row>
    <row r="73" spans="2:17" ht="14.25">
      <c r="B73" s="70">
        <v>71</v>
      </c>
      <c r="C73" s="70" t="s">
        <v>620</v>
      </c>
      <c r="D73" s="70"/>
      <c r="E73" s="67" t="s">
        <v>621</v>
      </c>
      <c r="F73" s="67" t="s">
        <v>622</v>
      </c>
      <c r="G73" s="67"/>
      <c r="H73" s="67" t="s">
        <v>545</v>
      </c>
      <c r="I73" s="67"/>
      <c r="J73" s="70" t="s">
        <v>445</v>
      </c>
      <c r="K73" s="101" t="s">
        <v>32</v>
      </c>
      <c r="L73" s="101" t="s">
        <v>33</v>
      </c>
      <c r="M73" s="101" t="s">
        <v>604</v>
      </c>
      <c r="N73" s="101" t="str">
        <f t="shared" si="16"/>
        <v>-3A6</v>
      </c>
      <c r="O73" s="99">
        <v>7</v>
      </c>
      <c r="P73" s="102" t="str">
        <f t="shared" si="15"/>
        <v>I20.6</v>
      </c>
      <c r="Q73" s="101" t="str">
        <f t="shared" si="12"/>
        <v>2102_22_LL¶Low Level¶</v>
      </c>
    </row>
    <row r="74" spans="2:17" ht="14.25">
      <c r="B74" s="70">
        <v>72</v>
      </c>
      <c r="C74" s="70" t="s">
        <v>623</v>
      </c>
      <c r="D74" s="70"/>
      <c r="E74" s="67" t="s">
        <v>624</v>
      </c>
      <c r="F74" s="67" t="s">
        <v>625</v>
      </c>
      <c r="G74" s="67"/>
      <c r="H74" s="67" t="s">
        <v>545</v>
      </c>
      <c r="I74" s="67"/>
      <c r="J74" s="70" t="s">
        <v>445</v>
      </c>
      <c r="K74" s="101" t="s">
        <v>32</v>
      </c>
      <c r="L74" s="101" t="s">
        <v>33</v>
      </c>
      <c r="M74" s="101" t="s">
        <v>604</v>
      </c>
      <c r="N74" s="101" t="str">
        <f t="shared" si="16"/>
        <v>-3A6</v>
      </c>
      <c r="O74" s="99">
        <v>8</v>
      </c>
      <c r="P74" s="102" t="str">
        <f t="shared" si="15"/>
        <v>I20.7</v>
      </c>
      <c r="Q74" s="101" t="str">
        <f t="shared" si="12"/>
        <v>2102_23_LL¶Low Level¶</v>
      </c>
    </row>
    <row r="75" spans="2:17" ht="14.25">
      <c r="B75" s="70">
        <v>73</v>
      </c>
      <c r="C75" s="70" t="s">
        <v>626</v>
      </c>
      <c r="D75" s="70"/>
      <c r="E75" s="67" t="s">
        <v>627</v>
      </c>
      <c r="F75" s="67" t="s">
        <v>628</v>
      </c>
      <c r="G75" s="67"/>
      <c r="H75" s="67" t="s">
        <v>545</v>
      </c>
      <c r="I75" s="67"/>
      <c r="J75" s="70" t="s">
        <v>445</v>
      </c>
      <c r="K75" s="101" t="s">
        <v>32</v>
      </c>
      <c r="L75" s="101" t="s">
        <v>33</v>
      </c>
      <c r="M75" s="101" t="s">
        <v>604</v>
      </c>
      <c r="N75" s="101" t="str">
        <f t="shared" si="16"/>
        <v>-3A6</v>
      </c>
      <c r="O75" s="99">
        <v>9</v>
      </c>
      <c r="P75" s="102" t="str">
        <f t="shared" si="15"/>
        <v>I21.0</v>
      </c>
      <c r="Q75" s="101" t="str">
        <f t="shared" si="12"/>
        <v>2102_24_LL¶Low Level¶</v>
      </c>
    </row>
    <row r="76" spans="2:17" ht="14.25">
      <c r="B76" s="70">
        <v>74</v>
      </c>
      <c r="C76" s="70" t="s">
        <v>629</v>
      </c>
      <c r="D76" s="70"/>
      <c r="E76" s="67" t="s">
        <v>630</v>
      </c>
      <c r="F76" s="67" t="s">
        <v>631</v>
      </c>
      <c r="G76" s="67"/>
      <c r="H76" s="67" t="s">
        <v>545</v>
      </c>
      <c r="I76" s="67"/>
      <c r="J76" s="70" t="s">
        <v>445</v>
      </c>
      <c r="K76" s="101" t="s">
        <v>32</v>
      </c>
      <c r="L76" s="101" t="s">
        <v>33</v>
      </c>
      <c r="M76" s="101" t="s">
        <v>604</v>
      </c>
      <c r="N76" s="101" t="str">
        <f t="shared" si="16"/>
        <v>-3A6</v>
      </c>
      <c r="O76" s="99">
        <v>10</v>
      </c>
      <c r="P76" s="102" t="str">
        <f t="shared" si="15"/>
        <v>I21.1</v>
      </c>
      <c r="Q76" s="101" t="str">
        <f t="shared" si="12"/>
        <v>2102_25_LL¶Low Level¶</v>
      </c>
    </row>
    <row r="77" spans="2:17" ht="14.25">
      <c r="B77" s="70">
        <v>75</v>
      </c>
      <c r="C77" s="70" t="s">
        <v>632</v>
      </c>
      <c r="D77" s="70"/>
      <c r="E77" s="67" t="s">
        <v>633</v>
      </c>
      <c r="F77" s="67" t="s">
        <v>634</v>
      </c>
      <c r="G77" s="67"/>
      <c r="H77" s="67" t="s">
        <v>545</v>
      </c>
      <c r="I77" s="67"/>
      <c r="J77" s="70" t="s">
        <v>445</v>
      </c>
      <c r="K77" s="101" t="s">
        <v>32</v>
      </c>
      <c r="L77" s="101" t="s">
        <v>33</v>
      </c>
      <c r="M77" s="101" t="s">
        <v>604</v>
      </c>
      <c r="N77" s="101" t="str">
        <f t="shared" si="16"/>
        <v>-3A6</v>
      </c>
      <c r="O77" s="99">
        <v>11</v>
      </c>
      <c r="P77" s="102" t="str">
        <f t="shared" si="15"/>
        <v>I21.2</v>
      </c>
      <c r="Q77" s="101" t="str">
        <f t="shared" si="12"/>
        <v>2102_26_LL¶Low Level¶</v>
      </c>
    </row>
    <row r="78" spans="2:17" ht="14.25">
      <c r="B78" s="70">
        <v>76</v>
      </c>
      <c r="C78" s="70" t="s">
        <v>635</v>
      </c>
      <c r="D78" s="70"/>
      <c r="E78" s="67" t="s">
        <v>636</v>
      </c>
      <c r="F78" s="67" t="s">
        <v>637</v>
      </c>
      <c r="G78" s="67"/>
      <c r="H78" s="67" t="s">
        <v>545</v>
      </c>
      <c r="I78" s="67"/>
      <c r="J78" s="70" t="s">
        <v>445</v>
      </c>
      <c r="K78" s="101" t="s">
        <v>32</v>
      </c>
      <c r="L78" s="101" t="s">
        <v>33</v>
      </c>
      <c r="M78" s="101" t="s">
        <v>604</v>
      </c>
      <c r="N78" s="101" t="str">
        <f t="shared" si="16"/>
        <v>-3A6</v>
      </c>
      <c r="O78" s="99">
        <v>12</v>
      </c>
      <c r="P78" s="102" t="str">
        <f t="shared" si="15"/>
        <v>I21.3</v>
      </c>
      <c r="Q78" s="101" t="str">
        <f t="shared" si="12"/>
        <v>2102_27_LL¶Low Level¶</v>
      </c>
    </row>
    <row r="79" spans="2:17" ht="14.25">
      <c r="B79" s="70">
        <v>77</v>
      </c>
      <c r="C79" s="70" t="s">
        <v>638</v>
      </c>
      <c r="D79" s="70"/>
      <c r="E79" s="67" t="s">
        <v>639</v>
      </c>
      <c r="F79" s="67" t="s">
        <v>640</v>
      </c>
      <c r="G79" s="67"/>
      <c r="H79" s="67" t="s">
        <v>545</v>
      </c>
      <c r="I79" s="67"/>
      <c r="J79" s="70" t="s">
        <v>445</v>
      </c>
      <c r="K79" s="101" t="s">
        <v>32</v>
      </c>
      <c r="L79" s="101" t="s">
        <v>33</v>
      </c>
      <c r="M79" s="101" t="s">
        <v>604</v>
      </c>
      <c r="N79" s="101" t="str">
        <f t="shared" si="16"/>
        <v>-3A6</v>
      </c>
      <c r="O79" s="99">
        <v>13</v>
      </c>
      <c r="P79" s="102" t="str">
        <f t="shared" si="15"/>
        <v>I21.4</v>
      </c>
      <c r="Q79" s="101" t="str">
        <f t="shared" si="12"/>
        <v>2102_28_LL¶Low Level¶</v>
      </c>
    </row>
    <row r="80" spans="2:17" ht="14.25">
      <c r="B80" s="70">
        <v>78</v>
      </c>
      <c r="C80" s="70" t="s">
        <v>641</v>
      </c>
      <c r="D80" s="70"/>
      <c r="E80" s="67" t="s">
        <v>642</v>
      </c>
      <c r="F80" s="67" t="s">
        <v>643</v>
      </c>
      <c r="G80" s="67"/>
      <c r="H80" s="67" t="s">
        <v>545</v>
      </c>
      <c r="I80" s="67"/>
      <c r="J80" s="70" t="s">
        <v>445</v>
      </c>
      <c r="K80" s="101" t="s">
        <v>32</v>
      </c>
      <c r="L80" s="101" t="s">
        <v>33</v>
      </c>
      <c r="M80" s="101" t="s">
        <v>604</v>
      </c>
      <c r="N80" s="101" t="str">
        <f t="shared" si="16"/>
        <v>-3A6</v>
      </c>
      <c r="O80" s="99">
        <v>14</v>
      </c>
      <c r="P80" s="102" t="str">
        <f t="shared" si="15"/>
        <v>I21.5</v>
      </c>
      <c r="Q80" s="101" t="str">
        <f t="shared" si="12"/>
        <v>2102_29_LL¶Low Level¶</v>
      </c>
    </row>
    <row r="81" spans="2:17" ht="14.25">
      <c r="B81" s="70">
        <v>79</v>
      </c>
      <c r="C81" s="70" t="s">
        <v>644</v>
      </c>
      <c r="D81" s="70"/>
      <c r="E81" s="67" t="s">
        <v>645</v>
      </c>
      <c r="F81" s="67" t="s">
        <v>646</v>
      </c>
      <c r="G81" s="67"/>
      <c r="H81" s="67" t="s">
        <v>545</v>
      </c>
      <c r="I81" s="67"/>
      <c r="J81" s="70" t="s">
        <v>445</v>
      </c>
      <c r="K81" s="101" t="s">
        <v>32</v>
      </c>
      <c r="L81" s="101" t="s">
        <v>33</v>
      </c>
      <c r="M81" s="101" t="s">
        <v>604</v>
      </c>
      <c r="N81" s="101" t="str">
        <f t="shared" si="16"/>
        <v>-3A6</v>
      </c>
      <c r="O81" s="99">
        <v>15</v>
      </c>
      <c r="P81" s="102" t="str">
        <f t="shared" si="15"/>
        <v>I21.6</v>
      </c>
      <c r="Q81" s="101" t="str">
        <f t="shared" si="12"/>
        <v>2102_30_LL¶Low Level¶</v>
      </c>
    </row>
    <row r="82" spans="2:17" ht="14.25">
      <c r="B82" s="70">
        <v>80</v>
      </c>
      <c r="C82" s="70" t="s">
        <v>647</v>
      </c>
      <c r="D82" s="70"/>
      <c r="E82" s="67" t="s">
        <v>648</v>
      </c>
      <c r="F82" s="67" t="s">
        <v>649</v>
      </c>
      <c r="G82" s="67"/>
      <c r="H82" s="67" t="s">
        <v>545</v>
      </c>
      <c r="I82" s="67"/>
      <c r="J82" s="70" t="s">
        <v>445</v>
      </c>
      <c r="K82" s="101" t="s">
        <v>32</v>
      </c>
      <c r="L82" s="101" t="s">
        <v>33</v>
      </c>
      <c r="M82" s="101" t="s">
        <v>604</v>
      </c>
      <c r="N82" s="101" t="str">
        <f t="shared" si="16"/>
        <v>-3A6</v>
      </c>
      <c r="O82" s="99">
        <v>16</v>
      </c>
      <c r="P82" s="102" t="str">
        <f t="shared" si="15"/>
        <v>I21.7</v>
      </c>
      <c r="Q82" s="101" t="str">
        <f t="shared" si="12"/>
        <v>2102_31_LL¶Low Level¶</v>
      </c>
    </row>
    <row r="83" spans="2:17" ht="14.25">
      <c r="B83" s="70">
        <v>81</v>
      </c>
      <c r="C83" s="70" t="s">
        <v>650</v>
      </c>
      <c r="D83" s="70"/>
      <c r="E83" s="67" t="s">
        <v>651</v>
      </c>
      <c r="F83" s="67" t="s">
        <v>652</v>
      </c>
      <c r="G83" s="67"/>
      <c r="H83" s="67" t="s">
        <v>545</v>
      </c>
      <c r="I83" s="67"/>
      <c r="J83" s="70" t="s">
        <v>445</v>
      </c>
      <c r="K83" s="101" t="s">
        <v>32</v>
      </c>
      <c r="L83" s="101" t="s">
        <v>33</v>
      </c>
      <c r="M83" s="101" t="s">
        <v>653</v>
      </c>
      <c r="N83" s="101" t="str">
        <f t="shared" si="16"/>
        <v>-3A7</v>
      </c>
      <c r="O83" s="99">
        <v>1</v>
      </c>
      <c r="P83" s="102" t="str">
        <f t="shared" si="15"/>
        <v>I22.0</v>
      </c>
      <c r="Q83" s="101" t="str">
        <f t="shared" si="12"/>
        <v>2102_32_LL¶Low Level¶</v>
      </c>
    </row>
    <row r="84" spans="2:17" ht="14.25">
      <c r="B84" s="70">
        <v>82</v>
      </c>
      <c r="C84" s="70" t="s">
        <v>654</v>
      </c>
      <c r="D84" s="70"/>
      <c r="E84" s="67" t="s">
        <v>655</v>
      </c>
      <c r="F84" s="67" t="s">
        <v>656</v>
      </c>
      <c r="G84" s="67"/>
      <c r="H84" s="67" t="s">
        <v>545</v>
      </c>
      <c r="I84" s="67"/>
      <c r="J84" s="70" t="s">
        <v>445</v>
      </c>
      <c r="K84" s="101" t="s">
        <v>32</v>
      </c>
      <c r="L84" s="101" t="s">
        <v>33</v>
      </c>
      <c r="M84" s="101" t="s">
        <v>653</v>
      </c>
      <c r="N84" s="101" t="str">
        <f t="shared" si="16"/>
        <v>-3A7</v>
      </c>
      <c r="O84" s="99">
        <v>2</v>
      </c>
      <c r="P84" s="102" t="str">
        <f t="shared" si="15"/>
        <v>I22.1</v>
      </c>
      <c r="Q84" s="101" t="str">
        <f t="shared" si="12"/>
        <v>2102_33_LL¶Low Level¶</v>
      </c>
    </row>
    <row r="85" spans="2:17" ht="14.25">
      <c r="B85" s="70">
        <v>83</v>
      </c>
      <c r="C85" s="70" t="s">
        <v>657</v>
      </c>
      <c r="D85" s="70"/>
      <c r="E85" s="67" t="s">
        <v>658</v>
      </c>
      <c r="F85" s="67" t="s">
        <v>659</v>
      </c>
      <c r="G85" s="67"/>
      <c r="H85" s="67" t="s">
        <v>545</v>
      </c>
      <c r="I85" s="67"/>
      <c r="J85" s="70" t="s">
        <v>445</v>
      </c>
      <c r="K85" s="101" t="s">
        <v>32</v>
      </c>
      <c r="L85" s="101" t="s">
        <v>33</v>
      </c>
      <c r="M85" s="101" t="s">
        <v>653</v>
      </c>
      <c r="N85" s="101" t="str">
        <f t="shared" si="16"/>
        <v>-3A7</v>
      </c>
      <c r="O85" s="99">
        <v>3</v>
      </c>
      <c r="P85" s="102" t="str">
        <f t="shared" si="15"/>
        <v>I22.2</v>
      </c>
      <c r="Q85" s="101" t="str">
        <f t="shared" si="12"/>
        <v>2102_34_LL¶Low Level¶</v>
      </c>
    </row>
    <row r="86" spans="2:17" ht="14.25">
      <c r="B86" s="70">
        <v>84</v>
      </c>
      <c r="C86" s="70" t="s">
        <v>660</v>
      </c>
      <c r="D86" s="70"/>
      <c r="E86" s="67" t="s">
        <v>661</v>
      </c>
      <c r="F86" s="67" t="s">
        <v>662</v>
      </c>
      <c r="G86" s="67"/>
      <c r="H86" s="67" t="s">
        <v>545</v>
      </c>
      <c r="I86" s="67"/>
      <c r="J86" s="70" t="s">
        <v>445</v>
      </c>
      <c r="K86" s="101" t="s">
        <v>32</v>
      </c>
      <c r="L86" s="101" t="s">
        <v>33</v>
      </c>
      <c r="M86" s="101" t="s">
        <v>653</v>
      </c>
      <c r="N86" s="101" t="str">
        <f t="shared" si="16"/>
        <v>-3A7</v>
      </c>
      <c r="O86" s="99">
        <v>4</v>
      </c>
      <c r="P86" s="102" t="str">
        <f t="shared" si="15"/>
        <v>I22.3</v>
      </c>
      <c r="Q86" s="101" t="str">
        <f t="shared" si="12"/>
        <v>2102_35_LL¶Low Level¶</v>
      </c>
    </row>
    <row r="87" spans="2:17" ht="14.25">
      <c r="B87" s="70">
        <v>85</v>
      </c>
      <c r="C87" s="70" t="s">
        <v>663</v>
      </c>
      <c r="D87" s="70"/>
      <c r="E87" s="67" t="s">
        <v>664</v>
      </c>
      <c r="F87" s="67" t="s">
        <v>665</v>
      </c>
      <c r="G87" s="67"/>
      <c r="H87" s="67" t="s">
        <v>545</v>
      </c>
      <c r="I87" s="67"/>
      <c r="J87" s="70" t="s">
        <v>445</v>
      </c>
      <c r="K87" s="101" t="s">
        <v>32</v>
      </c>
      <c r="L87" s="101" t="s">
        <v>33</v>
      </c>
      <c r="M87" s="101" t="s">
        <v>653</v>
      </c>
      <c r="N87" s="101" t="str">
        <f t="shared" si="16"/>
        <v>-3A7</v>
      </c>
      <c r="O87" s="99">
        <v>5</v>
      </c>
      <c r="P87" s="102" t="str">
        <f t="shared" si="15"/>
        <v>I22.4</v>
      </c>
      <c r="Q87" s="101" t="str">
        <f t="shared" si="12"/>
        <v>2102_36_LL¶Low Level¶</v>
      </c>
    </row>
    <row r="88" spans="2:17" ht="14.25">
      <c r="B88" s="70">
        <v>86</v>
      </c>
      <c r="C88" s="70" t="s">
        <v>666</v>
      </c>
      <c r="D88" s="70"/>
      <c r="E88" s="67" t="s">
        <v>667</v>
      </c>
      <c r="F88" s="67" t="s">
        <v>668</v>
      </c>
      <c r="G88" s="67"/>
      <c r="H88" s="67" t="s">
        <v>545</v>
      </c>
      <c r="I88" s="67"/>
      <c r="J88" s="70" t="s">
        <v>445</v>
      </c>
      <c r="K88" s="101" t="s">
        <v>32</v>
      </c>
      <c r="L88" s="101" t="s">
        <v>33</v>
      </c>
      <c r="M88" s="101" t="s">
        <v>653</v>
      </c>
      <c r="N88" s="101" t="str">
        <f t="shared" si="16"/>
        <v>-3A7</v>
      </c>
      <c r="O88" s="99">
        <v>6</v>
      </c>
      <c r="P88" s="102" t="str">
        <f t="shared" si="15"/>
        <v>I22.5</v>
      </c>
      <c r="Q88" s="101" t="str">
        <f t="shared" si="12"/>
        <v>2025_LL¶Low Level¶</v>
      </c>
    </row>
    <row r="89" spans="2:17" ht="14.25">
      <c r="B89" s="70">
        <v>87</v>
      </c>
      <c r="C89" s="70" t="s">
        <v>669</v>
      </c>
      <c r="D89" s="70"/>
      <c r="E89" s="67" t="s">
        <v>670</v>
      </c>
      <c r="F89" s="67" t="s">
        <v>668</v>
      </c>
      <c r="G89" s="67"/>
      <c r="H89" s="67" t="s">
        <v>545</v>
      </c>
      <c r="I89" s="67"/>
      <c r="J89" s="70" t="s">
        <v>445</v>
      </c>
      <c r="K89" s="101" t="s">
        <v>32</v>
      </c>
      <c r="L89" s="101" t="s">
        <v>33</v>
      </c>
      <c r="M89" s="101" t="s">
        <v>653</v>
      </c>
      <c r="N89" s="101" t="str">
        <f t="shared" si="16"/>
        <v>-3A7</v>
      </c>
      <c r="O89" s="99">
        <v>7</v>
      </c>
      <c r="P89" s="102" t="str">
        <f t="shared" si="15"/>
        <v>I22.6</v>
      </c>
      <c r="Q89" s="101" t="str">
        <f t="shared" si="12"/>
        <v>2031_LL¶Low Level¶</v>
      </c>
    </row>
    <row r="90" spans="2:17" ht="14.25">
      <c r="B90" s="70">
        <v>88</v>
      </c>
      <c r="C90" s="70" t="s">
        <v>671</v>
      </c>
      <c r="D90" s="70"/>
      <c r="E90" s="67" t="s">
        <v>672</v>
      </c>
      <c r="F90" s="67" t="s">
        <v>668</v>
      </c>
      <c r="G90" s="67"/>
      <c r="H90" s="67" t="s">
        <v>545</v>
      </c>
      <c r="I90" s="67"/>
      <c r="J90" s="70" t="s">
        <v>445</v>
      </c>
      <c r="K90" s="101" t="s">
        <v>32</v>
      </c>
      <c r="L90" s="101" t="s">
        <v>33</v>
      </c>
      <c r="M90" s="101" t="s">
        <v>653</v>
      </c>
      <c r="N90" s="101" t="str">
        <f t="shared" si="16"/>
        <v>-3A7</v>
      </c>
      <c r="O90" s="99">
        <v>8</v>
      </c>
      <c r="P90" s="102" t="str">
        <f t="shared" si="15"/>
        <v>I22.7</v>
      </c>
      <c r="Q90" s="101" t="str">
        <f t="shared" si="12"/>
        <v>3011_LL¶Low Level¶</v>
      </c>
    </row>
    <row r="91" spans="2:17" ht="14.25">
      <c r="B91" s="70">
        <v>89</v>
      </c>
      <c r="C91" s="70" t="s">
        <v>673</v>
      </c>
      <c r="D91" s="70"/>
      <c r="E91" s="67" t="s">
        <v>674</v>
      </c>
      <c r="F91" s="67" t="s">
        <v>668</v>
      </c>
      <c r="G91" s="67"/>
      <c r="H91" s="67" t="s">
        <v>545</v>
      </c>
      <c r="I91" s="67"/>
      <c r="J91" s="70" t="s">
        <v>445</v>
      </c>
      <c r="K91" s="101" t="s">
        <v>32</v>
      </c>
      <c r="L91" s="101" t="s">
        <v>33</v>
      </c>
      <c r="M91" s="101" t="s">
        <v>653</v>
      </c>
      <c r="N91" s="101" t="str">
        <f t="shared" si="16"/>
        <v>-3A7</v>
      </c>
      <c r="O91" s="99">
        <v>9</v>
      </c>
      <c r="P91" s="102" t="str">
        <f t="shared" si="15"/>
        <v>I23.0</v>
      </c>
      <c r="Q91" s="101" t="str">
        <f t="shared" si="12"/>
        <v>4003_1_LL¶Low Level¶</v>
      </c>
    </row>
    <row r="92" spans="2:17" ht="14.25">
      <c r="B92" s="70">
        <v>90</v>
      </c>
      <c r="C92" s="70" t="s">
        <v>675</v>
      </c>
      <c r="D92" s="70"/>
      <c r="E92" s="67" t="s">
        <v>676</v>
      </c>
      <c r="F92" s="67" t="s">
        <v>668</v>
      </c>
      <c r="G92" s="67"/>
      <c r="H92" s="67" t="s">
        <v>545</v>
      </c>
      <c r="I92" s="67"/>
      <c r="J92" s="70" t="s">
        <v>445</v>
      </c>
      <c r="K92" s="101" t="s">
        <v>32</v>
      </c>
      <c r="L92" s="101" t="s">
        <v>33</v>
      </c>
      <c r="M92" s="101" t="s">
        <v>653</v>
      </c>
      <c r="N92" s="101" t="str">
        <f t="shared" si="16"/>
        <v>-3A7</v>
      </c>
      <c r="O92" s="99">
        <v>10</v>
      </c>
      <c r="P92" s="102" t="str">
        <f t="shared" si="15"/>
        <v>I23.1</v>
      </c>
      <c r="Q92" s="101" t="str">
        <f t="shared" si="12"/>
        <v>4003_2_LL¶Low Level¶</v>
      </c>
    </row>
    <row r="93" spans="2:17" ht="14.25">
      <c r="B93" s="70">
        <v>91</v>
      </c>
      <c r="C93" s="70" t="s">
        <v>677</v>
      </c>
      <c r="D93" s="70"/>
      <c r="E93" s="67" t="s">
        <v>678</v>
      </c>
      <c r="F93" s="67" t="s">
        <v>668</v>
      </c>
      <c r="G93" s="67"/>
      <c r="H93" s="67" t="s">
        <v>545</v>
      </c>
      <c r="I93" s="67"/>
      <c r="J93" s="70" t="s">
        <v>445</v>
      </c>
      <c r="K93" s="101" t="s">
        <v>32</v>
      </c>
      <c r="L93" s="101" t="s">
        <v>33</v>
      </c>
      <c r="M93" s="101" t="s">
        <v>653</v>
      </c>
      <c r="N93" s="101" t="str">
        <f t="shared" si="16"/>
        <v>-3A7</v>
      </c>
      <c r="O93" s="99">
        <v>11</v>
      </c>
      <c r="P93" s="102" t="str">
        <f t="shared" si="15"/>
        <v>I23.2</v>
      </c>
      <c r="Q93" s="101" t="str">
        <f t="shared" si="12"/>
        <v>4103_LL¶Low Level¶</v>
      </c>
    </row>
    <row r="94" spans="2:17" ht="14.25">
      <c r="B94" s="70">
        <v>92</v>
      </c>
      <c r="C94" s="70" t="s">
        <v>679</v>
      </c>
      <c r="D94" s="70"/>
      <c r="E94" s="67"/>
      <c r="F94" s="67"/>
      <c r="G94" s="67"/>
      <c r="H94" s="67"/>
      <c r="I94" s="67"/>
      <c r="J94" s="67"/>
      <c r="K94" s="101" t="s">
        <v>32</v>
      </c>
      <c r="L94" s="101" t="s">
        <v>33</v>
      </c>
      <c r="M94" s="101" t="s">
        <v>653</v>
      </c>
      <c r="N94" s="101" t="str">
        <f t="shared" si="16"/>
        <v>-3A7</v>
      </c>
      <c r="O94" s="99">
        <v>12</v>
      </c>
      <c r="P94" s="102" t="str">
        <f t="shared" si="15"/>
        <v>I23.3</v>
      </c>
      <c r="Q94" s="101" t="str">
        <f t="shared" si="12"/>
        <v>¶¶</v>
      </c>
    </row>
    <row r="95" spans="2:17" ht="14.25">
      <c r="B95" s="70">
        <v>93</v>
      </c>
      <c r="C95" s="70" t="s">
        <v>680</v>
      </c>
      <c r="D95" s="70"/>
      <c r="E95" s="67"/>
      <c r="F95" s="67"/>
      <c r="G95" s="67"/>
      <c r="H95" s="67"/>
      <c r="I95" s="67"/>
      <c r="J95" s="67"/>
      <c r="K95" s="101" t="s">
        <v>32</v>
      </c>
      <c r="L95" s="101" t="s">
        <v>33</v>
      </c>
      <c r="M95" s="101" t="s">
        <v>653</v>
      </c>
      <c r="N95" s="101" t="str">
        <f t="shared" si="16"/>
        <v>-3A7</v>
      </c>
      <c r="O95" s="99">
        <v>13</v>
      </c>
      <c r="P95" s="102" t="str">
        <f t="shared" si="15"/>
        <v>I23.4</v>
      </c>
      <c r="Q95" s="101" t="str">
        <f t="shared" si="12"/>
        <v>¶¶</v>
      </c>
    </row>
    <row r="96" spans="2:17" ht="14.25">
      <c r="B96" s="70">
        <v>94</v>
      </c>
      <c r="C96" s="70" t="s">
        <v>681</v>
      </c>
      <c r="D96" s="70"/>
      <c r="E96" s="67"/>
      <c r="F96" s="67"/>
      <c r="G96" s="67"/>
      <c r="H96" s="67"/>
      <c r="I96" s="67"/>
      <c r="J96" s="67"/>
      <c r="K96" s="101" t="s">
        <v>32</v>
      </c>
      <c r="L96" s="101" t="s">
        <v>33</v>
      </c>
      <c r="M96" s="101" t="s">
        <v>653</v>
      </c>
      <c r="N96" s="101" t="str">
        <f t="shared" si="16"/>
        <v>-3A7</v>
      </c>
      <c r="O96" s="99">
        <v>14</v>
      </c>
      <c r="P96" s="102" t="str">
        <f t="shared" si="15"/>
        <v>I23.5</v>
      </c>
      <c r="Q96" s="101" t="str">
        <f t="shared" si="12"/>
        <v>¶¶</v>
      </c>
    </row>
    <row r="97" spans="2:17" ht="14.25">
      <c r="B97" s="70">
        <v>95</v>
      </c>
      <c r="C97" s="70" t="s">
        <v>682</v>
      </c>
      <c r="D97" s="70"/>
      <c r="E97" s="67"/>
      <c r="F97" s="67"/>
      <c r="G97" s="67"/>
      <c r="H97" s="67"/>
      <c r="I97" s="67"/>
      <c r="J97" s="67"/>
      <c r="K97" s="101" t="s">
        <v>32</v>
      </c>
      <c r="L97" s="101" t="s">
        <v>33</v>
      </c>
      <c r="M97" s="101" t="s">
        <v>653</v>
      </c>
      <c r="N97" s="101" t="str">
        <f t="shared" si="16"/>
        <v>-3A7</v>
      </c>
      <c r="O97" s="99">
        <v>15</v>
      </c>
      <c r="P97" s="102" t="str">
        <f t="shared" si="15"/>
        <v>I23.6</v>
      </c>
      <c r="Q97" s="101" t="str">
        <f t="shared" ref="Q97" si="17">E97&amp;K97&amp;H97&amp;K97&amp;I97</f>
        <v>¶¶</v>
      </c>
    </row>
    <row r="98" spans="2:17" ht="14.25">
      <c r="B98" s="70">
        <v>96</v>
      </c>
      <c r="C98" s="70" t="s">
        <v>683</v>
      </c>
      <c r="D98" s="70"/>
      <c r="E98" s="67"/>
      <c r="F98" s="67"/>
      <c r="G98" s="67"/>
      <c r="H98" s="67"/>
      <c r="I98" s="67"/>
      <c r="J98" s="67"/>
      <c r="K98" s="101" t="s">
        <v>32</v>
      </c>
      <c r="L98" s="101" t="s">
        <v>33</v>
      </c>
      <c r="M98" s="101" t="s">
        <v>653</v>
      </c>
      <c r="N98" s="101" t="str">
        <f t="shared" si="16"/>
        <v>-3A7</v>
      </c>
      <c r="O98" s="99">
        <v>16</v>
      </c>
      <c r="P98" s="102" t="str">
        <f t="shared" si="15"/>
        <v>I23.7</v>
      </c>
      <c r="Q98" s="101" t="str">
        <f t="shared" ref="Q98:Q114" si="18">E98&amp;K98&amp;H98&amp;K98&amp;I98</f>
        <v>¶¶</v>
      </c>
    </row>
    <row r="99" spans="2:17" ht="14.25">
      <c r="B99" s="70">
        <v>97</v>
      </c>
      <c r="C99" s="70" t="s">
        <v>684</v>
      </c>
      <c r="D99" s="70"/>
      <c r="E99" s="67"/>
      <c r="F99" s="67"/>
      <c r="G99" s="67"/>
      <c r="H99" s="67"/>
      <c r="I99" s="67"/>
      <c r="J99" s="67"/>
      <c r="K99" s="101" t="s">
        <v>32</v>
      </c>
      <c r="L99" s="101" t="s">
        <v>33</v>
      </c>
      <c r="M99" s="101" t="s">
        <v>685</v>
      </c>
      <c r="N99" s="101" t="str">
        <f t="shared" si="16"/>
        <v>-3A8</v>
      </c>
      <c r="O99" s="99">
        <v>1</v>
      </c>
      <c r="P99" s="102" t="str">
        <f t="shared" si="15"/>
        <v>I24.0</v>
      </c>
      <c r="Q99" s="101" t="str">
        <f t="shared" si="18"/>
        <v>¶¶</v>
      </c>
    </row>
    <row r="100" spans="2:17" ht="14.25">
      <c r="B100" s="70">
        <v>98</v>
      </c>
      <c r="C100" s="70" t="s">
        <v>686</v>
      </c>
      <c r="D100" s="70"/>
      <c r="E100" s="67"/>
      <c r="F100" s="67"/>
      <c r="G100" s="67"/>
      <c r="H100" s="67"/>
      <c r="I100" s="67"/>
      <c r="J100" s="67"/>
      <c r="K100" s="101" t="s">
        <v>32</v>
      </c>
      <c r="L100" s="101" t="s">
        <v>33</v>
      </c>
      <c r="M100" s="101" t="s">
        <v>685</v>
      </c>
      <c r="N100" s="101" t="str">
        <f t="shared" si="16"/>
        <v>-3A8</v>
      </c>
      <c r="O100" s="99">
        <v>2</v>
      </c>
      <c r="P100" s="102" t="str">
        <f t="shared" si="15"/>
        <v>I24.1</v>
      </c>
      <c r="Q100" s="101" t="str">
        <f t="shared" si="18"/>
        <v>¶¶</v>
      </c>
    </row>
    <row r="101" spans="2:17" ht="14.25">
      <c r="B101" s="70">
        <v>99</v>
      </c>
      <c r="C101" s="70" t="s">
        <v>687</v>
      </c>
      <c r="D101" s="70"/>
      <c r="E101" s="67"/>
      <c r="F101" s="67"/>
      <c r="G101" s="67"/>
      <c r="H101" s="67"/>
      <c r="I101" s="67"/>
      <c r="J101" s="67"/>
      <c r="K101" s="101" t="s">
        <v>32</v>
      </c>
      <c r="L101" s="101" t="s">
        <v>33</v>
      </c>
      <c r="M101" s="101" t="s">
        <v>685</v>
      </c>
      <c r="N101" s="101" t="str">
        <f t="shared" si="16"/>
        <v>-3A8</v>
      </c>
      <c r="O101" s="99">
        <v>3</v>
      </c>
      <c r="P101" s="102" t="str">
        <f t="shared" si="15"/>
        <v>I24.2</v>
      </c>
      <c r="Q101" s="101" t="str">
        <f t="shared" si="18"/>
        <v>¶¶</v>
      </c>
    </row>
    <row r="102" spans="2:17" ht="14.25">
      <c r="B102" s="70">
        <v>100</v>
      </c>
      <c r="C102" s="70" t="s">
        <v>688</v>
      </c>
      <c r="D102" s="70"/>
      <c r="E102" s="67"/>
      <c r="F102" s="67"/>
      <c r="G102" s="67"/>
      <c r="H102" s="67"/>
      <c r="I102" s="67"/>
      <c r="J102" s="67"/>
      <c r="K102" s="101" t="s">
        <v>32</v>
      </c>
      <c r="L102" s="101" t="s">
        <v>33</v>
      </c>
      <c r="M102" s="101" t="s">
        <v>685</v>
      </c>
      <c r="N102" s="101" t="str">
        <f t="shared" si="16"/>
        <v>-3A8</v>
      </c>
      <c r="O102" s="99">
        <v>4</v>
      </c>
      <c r="P102" s="102" t="str">
        <f t="shared" si="15"/>
        <v>I24.3</v>
      </c>
      <c r="Q102" s="101" t="str">
        <f t="shared" si="18"/>
        <v>¶¶</v>
      </c>
    </row>
    <row r="103" spans="2:17" ht="14.25">
      <c r="B103" s="70">
        <v>101</v>
      </c>
      <c r="C103" s="70" t="s">
        <v>689</v>
      </c>
      <c r="D103" s="70"/>
      <c r="E103" s="67"/>
      <c r="F103" s="67"/>
      <c r="G103" s="67"/>
      <c r="H103" s="67"/>
      <c r="I103" s="67"/>
      <c r="J103" s="67"/>
      <c r="K103" s="101" t="s">
        <v>32</v>
      </c>
      <c r="L103" s="101" t="s">
        <v>33</v>
      </c>
      <c r="M103" s="101" t="s">
        <v>685</v>
      </c>
      <c r="N103" s="101" t="str">
        <f t="shared" si="16"/>
        <v>-3A8</v>
      </c>
      <c r="O103" s="99">
        <v>5</v>
      </c>
      <c r="P103" s="102" t="str">
        <f t="shared" si="15"/>
        <v>I24.4</v>
      </c>
      <c r="Q103" s="101" t="str">
        <f t="shared" si="18"/>
        <v>¶¶</v>
      </c>
    </row>
    <row r="104" spans="2:17" ht="14.25">
      <c r="B104" s="70">
        <v>102</v>
      </c>
      <c r="C104" s="70" t="s">
        <v>690</v>
      </c>
      <c r="D104" s="70"/>
      <c r="E104" s="67"/>
      <c r="F104" s="67"/>
      <c r="G104" s="67"/>
      <c r="H104" s="67"/>
      <c r="I104" s="67"/>
      <c r="J104" s="67"/>
      <c r="K104" s="101" t="s">
        <v>32</v>
      </c>
      <c r="L104" s="101" t="s">
        <v>33</v>
      </c>
      <c r="M104" s="101" t="s">
        <v>685</v>
      </c>
      <c r="N104" s="101" t="str">
        <f t="shared" si="16"/>
        <v>-3A8</v>
      </c>
      <c r="O104" s="99">
        <v>6</v>
      </c>
      <c r="P104" s="102" t="str">
        <f t="shared" si="15"/>
        <v>I24.5</v>
      </c>
      <c r="Q104" s="101" t="str">
        <f t="shared" si="18"/>
        <v>¶¶</v>
      </c>
    </row>
    <row r="105" spans="2:17" ht="14.25">
      <c r="B105" s="70">
        <v>103</v>
      </c>
      <c r="C105" s="70" t="s">
        <v>691</v>
      </c>
      <c r="D105" s="70"/>
      <c r="E105" s="67"/>
      <c r="F105" s="67"/>
      <c r="G105" s="67"/>
      <c r="H105" s="67"/>
      <c r="I105" s="67"/>
      <c r="J105" s="67"/>
      <c r="K105" s="101" t="s">
        <v>32</v>
      </c>
      <c r="L105" s="101" t="s">
        <v>33</v>
      </c>
      <c r="M105" s="101" t="s">
        <v>685</v>
      </c>
      <c r="N105" s="101" t="str">
        <f t="shared" si="16"/>
        <v>-3A8</v>
      </c>
      <c r="O105" s="99">
        <v>7</v>
      </c>
      <c r="P105" s="102" t="str">
        <f t="shared" si="15"/>
        <v>I24.6</v>
      </c>
      <c r="Q105" s="101" t="str">
        <f t="shared" si="18"/>
        <v>¶¶</v>
      </c>
    </row>
    <row r="106" spans="2:17" ht="14.25">
      <c r="B106" s="70">
        <v>104</v>
      </c>
      <c r="C106" s="70" t="s">
        <v>692</v>
      </c>
      <c r="D106" s="70"/>
      <c r="E106" s="67"/>
      <c r="F106" s="67"/>
      <c r="G106" s="67"/>
      <c r="H106" s="67"/>
      <c r="I106" s="67"/>
      <c r="J106" s="67"/>
      <c r="K106" s="101" t="s">
        <v>32</v>
      </c>
      <c r="L106" s="101" t="s">
        <v>33</v>
      </c>
      <c r="M106" s="101" t="s">
        <v>685</v>
      </c>
      <c r="N106" s="101" t="str">
        <f t="shared" si="16"/>
        <v>-3A8</v>
      </c>
      <c r="O106" s="99">
        <v>8</v>
      </c>
      <c r="P106" s="102" t="str">
        <f t="shared" si="15"/>
        <v>I24.7</v>
      </c>
      <c r="Q106" s="101" t="str">
        <f t="shared" si="18"/>
        <v>¶¶</v>
      </c>
    </row>
    <row r="107" spans="2:17" ht="14.25">
      <c r="B107" s="70">
        <v>105</v>
      </c>
      <c r="C107" s="70" t="s">
        <v>693</v>
      </c>
      <c r="D107" s="70"/>
      <c r="E107" s="67"/>
      <c r="F107" s="67"/>
      <c r="G107" s="67"/>
      <c r="H107" s="67"/>
      <c r="I107" s="67"/>
      <c r="J107" s="67"/>
      <c r="K107" s="101" t="s">
        <v>32</v>
      </c>
      <c r="L107" s="101" t="s">
        <v>33</v>
      </c>
      <c r="M107" s="101" t="s">
        <v>685</v>
      </c>
      <c r="N107" s="101" t="str">
        <f t="shared" si="16"/>
        <v>-3A8</v>
      </c>
      <c r="O107" s="99">
        <v>9</v>
      </c>
      <c r="P107" s="102" t="str">
        <f t="shared" si="15"/>
        <v>I25.0</v>
      </c>
      <c r="Q107" s="101" t="str">
        <f t="shared" si="18"/>
        <v>¶¶</v>
      </c>
    </row>
    <row r="108" spans="2:17" ht="14.25">
      <c r="B108" s="70">
        <v>106</v>
      </c>
      <c r="C108" s="70" t="s">
        <v>694</v>
      </c>
      <c r="D108" s="70"/>
      <c r="E108" s="67"/>
      <c r="F108" s="67"/>
      <c r="G108" s="67"/>
      <c r="H108" s="67"/>
      <c r="I108" s="67"/>
      <c r="J108" s="67"/>
      <c r="K108" s="101" t="s">
        <v>32</v>
      </c>
      <c r="L108" s="101" t="s">
        <v>33</v>
      </c>
      <c r="M108" s="101" t="s">
        <v>685</v>
      </c>
      <c r="N108" s="101" t="str">
        <f t="shared" si="16"/>
        <v>-3A8</v>
      </c>
      <c r="O108" s="99">
        <v>10</v>
      </c>
      <c r="P108" s="102" t="str">
        <f t="shared" si="15"/>
        <v>I25.1</v>
      </c>
      <c r="Q108" s="101" t="str">
        <f t="shared" si="18"/>
        <v>¶¶</v>
      </c>
    </row>
    <row r="109" spans="2:17" ht="14.25">
      <c r="B109" s="70">
        <v>107</v>
      </c>
      <c r="C109" s="70" t="s">
        <v>695</v>
      </c>
      <c r="D109" s="70"/>
      <c r="E109" s="67"/>
      <c r="F109" s="67"/>
      <c r="G109" s="67"/>
      <c r="H109" s="67"/>
      <c r="I109" s="67"/>
      <c r="J109" s="67"/>
      <c r="K109" s="101" t="s">
        <v>32</v>
      </c>
      <c r="L109" s="101" t="s">
        <v>33</v>
      </c>
      <c r="M109" s="101" t="s">
        <v>685</v>
      </c>
      <c r="N109" s="101" t="str">
        <f t="shared" si="16"/>
        <v>-3A8</v>
      </c>
      <c r="O109" s="99">
        <v>11</v>
      </c>
      <c r="P109" s="102" t="str">
        <f t="shared" si="15"/>
        <v>I25.2</v>
      </c>
      <c r="Q109" s="101" t="str">
        <f t="shared" si="18"/>
        <v>¶¶</v>
      </c>
    </row>
    <row r="110" spans="2:17" ht="14.25">
      <c r="B110" s="70">
        <v>108</v>
      </c>
      <c r="C110" s="70" t="s">
        <v>696</v>
      </c>
      <c r="D110" s="70"/>
      <c r="E110" s="67"/>
      <c r="F110" s="67"/>
      <c r="G110" s="67"/>
      <c r="H110" s="67"/>
      <c r="I110" s="67"/>
      <c r="J110" s="67"/>
      <c r="K110" s="101" t="s">
        <v>32</v>
      </c>
      <c r="L110" s="101" t="s">
        <v>33</v>
      </c>
      <c r="M110" s="101" t="s">
        <v>685</v>
      </c>
      <c r="N110" s="101" t="str">
        <f t="shared" si="16"/>
        <v>-3A8</v>
      </c>
      <c r="O110" s="99">
        <v>12</v>
      </c>
      <c r="P110" s="102" t="str">
        <f t="shared" si="15"/>
        <v>I25.3</v>
      </c>
      <c r="Q110" s="101" t="str">
        <f t="shared" si="18"/>
        <v>¶¶</v>
      </c>
    </row>
    <row r="111" spans="2:17" ht="14.25">
      <c r="B111" s="70">
        <v>109</v>
      </c>
      <c r="C111" s="70" t="s">
        <v>697</v>
      </c>
      <c r="D111" s="70"/>
      <c r="E111" s="67"/>
      <c r="F111" s="67"/>
      <c r="G111" s="67"/>
      <c r="H111" s="67"/>
      <c r="I111" s="67"/>
      <c r="J111" s="67"/>
      <c r="K111" s="101" t="s">
        <v>32</v>
      </c>
      <c r="L111" s="101" t="s">
        <v>33</v>
      </c>
      <c r="M111" s="101" t="s">
        <v>685</v>
      </c>
      <c r="N111" s="101" t="str">
        <f t="shared" si="16"/>
        <v>-3A8</v>
      </c>
      <c r="O111" s="99">
        <v>13</v>
      </c>
      <c r="P111" s="102" t="str">
        <f t="shared" si="15"/>
        <v>I25.4</v>
      </c>
      <c r="Q111" s="101" t="str">
        <f t="shared" si="18"/>
        <v>¶¶</v>
      </c>
    </row>
    <row r="112" spans="2:17" ht="14.25">
      <c r="B112" s="70">
        <v>110</v>
      </c>
      <c r="C112" s="70" t="s">
        <v>698</v>
      </c>
      <c r="D112" s="70"/>
      <c r="E112" s="67"/>
      <c r="F112" s="67"/>
      <c r="G112" s="67"/>
      <c r="H112" s="67"/>
      <c r="I112" s="67"/>
      <c r="J112" s="67"/>
      <c r="K112" s="101" t="s">
        <v>32</v>
      </c>
      <c r="L112" s="101" t="s">
        <v>33</v>
      </c>
      <c r="M112" s="101" t="s">
        <v>685</v>
      </c>
      <c r="N112" s="101" t="str">
        <f t="shared" si="16"/>
        <v>-3A8</v>
      </c>
      <c r="O112" s="99">
        <v>14</v>
      </c>
      <c r="P112" s="102" t="str">
        <f t="shared" si="15"/>
        <v>I25.5</v>
      </c>
      <c r="Q112" s="101" t="str">
        <f t="shared" si="18"/>
        <v>¶¶</v>
      </c>
    </row>
    <row r="113" spans="2:17" ht="14.25">
      <c r="B113" s="70">
        <v>111</v>
      </c>
      <c r="C113" s="70" t="s">
        <v>699</v>
      </c>
      <c r="D113" s="70"/>
      <c r="E113" s="67"/>
      <c r="F113" s="67"/>
      <c r="G113" s="67"/>
      <c r="H113" s="67"/>
      <c r="I113" s="67"/>
      <c r="J113" s="67"/>
      <c r="K113" s="101" t="s">
        <v>32</v>
      </c>
      <c r="L113" s="101" t="s">
        <v>33</v>
      </c>
      <c r="M113" s="101" t="s">
        <v>685</v>
      </c>
      <c r="N113" s="101" t="str">
        <f t="shared" si="16"/>
        <v>-3A8</v>
      </c>
      <c r="O113" s="99">
        <v>15</v>
      </c>
      <c r="P113" s="102" t="str">
        <f t="shared" si="15"/>
        <v>I25.6</v>
      </c>
      <c r="Q113" s="101" t="str">
        <f t="shared" si="18"/>
        <v>¶¶</v>
      </c>
    </row>
    <row r="114" spans="2:17" ht="14.25">
      <c r="B114" s="70">
        <v>112</v>
      </c>
      <c r="C114" s="70" t="s">
        <v>700</v>
      </c>
      <c r="D114" s="70"/>
      <c r="E114" s="67"/>
      <c r="F114" s="67"/>
      <c r="G114" s="67"/>
      <c r="H114" s="67"/>
      <c r="I114" s="67"/>
      <c r="J114" s="67"/>
      <c r="K114" s="101" t="s">
        <v>32</v>
      </c>
      <c r="L114" s="101" t="s">
        <v>33</v>
      </c>
      <c r="M114" s="101" t="s">
        <v>685</v>
      </c>
      <c r="N114" s="101" t="str">
        <f t="shared" si="16"/>
        <v>-3A8</v>
      </c>
      <c r="O114" s="99">
        <v>16</v>
      </c>
      <c r="P114" s="102" t="str">
        <f t="shared" si="15"/>
        <v>I25.7</v>
      </c>
      <c r="Q114" s="101" t="str">
        <f t="shared" si="18"/>
        <v>¶¶</v>
      </c>
    </row>
    <row r="115" spans="2:17">
      <c r="B115" s="100" t="s">
        <v>268</v>
      </c>
      <c r="C115" s="103"/>
      <c r="D115" s="103"/>
      <c r="E115" s="70"/>
      <c r="F115" s="70"/>
      <c r="G115" s="70"/>
      <c r="H115" s="70"/>
      <c r="I115" s="70"/>
      <c r="J115" s="103"/>
    </row>
    <row r="116" spans="2:17">
      <c r="B116" s="100" t="s">
        <v>19</v>
      </c>
      <c r="C116" s="100" t="s">
        <v>20</v>
      </c>
      <c r="D116" s="100" t="s">
        <v>21</v>
      </c>
      <c r="E116" s="100" t="s">
        <v>22</v>
      </c>
      <c r="F116" s="100" t="s">
        <v>23</v>
      </c>
      <c r="G116" s="100" t="s">
        <v>24</v>
      </c>
      <c r="H116" s="100" t="s">
        <v>259</v>
      </c>
      <c r="I116" s="100"/>
      <c r="J116" s="100" t="s">
        <v>25</v>
      </c>
    </row>
    <row r="117" spans="2:17" ht="14.25">
      <c r="B117" s="70">
        <v>1</v>
      </c>
      <c r="C117" s="70" t="s">
        <v>701</v>
      </c>
      <c r="D117" s="70"/>
      <c r="E117" s="67" t="s">
        <v>448</v>
      </c>
      <c r="F117" s="67" t="s">
        <v>92</v>
      </c>
      <c r="G117" s="65" t="s">
        <v>702</v>
      </c>
      <c r="H117" s="67" t="s">
        <v>90</v>
      </c>
      <c r="I117" s="65" t="s">
        <v>271</v>
      </c>
      <c r="J117" s="70" t="s">
        <v>445</v>
      </c>
      <c r="K117" s="101" t="s">
        <v>32</v>
      </c>
      <c r="L117" s="101" t="s">
        <v>33</v>
      </c>
      <c r="M117" s="101" t="s">
        <v>703</v>
      </c>
      <c r="N117" s="101" t="str">
        <f t="shared" ref="N117" si="19">L117&amp;M117</f>
        <v>-3A9</v>
      </c>
      <c r="O117" s="99">
        <v>1</v>
      </c>
      <c r="P117" s="102" t="str">
        <f t="shared" ref="P117" si="20">C117</f>
        <v>Q14.0</v>
      </c>
      <c r="Q117" s="101" t="str">
        <f t="shared" ref="Q117" si="21">E117&amp;K117&amp;H117&amp;K117&amp;I137</f>
        <v>M01¶Screw feeder¶Start</v>
      </c>
    </row>
    <row r="118" spans="2:17" ht="14.25">
      <c r="B118" s="70">
        <v>2</v>
      </c>
      <c r="C118" s="70" t="s">
        <v>704</v>
      </c>
      <c r="D118" s="70"/>
      <c r="E118" s="67" t="s">
        <v>450</v>
      </c>
      <c r="F118" s="67" t="s">
        <v>92</v>
      </c>
      <c r="G118" s="65" t="s">
        <v>702</v>
      </c>
      <c r="H118" s="67" t="s">
        <v>90</v>
      </c>
      <c r="I118" s="65" t="s">
        <v>271</v>
      </c>
      <c r="J118" s="70" t="s">
        <v>445</v>
      </c>
      <c r="K118" s="101" t="s">
        <v>32</v>
      </c>
      <c r="L118" s="101" t="s">
        <v>33</v>
      </c>
      <c r="M118" s="101" t="s">
        <v>703</v>
      </c>
      <c r="N118" s="101" t="str">
        <f t="shared" ref="N118:N149" si="22">L118&amp;M118</f>
        <v>-3A9</v>
      </c>
      <c r="O118" s="99">
        <v>2</v>
      </c>
      <c r="P118" s="102" t="str">
        <f t="shared" ref="P118:P149" si="23">C118</f>
        <v>Q14.1</v>
      </c>
      <c r="Q118" s="101" t="str">
        <f t="shared" ref="Q118:Q124" si="24">E118&amp;K118&amp;H118&amp;K118&amp;I138</f>
        <v>M02¶Screw feeder¶Start</v>
      </c>
    </row>
    <row r="119" spans="2:17" ht="14.25">
      <c r="B119" s="70">
        <v>3</v>
      </c>
      <c r="C119" s="70" t="s">
        <v>705</v>
      </c>
      <c r="D119" s="70"/>
      <c r="E119" s="67" t="s">
        <v>452</v>
      </c>
      <c r="F119" s="67" t="s">
        <v>92</v>
      </c>
      <c r="G119" s="65" t="s">
        <v>702</v>
      </c>
      <c r="H119" s="67" t="s">
        <v>90</v>
      </c>
      <c r="I119" s="65" t="s">
        <v>271</v>
      </c>
      <c r="J119" s="70" t="s">
        <v>445</v>
      </c>
      <c r="K119" s="101" t="s">
        <v>32</v>
      </c>
      <c r="L119" s="101" t="s">
        <v>33</v>
      </c>
      <c r="M119" s="101" t="s">
        <v>703</v>
      </c>
      <c r="N119" s="101" t="str">
        <f t="shared" si="22"/>
        <v>-3A9</v>
      </c>
      <c r="O119" s="99">
        <v>3</v>
      </c>
      <c r="P119" s="102" t="str">
        <f t="shared" si="23"/>
        <v>Q14.2</v>
      </c>
      <c r="Q119" s="101" t="str">
        <f t="shared" si="24"/>
        <v>M03¶Screw feeder¶Start</v>
      </c>
    </row>
    <row r="120" spans="2:17" ht="14.25">
      <c r="B120" s="70">
        <v>4</v>
      </c>
      <c r="C120" s="70" t="s">
        <v>706</v>
      </c>
      <c r="D120" s="70"/>
      <c r="E120" s="67" t="s">
        <v>454</v>
      </c>
      <c r="F120" s="67" t="s">
        <v>92</v>
      </c>
      <c r="G120" s="65" t="s">
        <v>702</v>
      </c>
      <c r="H120" s="67" t="s">
        <v>90</v>
      </c>
      <c r="I120" s="65" t="s">
        <v>271</v>
      </c>
      <c r="J120" s="70" t="s">
        <v>445</v>
      </c>
      <c r="K120" s="101" t="s">
        <v>32</v>
      </c>
      <c r="L120" s="101" t="s">
        <v>33</v>
      </c>
      <c r="M120" s="101" t="s">
        <v>703</v>
      </c>
      <c r="N120" s="101" t="str">
        <f t="shared" si="22"/>
        <v>-3A9</v>
      </c>
      <c r="O120" s="99">
        <v>4</v>
      </c>
      <c r="P120" s="102" t="str">
        <f t="shared" si="23"/>
        <v>Q14.3</v>
      </c>
      <c r="Q120" s="101" t="str">
        <f t="shared" si="24"/>
        <v>M04¶Screw feeder¶Start</v>
      </c>
    </row>
    <row r="121" spans="2:17" ht="14.25">
      <c r="B121" s="70">
        <v>5</v>
      </c>
      <c r="C121" s="70" t="s">
        <v>707</v>
      </c>
      <c r="D121" s="70"/>
      <c r="E121" s="67" t="s">
        <v>456</v>
      </c>
      <c r="F121" s="67" t="s">
        <v>92</v>
      </c>
      <c r="G121" s="65" t="s">
        <v>702</v>
      </c>
      <c r="H121" s="67" t="s">
        <v>90</v>
      </c>
      <c r="I121" s="65" t="s">
        <v>271</v>
      </c>
      <c r="J121" s="70" t="s">
        <v>445</v>
      </c>
      <c r="K121" s="101" t="s">
        <v>32</v>
      </c>
      <c r="L121" s="101" t="s">
        <v>33</v>
      </c>
      <c r="M121" s="101" t="s">
        <v>703</v>
      </c>
      <c r="N121" s="101" t="str">
        <f t="shared" si="22"/>
        <v>-3A9</v>
      </c>
      <c r="O121" s="99">
        <v>5</v>
      </c>
      <c r="P121" s="102" t="str">
        <f t="shared" si="23"/>
        <v>Q14.4</v>
      </c>
      <c r="Q121" s="101" t="str">
        <f t="shared" si="24"/>
        <v>M05¶Screw feeder¶Start</v>
      </c>
    </row>
    <row r="122" spans="2:17" ht="14.25">
      <c r="B122" s="70">
        <v>6</v>
      </c>
      <c r="C122" s="70" t="s">
        <v>708</v>
      </c>
      <c r="D122" s="70"/>
      <c r="E122" s="67" t="s">
        <v>458</v>
      </c>
      <c r="F122" s="67" t="s">
        <v>92</v>
      </c>
      <c r="G122" s="65" t="s">
        <v>702</v>
      </c>
      <c r="H122" s="67" t="s">
        <v>90</v>
      </c>
      <c r="I122" s="65" t="s">
        <v>271</v>
      </c>
      <c r="J122" s="70" t="s">
        <v>445</v>
      </c>
      <c r="K122" s="101" t="s">
        <v>32</v>
      </c>
      <c r="L122" s="101" t="s">
        <v>33</v>
      </c>
      <c r="M122" s="101" t="s">
        <v>703</v>
      </c>
      <c r="N122" s="101" t="str">
        <f t="shared" si="22"/>
        <v>-3A9</v>
      </c>
      <c r="O122" s="99">
        <v>6</v>
      </c>
      <c r="P122" s="102" t="str">
        <f t="shared" si="23"/>
        <v>Q14.5</v>
      </c>
      <c r="Q122" s="101" t="str">
        <f t="shared" si="24"/>
        <v>M06¶Screw feeder¶Start</v>
      </c>
    </row>
    <row r="123" spans="2:17" ht="14.25">
      <c r="B123" s="70">
        <v>7</v>
      </c>
      <c r="C123" s="70" t="s">
        <v>709</v>
      </c>
      <c r="D123" s="70"/>
      <c r="E123" s="67" t="s">
        <v>460</v>
      </c>
      <c r="F123" s="67" t="s">
        <v>92</v>
      </c>
      <c r="G123" s="65" t="s">
        <v>702</v>
      </c>
      <c r="H123" s="67" t="s">
        <v>90</v>
      </c>
      <c r="I123" s="65" t="s">
        <v>271</v>
      </c>
      <c r="J123" s="70" t="s">
        <v>445</v>
      </c>
      <c r="K123" s="101" t="s">
        <v>32</v>
      </c>
      <c r="L123" s="101" t="s">
        <v>33</v>
      </c>
      <c r="M123" s="101" t="s">
        <v>703</v>
      </c>
      <c r="N123" s="101" t="str">
        <f t="shared" si="22"/>
        <v>-3A9</v>
      </c>
      <c r="O123" s="99">
        <v>7</v>
      </c>
      <c r="P123" s="102" t="str">
        <f t="shared" si="23"/>
        <v>Q14.6</v>
      </c>
      <c r="Q123" s="101" t="str">
        <f t="shared" si="24"/>
        <v>M07¶Screw feeder¶Start</v>
      </c>
    </row>
    <row r="124" spans="2:17" ht="14.25">
      <c r="B124" s="70">
        <v>8</v>
      </c>
      <c r="C124" s="70" t="s">
        <v>710</v>
      </c>
      <c r="D124" s="70"/>
      <c r="E124" s="67" t="s">
        <v>462</v>
      </c>
      <c r="F124" s="67" t="s">
        <v>92</v>
      </c>
      <c r="G124" s="65" t="s">
        <v>702</v>
      </c>
      <c r="H124" s="67" t="s">
        <v>90</v>
      </c>
      <c r="I124" s="65" t="s">
        <v>271</v>
      </c>
      <c r="J124" s="70" t="s">
        <v>445</v>
      </c>
      <c r="K124" s="101" t="s">
        <v>32</v>
      </c>
      <c r="L124" s="101" t="s">
        <v>33</v>
      </c>
      <c r="M124" s="101" t="s">
        <v>703</v>
      </c>
      <c r="N124" s="101" t="str">
        <f t="shared" si="22"/>
        <v>-3A9</v>
      </c>
      <c r="O124" s="99">
        <v>8</v>
      </c>
      <c r="P124" s="102" t="str">
        <f t="shared" si="23"/>
        <v>Q14.7</v>
      </c>
      <c r="Q124" s="101" t="str">
        <f t="shared" si="24"/>
        <v>M08¶Screw feeder¶Start</v>
      </c>
    </row>
    <row r="125" spans="2:17" ht="14.25">
      <c r="B125" s="70">
        <v>9</v>
      </c>
      <c r="C125" s="70" t="s">
        <v>711</v>
      </c>
      <c r="D125" s="70"/>
      <c r="E125" s="67" t="s">
        <v>464</v>
      </c>
      <c r="F125" s="67" t="s">
        <v>92</v>
      </c>
      <c r="G125" s="65" t="s">
        <v>702</v>
      </c>
      <c r="H125" s="67" t="s">
        <v>90</v>
      </c>
      <c r="I125" s="65" t="s">
        <v>271</v>
      </c>
      <c r="J125" s="70" t="s">
        <v>445</v>
      </c>
      <c r="K125" s="101" t="s">
        <v>32</v>
      </c>
      <c r="L125" s="101" t="s">
        <v>33</v>
      </c>
      <c r="M125" s="101" t="s">
        <v>703</v>
      </c>
      <c r="N125" s="101" t="str">
        <f t="shared" si="22"/>
        <v>-3A9</v>
      </c>
      <c r="O125" s="99">
        <v>9</v>
      </c>
      <c r="P125" s="102" t="str">
        <f t="shared" si="23"/>
        <v>Q15.0</v>
      </c>
      <c r="Q125" s="101" t="str">
        <f t="shared" ref="Q125" si="25">E125&amp;K125&amp;H125&amp;K125&amp;I135</f>
        <v>M09¶Screw feeder¶Start</v>
      </c>
    </row>
    <row r="126" spans="2:17" ht="14.25">
      <c r="B126" s="70">
        <v>10</v>
      </c>
      <c r="C126" s="70" t="s">
        <v>712</v>
      </c>
      <c r="D126" s="70"/>
      <c r="E126" s="67" t="s">
        <v>466</v>
      </c>
      <c r="F126" s="67" t="s">
        <v>92</v>
      </c>
      <c r="G126" s="65" t="s">
        <v>702</v>
      </c>
      <c r="H126" s="67" t="s">
        <v>90</v>
      </c>
      <c r="I126" s="65" t="s">
        <v>271</v>
      </c>
      <c r="J126" s="70" t="s">
        <v>445</v>
      </c>
      <c r="K126" s="101" t="s">
        <v>32</v>
      </c>
      <c r="L126" s="101" t="s">
        <v>33</v>
      </c>
      <c r="M126" s="101" t="s">
        <v>703</v>
      </c>
      <c r="N126" s="101" t="str">
        <f t="shared" si="22"/>
        <v>-3A9</v>
      </c>
      <c r="O126" s="99">
        <v>10</v>
      </c>
      <c r="P126" s="102" t="str">
        <f t="shared" si="23"/>
        <v>Q15.1</v>
      </c>
      <c r="Q126" s="101" t="str">
        <f t="shared" ref="Q126:Q134" si="26">E126&amp;K126&amp;H126&amp;K126&amp;I136</f>
        <v>M10¶Screw feeder¶Start</v>
      </c>
    </row>
    <row r="127" spans="2:17" ht="14.25">
      <c r="B127" s="70">
        <v>11</v>
      </c>
      <c r="C127" s="70" t="s">
        <v>713</v>
      </c>
      <c r="D127" s="70"/>
      <c r="E127" s="67" t="s">
        <v>470</v>
      </c>
      <c r="F127" s="67" t="s">
        <v>92</v>
      </c>
      <c r="G127" s="65" t="s">
        <v>702</v>
      </c>
      <c r="H127" s="67" t="s">
        <v>90</v>
      </c>
      <c r="I127" s="65" t="s">
        <v>271</v>
      </c>
      <c r="J127" s="70" t="s">
        <v>445</v>
      </c>
      <c r="K127" s="101" t="s">
        <v>32</v>
      </c>
      <c r="L127" s="101" t="s">
        <v>33</v>
      </c>
      <c r="M127" s="101" t="s">
        <v>703</v>
      </c>
      <c r="N127" s="101" t="str">
        <f t="shared" si="22"/>
        <v>-3A9</v>
      </c>
      <c r="O127" s="99">
        <v>11</v>
      </c>
      <c r="P127" s="102" t="str">
        <f t="shared" si="23"/>
        <v>Q15.2</v>
      </c>
      <c r="Q127" s="101" t="str">
        <f t="shared" si="26"/>
        <v>M11¶Screw feeder¶Start</v>
      </c>
    </row>
    <row r="128" spans="2:17" ht="14.25">
      <c r="B128" s="70">
        <v>12</v>
      </c>
      <c r="C128" s="70" t="s">
        <v>714</v>
      </c>
      <c r="D128" s="70"/>
      <c r="E128" s="67" t="s">
        <v>472</v>
      </c>
      <c r="F128" s="67" t="s">
        <v>92</v>
      </c>
      <c r="G128" s="65" t="s">
        <v>702</v>
      </c>
      <c r="H128" s="67" t="s">
        <v>90</v>
      </c>
      <c r="I128" s="65" t="s">
        <v>271</v>
      </c>
      <c r="J128" s="70" t="s">
        <v>445</v>
      </c>
      <c r="K128" s="101" t="s">
        <v>32</v>
      </c>
      <c r="L128" s="101" t="s">
        <v>33</v>
      </c>
      <c r="M128" s="101" t="s">
        <v>703</v>
      </c>
      <c r="N128" s="101" t="str">
        <f t="shared" si="22"/>
        <v>-3A9</v>
      </c>
      <c r="O128" s="99">
        <v>12</v>
      </c>
      <c r="P128" s="102" t="str">
        <f t="shared" si="23"/>
        <v>Q15.3</v>
      </c>
      <c r="Q128" s="101" t="str">
        <f t="shared" si="26"/>
        <v>M12¶Screw feeder¶Start</v>
      </c>
    </row>
    <row r="129" spans="2:17" ht="14.25">
      <c r="B129" s="70">
        <v>13</v>
      </c>
      <c r="C129" s="70" t="s">
        <v>715</v>
      </c>
      <c r="D129" s="70"/>
      <c r="E129" s="67" t="s">
        <v>474</v>
      </c>
      <c r="F129" s="67" t="s">
        <v>92</v>
      </c>
      <c r="G129" s="65" t="s">
        <v>702</v>
      </c>
      <c r="H129" s="67" t="s">
        <v>90</v>
      </c>
      <c r="I129" s="65" t="s">
        <v>271</v>
      </c>
      <c r="J129" s="70" t="s">
        <v>445</v>
      </c>
      <c r="K129" s="101" t="s">
        <v>32</v>
      </c>
      <c r="L129" s="101" t="s">
        <v>33</v>
      </c>
      <c r="M129" s="101" t="s">
        <v>703</v>
      </c>
      <c r="N129" s="101" t="str">
        <f t="shared" si="22"/>
        <v>-3A9</v>
      </c>
      <c r="O129" s="99">
        <v>13</v>
      </c>
      <c r="P129" s="102" t="str">
        <f t="shared" si="23"/>
        <v>Q15.4</v>
      </c>
      <c r="Q129" s="101" t="str">
        <f t="shared" si="26"/>
        <v>M13¶Screw feeder¶Start</v>
      </c>
    </row>
    <row r="130" spans="2:17" ht="14.25">
      <c r="B130" s="70">
        <v>14</v>
      </c>
      <c r="C130" s="70" t="s">
        <v>716</v>
      </c>
      <c r="D130" s="70"/>
      <c r="E130" s="67" t="s">
        <v>476</v>
      </c>
      <c r="F130" s="67" t="s">
        <v>92</v>
      </c>
      <c r="G130" s="65" t="s">
        <v>702</v>
      </c>
      <c r="H130" s="67" t="s">
        <v>90</v>
      </c>
      <c r="I130" s="65" t="s">
        <v>271</v>
      </c>
      <c r="J130" s="70" t="s">
        <v>445</v>
      </c>
      <c r="K130" s="101" t="s">
        <v>32</v>
      </c>
      <c r="L130" s="101" t="s">
        <v>33</v>
      </c>
      <c r="M130" s="101" t="s">
        <v>703</v>
      </c>
      <c r="N130" s="101" t="str">
        <f t="shared" si="22"/>
        <v>-3A9</v>
      </c>
      <c r="O130" s="99">
        <v>14</v>
      </c>
      <c r="P130" s="102" t="str">
        <f t="shared" si="23"/>
        <v>Q15.5</v>
      </c>
      <c r="Q130" s="101" t="str">
        <f t="shared" si="26"/>
        <v>M14¶Screw feeder¶Start</v>
      </c>
    </row>
    <row r="131" spans="2:17" ht="14.25">
      <c r="B131" s="70">
        <v>15</v>
      </c>
      <c r="C131" s="70" t="s">
        <v>717</v>
      </c>
      <c r="D131" s="70"/>
      <c r="E131" s="67" t="s">
        <v>478</v>
      </c>
      <c r="F131" s="67" t="s">
        <v>92</v>
      </c>
      <c r="G131" s="65" t="s">
        <v>702</v>
      </c>
      <c r="H131" s="67" t="s">
        <v>90</v>
      </c>
      <c r="I131" s="65" t="s">
        <v>271</v>
      </c>
      <c r="J131" s="70" t="s">
        <v>445</v>
      </c>
      <c r="K131" s="101" t="s">
        <v>32</v>
      </c>
      <c r="L131" s="101" t="s">
        <v>33</v>
      </c>
      <c r="M131" s="101" t="s">
        <v>703</v>
      </c>
      <c r="N131" s="101" t="str">
        <f t="shared" si="22"/>
        <v>-3A9</v>
      </c>
      <c r="O131" s="99">
        <v>15</v>
      </c>
      <c r="P131" s="102" t="str">
        <f t="shared" si="23"/>
        <v>Q15.6</v>
      </c>
      <c r="Q131" s="101" t="str">
        <f t="shared" si="26"/>
        <v>M15¶Screw feeder¶Start</v>
      </c>
    </row>
    <row r="132" spans="2:17" ht="14.25">
      <c r="B132" s="70">
        <v>16</v>
      </c>
      <c r="C132" s="70" t="s">
        <v>718</v>
      </c>
      <c r="D132" s="70"/>
      <c r="E132" s="67" t="s">
        <v>481</v>
      </c>
      <c r="F132" s="67" t="s">
        <v>92</v>
      </c>
      <c r="G132" s="65" t="s">
        <v>702</v>
      </c>
      <c r="H132" s="67" t="s">
        <v>90</v>
      </c>
      <c r="I132" s="65" t="s">
        <v>271</v>
      </c>
      <c r="J132" s="70" t="s">
        <v>445</v>
      </c>
      <c r="K132" s="101" t="s">
        <v>32</v>
      </c>
      <c r="L132" s="101" t="s">
        <v>33</v>
      </c>
      <c r="M132" s="101" t="s">
        <v>703</v>
      </c>
      <c r="N132" s="101" t="str">
        <f t="shared" si="22"/>
        <v>-3A9</v>
      </c>
      <c r="O132" s="99">
        <v>16</v>
      </c>
      <c r="P132" s="102" t="str">
        <f t="shared" si="23"/>
        <v>Q15.7</v>
      </c>
      <c r="Q132" s="101" t="str">
        <f t="shared" si="26"/>
        <v>M16¶Screw feeder¶Start</v>
      </c>
    </row>
    <row r="133" spans="2:17" ht="14.25">
      <c r="B133" s="70">
        <v>17</v>
      </c>
      <c r="C133" s="70" t="s">
        <v>719</v>
      </c>
      <c r="D133" s="70"/>
      <c r="E133" s="67" t="s">
        <v>483</v>
      </c>
      <c r="F133" s="67" t="s">
        <v>92</v>
      </c>
      <c r="G133" s="65" t="s">
        <v>702</v>
      </c>
      <c r="H133" s="67" t="s">
        <v>90</v>
      </c>
      <c r="I133" s="65" t="s">
        <v>271</v>
      </c>
      <c r="J133" s="70" t="s">
        <v>445</v>
      </c>
      <c r="K133" s="101" t="s">
        <v>32</v>
      </c>
      <c r="L133" s="101" t="s">
        <v>33</v>
      </c>
      <c r="M133" s="101" t="s">
        <v>720</v>
      </c>
      <c r="N133" s="101" t="str">
        <f t="shared" si="22"/>
        <v>-3A10</v>
      </c>
      <c r="O133" s="99">
        <v>1</v>
      </c>
      <c r="P133" s="102" t="str">
        <f t="shared" si="23"/>
        <v>Q16.0</v>
      </c>
      <c r="Q133" s="101" t="str">
        <f t="shared" si="26"/>
        <v>M17¶Screw feeder¶Start</v>
      </c>
    </row>
    <row r="134" spans="2:17" ht="14.25">
      <c r="B134" s="70">
        <v>18</v>
      </c>
      <c r="C134" s="70" t="s">
        <v>721</v>
      </c>
      <c r="D134" s="70"/>
      <c r="E134" s="67" t="s">
        <v>487</v>
      </c>
      <c r="F134" s="67" t="s">
        <v>92</v>
      </c>
      <c r="G134" s="65" t="s">
        <v>702</v>
      </c>
      <c r="H134" s="67" t="s">
        <v>90</v>
      </c>
      <c r="I134" s="65" t="s">
        <v>271</v>
      </c>
      <c r="J134" s="70" t="s">
        <v>445</v>
      </c>
      <c r="K134" s="101" t="s">
        <v>32</v>
      </c>
      <c r="L134" s="101" t="s">
        <v>33</v>
      </c>
      <c r="M134" s="101" t="s">
        <v>720</v>
      </c>
      <c r="N134" s="101" t="str">
        <f t="shared" si="22"/>
        <v>-3A10</v>
      </c>
      <c r="O134" s="99">
        <v>2</v>
      </c>
      <c r="P134" s="102" t="str">
        <f t="shared" si="23"/>
        <v>Q16.1</v>
      </c>
      <c r="Q134" s="101" t="str">
        <f t="shared" si="26"/>
        <v>M18¶Screw feeder¶Start</v>
      </c>
    </row>
    <row r="135" spans="2:17" ht="14.25">
      <c r="B135" s="70">
        <v>19</v>
      </c>
      <c r="C135" s="70" t="s">
        <v>722</v>
      </c>
      <c r="D135" s="70"/>
      <c r="E135" s="67" t="s">
        <v>489</v>
      </c>
      <c r="F135" s="67" t="s">
        <v>92</v>
      </c>
      <c r="G135" s="65" t="s">
        <v>702</v>
      </c>
      <c r="H135" s="67" t="s">
        <v>90</v>
      </c>
      <c r="I135" s="65" t="s">
        <v>271</v>
      </c>
      <c r="J135" s="70" t="s">
        <v>445</v>
      </c>
      <c r="K135" s="101" t="s">
        <v>32</v>
      </c>
      <c r="L135" s="101" t="s">
        <v>33</v>
      </c>
      <c r="M135" s="101" t="s">
        <v>720</v>
      </c>
      <c r="N135" s="101" t="str">
        <f t="shared" si="22"/>
        <v>-3A10</v>
      </c>
      <c r="O135" s="99">
        <v>3</v>
      </c>
      <c r="P135" s="102" t="str">
        <f t="shared" si="23"/>
        <v>Q16.2</v>
      </c>
      <c r="Q135" s="101" t="str">
        <f t="shared" ref="Q135" si="27">E135&amp;K135&amp;H135&amp;K135&amp;I135</f>
        <v>M19¶Screw feeder¶Start</v>
      </c>
    </row>
    <row r="136" spans="2:17" ht="14.25">
      <c r="B136" s="70">
        <v>20</v>
      </c>
      <c r="C136" s="70" t="s">
        <v>723</v>
      </c>
      <c r="D136" s="70"/>
      <c r="E136" s="67" t="s">
        <v>491</v>
      </c>
      <c r="F136" s="67" t="s">
        <v>92</v>
      </c>
      <c r="G136" s="65" t="s">
        <v>702</v>
      </c>
      <c r="H136" s="67" t="s">
        <v>90</v>
      </c>
      <c r="I136" s="65" t="s">
        <v>271</v>
      </c>
      <c r="J136" s="70" t="s">
        <v>445</v>
      </c>
      <c r="K136" s="101" t="s">
        <v>32</v>
      </c>
      <c r="L136" s="101" t="s">
        <v>33</v>
      </c>
      <c r="M136" s="101" t="s">
        <v>720</v>
      </c>
      <c r="N136" s="101" t="str">
        <f t="shared" si="22"/>
        <v>-3A10</v>
      </c>
      <c r="O136" s="99">
        <v>4</v>
      </c>
      <c r="P136" s="102" t="str">
        <f t="shared" si="23"/>
        <v>Q16.3</v>
      </c>
      <c r="Q136" s="101" t="str">
        <f t="shared" ref="Q136:Q144" si="28">E136&amp;K136&amp;H136&amp;K136&amp;I136</f>
        <v>M20¶Screw feeder¶Start</v>
      </c>
    </row>
    <row r="137" spans="2:17" ht="14.25">
      <c r="B137" s="70">
        <v>21</v>
      </c>
      <c r="C137" s="70" t="s">
        <v>724</v>
      </c>
      <c r="D137" s="70"/>
      <c r="E137" s="67" t="s">
        <v>493</v>
      </c>
      <c r="F137" s="67" t="s">
        <v>92</v>
      </c>
      <c r="G137" s="65" t="s">
        <v>702</v>
      </c>
      <c r="H137" s="67" t="s">
        <v>90</v>
      </c>
      <c r="I137" s="65" t="s">
        <v>271</v>
      </c>
      <c r="J137" s="70" t="s">
        <v>445</v>
      </c>
      <c r="K137" s="101" t="s">
        <v>32</v>
      </c>
      <c r="L137" s="101" t="s">
        <v>33</v>
      </c>
      <c r="M137" s="101" t="s">
        <v>720</v>
      </c>
      <c r="N137" s="101" t="str">
        <f t="shared" si="22"/>
        <v>-3A10</v>
      </c>
      <c r="O137" s="99">
        <v>5</v>
      </c>
      <c r="P137" s="102" t="str">
        <f t="shared" si="23"/>
        <v>Q16.4</v>
      </c>
      <c r="Q137" s="101" t="str">
        <f t="shared" si="28"/>
        <v>M21¶Screw feeder¶Start</v>
      </c>
    </row>
    <row r="138" spans="2:17" ht="14.25">
      <c r="B138" s="70">
        <v>22</v>
      </c>
      <c r="C138" s="70" t="s">
        <v>725</v>
      </c>
      <c r="D138" s="70"/>
      <c r="E138" s="67" t="s">
        <v>495</v>
      </c>
      <c r="F138" s="67" t="s">
        <v>92</v>
      </c>
      <c r="G138" s="65" t="s">
        <v>702</v>
      </c>
      <c r="H138" s="67" t="s">
        <v>90</v>
      </c>
      <c r="I138" s="65" t="s">
        <v>271</v>
      </c>
      <c r="J138" s="70" t="s">
        <v>445</v>
      </c>
      <c r="K138" s="101" t="s">
        <v>32</v>
      </c>
      <c r="L138" s="101" t="s">
        <v>33</v>
      </c>
      <c r="M138" s="101" t="s">
        <v>720</v>
      </c>
      <c r="N138" s="101" t="str">
        <f t="shared" si="22"/>
        <v>-3A10</v>
      </c>
      <c r="O138" s="99">
        <v>6</v>
      </c>
      <c r="P138" s="102" t="str">
        <f t="shared" si="23"/>
        <v>Q16.5</v>
      </c>
      <c r="Q138" s="101" t="str">
        <f t="shared" si="28"/>
        <v>M22¶Screw feeder¶Start</v>
      </c>
    </row>
    <row r="139" spans="2:17" ht="14.25">
      <c r="B139" s="70">
        <v>23</v>
      </c>
      <c r="C139" s="70" t="s">
        <v>726</v>
      </c>
      <c r="D139" s="70"/>
      <c r="E139" s="67" t="s">
        <v>497</v>
      </c>
      <c r="F139" s="67" t="s">
        <v>92</v>
      </c>
      <c r="G139" s="65" t="s">
        <v>702</v>
      </c>
      <c r="H139" s="67" t="s">
        <v>90</v>
      </c>
      <c r="I139" s="65" t="s">
        <v>271</v>
      </c>
      <c r="J139" s="70" t="s">
        <v>445</v>
      </c>
      <c r="K139" s="101" t="s">
        <v>32</v>
      </c>
      <c r="L139" s="101" t="s">
        <v>33</v>
      </c>
      <c r="M139" s="101" t="s">
        <v>720</v>
      </c>
      <c r="N139" s="101" t="str">
        <f t="shared" si="22"/>
        <v>-3A10</v>
      </c>
      <c r="O139" s="99">
        <v>7</v>
      </c>
      <c r="P139" s="102" t="str">
        <f t="shared" si="23"/>
        <v>Q16.6</v>
      </c>
      <c r="Q139" s="101" t="str">
        <f t="shared" si="28"/>
        <v>M23¶Screw feeder¶Start</v>
      </c>
    </row>
    <row r="140" spans="2:17" ht="14.25">
      <c r="B140" s="70">
        <v>24</v>
      </c>
      <c r="C140" s="70" t="s">
        <v>727</v>
      </c>
      <c r="D140" s="70"/>
      <c r="E140" s="67" t="s">
        <v>501</v>
      </c>
      <c r="F140" s="67" t="s">
        <v>92</v>
      </c>
      <c r="G140" s="65" t="s">
        <v>702</v>
      </c>
      <c r="H140" s="67" t="s">
        <v>90</v>
      </c>
      <c r="I140" s="65" t="s">
        <v>271</v>
      </c>
      <c r="J140" s="70" t="s">
        <v>445</v>
      </c>
      <c r="K140" s="101" t="s">
        <v>32</v>
      </c>
      <c r="L140" s="101" t="s">
        <v>33</v>
      </c>
      <c r="M140" s="101" t="s">
        <v>720</v>
      </c>
      <c r="N140" s="101" t="str">
        <f t="shared" si="22"/>
        <v>-3A10</v>
      </c>
      <c r="O140" s="99">
        <v>8</v>
      </c>
      <c r="P140" s="102" t="str">
        <f t="shared" si="23"/>
        <v>Q16.7</v>
      </c>
      <c r="Q140" s="101" t="str">
        <f t="shared" si="28"/>
        <v>M24¶Screw feeder¶Start</v>
      </c>
    </row>
    <row r="141" spans="2:17" ht="14.25">
      <c r="B141" s="70">
        <v>25</v>
      </c>
      <c r="C141" s="70" t="s">
        <v>728</v>
      </c>
      <c r="D141" s="70"/>
      <c r="E141" s="67" t="s">
        <v>503</v>
      </c>
      <c r="F141" s="67" t="s">
        <v>92</v>
      </c>
      <c r="G141" s="65" t="s">
        <v>702</v>
      </c>
      <c r="H141" s="67" t="s">
        <v>90</v>
      </c>
      <c r="I141" s="65" t="s">
        <v>271</v>
      </c>
      <c r="J141" s="70" t="s">
        <v>445</v>
      </c>
      <c r="K141" s="101" t="s">
        <v>32</v>
      </c>
      <c r="L141" s="101" t="s">
        <v>33</v>
      </c>
      <c r="M141" s="101" t="s">
        <v>720</v>
      </c>
      <c r="N141" s="101" t="str">
        <f t="shared" si="22"/>
        <v>-3A10</v>
      </c>
      <c r="O141" s="99">
        <v>9</v>
      </c>
      <c r="P141" s="102" t="str">
        <f t="shared" si="23"/>
        <v>Q17.0</v>
      </c>
      <c r="Q141" s="101" t="str">
        <f t="shared" si="28"/>
        <v>M25¶Screw feeder¶Start</v>
      </c>
    </row>
    <row r="142" spans="2:17" ht="14.25">
      <c r="B142" s="70">
        <v>26</v>
      </c>
      <c r="C142" s="70" t="s">
        <v>729</v>
      </c>
      <c r="D142" s="70"/>
      <c r="E142" s="67" t="s">
        <v>505</v>
      </c>
      <c r="F142" s="67" t="s">
        <v>92</v>
      </c>
      <c r="G142" s="65" t="s">
        <v>702</v>
      </c>
      <c r="H142" s="67" t="s">
        <v>90</v>
      </c>
      <c r="I142" s="65" t="s">
        <v>271</v>
      </c>
      <c r="J142" s="70" t="s">
        <v>445</v>
      </c>
      <c r="K142" s="101" t="s">
        <v>32</v>
      </c>
      <c r="L142" s="101" t="s">
        <v>33</v>
      </c>
      <c r="M142" s="101" t="s">
        <v>720</v>
      </c>
      <c r="N142" s="101" t="str">
        <f t="shared" si="22"/>
        <v>-3A10</v>
      </c>
      <c r="O142" s="99">
        <v>10</v>
      </c>
      <c r="P142" s="102" t="str">
        <f t="shared" si="23"/>
        <v>Q17.1</v>
      </c>
      <c r="Q142" s="101" t="str">
        <f t="shared" si="28"/>
        <v>M26¶Screw feeder¶Start</v>
      </c>
    </row>
    <row r="143" spans="2:17" ht="14.25">
      <c r="B143" s="70">
        <v>27</v>
      </c>
      <c r="C143" s="70" t="s">
        <v>730</v>
      </c>
      <c r="D143" s="70"/>
      <c r="E143" s="67" t="s">
        <v>507</v>
      </c>
      <c r="F143" s="67" t="s">
        <v>92</v>
      </c>
      <c r="G143" s="65" t="s">
        <v>702</v>
      </c>
      <c r="H143" s="67" t="s">
        <v>90</v>
      </c>
      <c r="I143" s="65" t="s">
        <v>271</v>
      </c>
      <c r="J143" s="70" t="s">
        <v>445</v>
      </c>
      <c r="K143" s="101" t="s">
        <v>32</v>
      </c>
      <c r="L143" s="101" t="s">
        <v>33</v>
      </c>
      <c r="M143" s="101" t="s">
        <v>720</v>
      </c>
      <c r="N143" s="101" t="str">
        <f t="shared" si="22"/>
        <v>-3A10</v>
      </c>
      <c r="O143" s="99">
        <v>11</v>
      </c>
      <c r="P143" s="102" t="str">
        <f t="shared" si="23"/>
        <v>Q17.2</v>
      </c>
      <c r="Q143" s="101" t="str">
        <f t="shared" si="28"/>
        <v>M27¶Screw feeder¶Start</v>
      </c>
    </row>
    <row r="144" spans="2:17" ht="14.25">
      <c r="B144" s="70">
        <v>28</v>
      </c>
      <c r="C144" s="70" t="s">
        <v>731</v>
      </c>
      <c r="D144" s="70"/>
      <c r="E144" s="67" t="s">
        <v>509</v>
      </c>
      <c r="F144" s="67" t="s">
        <v>92</v>
      </c>
      <c r="G144" s="65" t="s">
        <v>702</v>
      </c>
      <c r="H144" s="67" t="s">
        <v>90</v>
      </c>
      <c r="I144" s="65" t="s">
        <v>271</v>
      </c>
      <c r="J144" s="70" t="s">
        <v>445</v>
      </c>
      <c r="K144" s="101" t="s">
        <v>32</v>
      </c>
      <c r="L144" s="101" t="s">
        <v>33</v>
      </c>
      <c r="M144" s="101" t="s">
        <v>720</v>
      </c>
      <c r="N144" s="101" t="str">
        <f t="shared" si="22"/>
        <v>-3A10</v>
      </c>
      <c r="O144" s="99">
        <v>12</v>
      </c>
      <c r="P144" s="102" t="str">
        <f t="shared" si="23"/>
        <v>Q17.3</v>
      </c>
      <c r="Q144" s="101" t="str">
        <f t="shared" si="28"/>
        <v>M28¶Screw feeder¶Start</v>
      </c>
    </row>
    <row r="145" spans="2:17" ht="14.25">
      <c r="B145" s="70">
        <v>29</v>
      </c>
      <c r="C145" s="70" t="s">
        <v>732</v>
      </c>
      <c r="D145" s="70"/>
      <c r="E145" s="67" t="s">
        <v>511</v>
      </c>
      <c r="F145" s="67" t="s">
        <v>92</v>
      </c>
      <c r="G145" s="65" t="s">
        <v>702</v>
      </c>
      <c r="H145" s="67" t="s">
        <v>90</v>
      </c>
      <c r="I145" s="65" t="s">
        <v>271</v>
      </c>
      <c r="J145" s="70" t="s">
        <v>445</v>
      </c>
      <c r="K145" s="101" t="s">
        <v>32</v>
      </c>
      <c r="L145" s="101" t="s">
        <v>33</v>
      </c>
      <c r="M145" s="101" t="s">
        <v>720</v>
      </c>
      <c r="N145" s="101" t="str">
        <f t="shared" si="22"/>
        <v>-3A10</v>
      </c>
      <c r="O145" s="99">
        <v>13</v>
      </c>
      <c r="P145" s="102" t="str">
        <f t="shared" si="23"/>
        <v>Q17.4</v>
      </c>
      <c r="Q145" s="101" t="str">
        <f t="shared" ref="Q145" si="29">E145&amp;K145&amp;H145&amp;K145&amp;I145</f>
        <v>M29¶Screw feeder¶Start</v>
      </c>
    </row>
    <row r="146" spans="2:17" ht="14.25">
      <c r="B146" s="70">
        <v>30</v>
      </c>
      <c r="C146" s="70" t="s">
        <v>733</v>
      </c>
      <c r="D146" s="70"/>
      <c r="E146" s="67" t="s">
        <v>514</v>
      </c>
      <c r="F146" s="67" t="s">
        <v>92</v>
      </c>
      <c r="G146" s="65" t="s">
        <v>702</v>
      </c>
      <c r="H146" s="67" t="s">
        <v>90</v>
      </c>
      <c r="I146" s="65" t="s">
        <v>271</v>
      </c>
      <c r="J146" s="70" t="s">
        <v>445</v>
      </c>
      <c r="K146" s="101" t="s">
        <v>32</v>
      </c>
      <c r="L146" s="101" t="s">
        <v>33</v>
      </c>
      <c r="M146" s="101" t="s">
        <v>720</v>
      </c>
      <c r="N146" s="101" t="str">
        <f t="shared" si="22"/>
        <v>-3A10</v>
      </c>
      <c r="O146" s="99">
        <v>14</v>
      </c>
      <c r="P146" s="102" t="str">
        <f t="shared" si="23"/>
        <v>Q17.5</v>
      </c>
      <c r="Q146" s="101" t="str">
        <f t="shared" ref="Q146:Q153" si="30">E146&amp;K146&amp;H146&amp;K146&amp;I146</f>
        <v>M30¶Screw feeder¶Start</v>
      </c>
    </row>
    <row r="147" spans="2:17" ht="14.25">
      <c r="B147" s="70">
        <v>31</v>
      </c>
      <c r="C147" s="70" t="s">
        <v>734</v>
      </c>
      <c r="D147" s="70"/>
      <c r="E147" s="67" t="s">
        <v>516</v>
      </c>
      <c r="F147" s="67" t="s">
        <v>92</v>
      </c>
      <c r="G147" s="65" t="s">
        <v>702</v>
      </c>
      <c r="H147" s="67" t="s">
        <v>90</v>
      </c>
      <c r="I147" s="65" t="s">
        <v>271</v>
      </c>
      <c r="J147" s="70" t="s">
        <v>445</v>
      </c>
      <c r="K147" s="101" t="s">
        <v>32</v>
      </c>
      <c r="L147" s="101" t="s">
        <v>33</v>
      </c>
      <c r="M147" s="101" t="s">
        <v>720</v>
      </c>
      <c r="N147" s="101" t="str">
        <f t="shared" si="22"/>
        <v>-3A10</v>
      </c>
      <c r="O147" s="99">
        <v>15</v>
      </c>
      <c r="P147" s="102" t="str">
        <f t="shared" si="23"/>
        <v>Q17.6</v>
      </c>
      <c r="Q147" s="101" t="str">
        <f t="shared" si="30"/>
        <v>M31¶Screw feeder¶Start</v>
      </c>
    </row>
    <row r="148" spans="2:17" ht="14.25">
      <c r="B148" s="70">
        <v>32</v>
      </c>
      <c r="C148" s="70" t="s">
        <v>735</v>
      </c>
      <c r="D148" s="70"/>
      <c r="E148" s="67" t="s">
        <v>518</v>
      </c>
      <c r="F148" s="67" t="s">
        <v>92</v>
      </c>
      <c r="G148" s="65" t="s">
        <v>702</v>
      </c>
      <c r="H148" s="67" t="s">
        <v>90</v>
      </c>
      <c r="I148" s="65" t="s">
        <v>271</v>
      </c>
      <c r="J148" s="70" t="s">
        <v>445</v>
      </c>
      <c r="K148" s="101" t="s">
        <v>32</v>
      </c>
      <c r="L148" s="101" t="s">
        <v>33</v>
      </c>
      <c r="M148" s="101" t="s">
        <v>720</v>
      </c>
      <c r="N148" s="101" t="str">
        <f t="shared" si="22"/>
        <v>-3A10</v>
      </c>
      <c r="O148" s="99">
        <v>16</v>
      </c>
      <c r="P148" s="102" t="str">
        <f t="shared" si="23"/>
        <v>Q17.7</v>
      </c>
      <c r="Q148" s="101" t="str">
        <f t="shared" si="30"/>
        <v>M32¶Screw feeder¶Start</v>
      </c>
    </row>
    <row r="149" spans="2:17" ht="14.25">
      <c r="B149" s="70">
        <v>33</v>
      </c>
      <c r="C149" s="70" t="s">
        <v>736</v>
      </c>
      <c r="D149" s="70"/>
      <c r="E149" s="67" t="s">
        <v>522</v>
      </c>
      <c r="F149" s="67" t="s">
        <v>92</v>
      </c>
      <c r="G149" s="65" t="s">
        <v>702</v>
      </c>
      <c r="H149" s="67" t="s">
        <v>90</v>
      </c>
      <c r="I149" s="65" t="s">
        <v>271</v>
      </c>
      <c r="J149" s="70" t="s">
        <v>445</v>
      </c>
      <c r="K149" s="101" t="s">
        <v>32</v>
      </c>
      <c r="L149" s="101" t="s">
        <v>33</v>
      </c>
      <c r="M149" s="101" t="s">
        <v>737</v>
      </c>
      <c r="N149" s="101" t="str">
        <f t="shared" si="22"/>
        <v>-3A11</v>
      </c>
      <c r="O149" s="99">
        <v>1</v>
      </c>
      <c r="P149" s="102" t="str">
        <f t="shared" si="23"/>
        <v>Q18.0</v>
      </c>
      <c r="Q149" s="101" t="str">
        <f t="shared" si="30"/>
        <v>M33¶Screw feeder¶Start</v>
      </c>
    </row>
    <row r="150" spans="2:17" ht="14.25">
      <c r="B150" s="70">
        <v>34</v>
      </c>
      <c r="C150" s="70" t="s">
        <v>738</v>
      </c>
      <c r="D150" s="70"/>
      <c r="E150" s="67" t="s">
        <v>524</v>
      </c>
      <c r="F150" s="67" t="s">
        <v>92</v>
      </c>
      <c r="G150" s="65" t="s">
        <v>702</v>
      </c>
      <c r="H150" s="67" t="s">
        <v>90</v>
      </c>
      <c r="I150" s="65" t="s">
        <v>271</v>
      </c>
      <c r="J150" s="70" t="s">
        <v>445</v>
      </c>
      <c r="K150" s="101" t="s">
        <v>32</v>
      </c>
      <c r="L150" s="101" t="s">
        <v>33</v>
      </c>
      <c r="M150" s="101" t="s">
        <v>737</v>
      </c>
      <c r="N150" s="101" t="str">
        <f t="shared" ref="N150:N181" si="31">L150&amp;M150</f>
        <v>-3A11</v>
      </c>
      <c r="O150" s="99">
        <v>2</v>
      </c>
      <c r="P150" s="102" t="str">
        <f t="shared" ref="P150:P180" si="32">C150</f>
        <v>Q18.1</v>
      </c>
      <c r="Q150" s="101" t="str">
        <f t="shared" si="30"/>
        <v>M34¶Screw feeder¶Start</v>
      </c>
    </row>
    <row r="151" spans="2:17" ht="14.25">
      <c r="B151" s="70">
        <v>35</v>
      </c>
      <c r="C151" s="70" t="s">
        <v>739</v>
      </c>
      <c r="D151" s="70"/>
      <c r="E151" s="67" t="s">
        <v>526</v>
      </c>
      <c r="F151" s="67" t="s">
        <v>92</v>
      </c>
      <c r="G151" s="65" t="s">
        <v>702</v>
      </c>
      <c r="H151" s="67" t="s">
        <v>90</v>
      </c>
      <c r="I151" s="65" t="s">
        <v>271</v>
      </c>
      <c r="J151" s="70" t="s">
        <v>445</v>
      </c>
      <c r="K151" s="101" t="s">
        <v>32</v>
      </c>
      <c r="L151" s="101" t="s">
        <v>33</v>
      </c>
      <c r="M151" s="101" t="s">
        <v>737</v>
      </c>
      <c r="N151" s="101" t="str">
        <f t="shared" si="31"/>
        <v>-3A11</v>
      </c>
      <c r="O151" s="99">
        <v>3</v>
      </c>
      <c r="P151" s="102" t="str">
        <f t="shared" si="32"/>
        <v>Q18.2</v>
      </c>
      <c r="Q151" s="101" t="str">
        <f t="shared" si="30"/>
        <v>M35¶Screw feeder¶Start</v>
      </c>
    </row>
    <row r="152" spans="2:17" ht="14.25">
      <c r="B152" s="70">
        <v>36</v>
      </c>
      <c r="C152" s="70" t="s">
        <v>740</v>
      </c>
      <c r="D152" s="70"/>
      <c r="E152" s="67" t="s">
        <v>528</v>
      </c>
      <c r="F152" s="67" t="s">
        <v>92</v>
      </c>
      <c r="G152" s="65" t="s">
        <v>702</v>
      </c>
      <c r="H152" s="67" t="s">
        <v>90</v>
      </c>
      <c r="I152" s="65" t="s">
        <v>271</v>
      </c>
      <c r="J152" s="70" t="s">
        <v>445</v>
      </c>
      <c r="K152" s="101" t="s">
        <v>32</v>
      </c>
      <c r="L152" s="101" t="s">
        <v>33</v>
      </c>
      <c r="M152" s="101" t="s">
        <v>737</v>
      </c>
      <c r="N152" s="101" t="str">
        <f t="shared" si="31"/>
        <v>-3A11</v>
      </c>
      <c r="O152" s="99">
        <v>4</v>
      </c>
      <c r="P152" s="102" t="str">
        <f t="shared" si="32"/>
        <v>Q18.3</v>
      </c>
      <c r="Q152" s="101" t="str">
        <f t="shared" si="30"/>
        <v>M36¶Screw feeder¶Start</v>
      </c>
    </row>
    <row r="153" spans="2:17" ht="14.25">
      <c r="B153" s="70">
        <v>37</v>
      </c>
      <c r="C153" s="70" t="s">
        <v>741</v>
      </c>
      <c r="D153" s="70"/>
      <c r="E153" s="67" t="s">
        <v>742</v>
      </c>
      <c r="F153" s="67" t="s">
        <v>743</v>
      </c>
      <c r="G153" s="65" t="s">
        <v>270</v>
      </c>
      <c r="H153" s="67" t="s">
        <v>342</v>
      </c>
      <c r="I153" s="65" t="s">
        <v>271</v>
      </c>
      <c r="J153" s="70" t="s">
        <v>445</v>
      </c>
      <c r="K153" s="101" t="s">
        <v>32</v>
      </c>
      <c r="L153" s="101" t="s">
        <v>33</v>
      </c>
      <c r="M153" s="101" t="s">
        <v>737</v>
      </c>
      <c r="N153" s="101" t="str">
        <f t="shared" si="31"/>
        <v>-3A11</v>
      </c>
      <c r="O153" s="99">
        <v>5</v>
      </c>
      <c r="P153" s="102" t="str">
        <f t="shared" si="32"/>
        <v>Q18.4</v>
      </c>
      <c r="Q153" s="101" t="str">
        <f t="shared" si="30"/>
        <v>2005_AH1¶Bin vibrator¶Start</v>
      </c>
    </row>
    <row r="154" spans="2:17" ht="14.25">
      <c r="B154" s="70">
        <v>38</v>
      </c>
      <c r="C154" s="70" t="s">
        <v>744</v>
      </c>
      <c r="D154" s="70"/>
      <c r="E154" s="67" t="s">
        <v>745</v>
      </c>
      <c r="F154" s="67" t="s">
        <v>746</v>
      </c>
      <c r="G154" s="65" t="s">
        <v>270</v>
      </c>
      <c r="H154" s="67" t="s">
        <v>342</v>
      </c>
      <c r="I154" s="65" t="s">
        <v>271</v>
      </c>
      <c r="J154" s="70"/>
      <c r="K154" s="101" t="s">
        <v>32</v>
      </c>
      <c r="L154" s="101" t="s">
        <v>33</v>
      </c>
      <c r="M154" s="101" t="s">
        <v>737</v>
      </c>
      <c r="N154" s="101" t="str">
        <f t="shared" si="31"/>
        <v>-3A11</v>
      </c>
      <c r="O154" s="99">
        <v>6</v>
      </c>
      <c r="P154" s="102" t="str">
        <f t="shared" si="32"/>
        <v>Q18.5</v>
      </c>
      <c r="Q154" s="101" t="str">
        <f t="shared" ref="Q154" si="33">E154&amp;K154&amp;H154&amp;K154&amp;I154</f>
        <v>2005_AH2¶Bin vibrator¶Start</v>
      </c>
    </row>
    <row r="155" spans="2:17" ht="14.25">
      <c r="B155" s="70">
        <v>39</v>
      </c>
      <c r="C155" s="70" t="s">
        <v>747</v>
      </c>
      <c r="D155" s="70"/>
      <c r="E155" s="67" t="s">
        <v>748</v>
      </c>
      <c r="F155" s="67" t="s">
        <v>749</v>
      </c>
      <c r="G155" s="65" t="s">
        <v>270</v>
      </c>
      <c r="H155" s="67" t="s">
        <v>342</v>
      </c>
      <c r="I155" s="65" t="s">
        <v>271</v>
      </c>
      <c r="J155" s="70"/>
      <c r="K155" s="101" t="s">
        <v>32</v>
      </c>
      <c r="L155" s="101" t="s">
        <v>33</v>
      </c>
      <c r="M155" s="101" t="s">
        <v>737</v>
      </c>
      <c r="N155" s="101" t="str">
        <f t="shared" si="31"/>
        <v>-3A11</v>
      </c>
      <c r="O155" s="99">
        <v>7</v>
      </c>
      <c r="P155" s="102" t="str">
        <f t="shared" si="32"/>
        <v>Q18.6</v>
      </c>
      <c r="Q155" s="101" t="str">
        <f t="shared" ref="Q155:Q164" si="34">E155&amp;K155&amp;H155&amp;K155&amp;I155</f>
        <v>2005_AH3¶Bin vibrator¶Start</v>
      </c>
    </row>
    <row r="156" spans="2:17" ht="14.25">
      <c r="B156" s="70">
        <v>40</v>
      </c>
      <c r="C156" s="70" t="s">
        <v>750</v>
      </c>
      <c r="D156" s="70"/>
      <c r="E156" s="67" t="s">
        <v>751</v>
      </c>
      <c r="F156" s="67" t="s">
        <v>752</v>
      </c>
      <c r="G156" s="65" t="s">
        <v>270</v>
      </c>
      <c r="H156" s="67" t="s">
        <v>342</v>
      </c>
      <c r="I156" s="65" t="s">
        <v>271</v>
      </c>
      <c r="J156" s="70"/>
      <c r="K156" s="101" t="s">
        <v>32</v>
      </c>
      <c r="L156" s="101" t="s">
        <v>33</v>
      </c>
      <c r="M156" s="101" t="s">
        <v>737</v>
      </c>
      <c r="N156" s="101" t="str">
        <f t="shared" si="31"/>
        <v>-3A11</v>
      </c>
      <c r="O156" s="99">
        <v>8</v>
      </c>
      <c r="P156" s="102" t="str">
        <f t="shared" si="32"/>
        <v>Q18.7</v>
      </c>
      <c r="Q156" s="101" t="str">
        <f t="shared" si="34"/>
        <v>2005_AH4¶Bin vibrator¶Start</v>
      </c>
    </row>
    <row r="157" spans="2:17" ht="14.25">
      <c r="B157" s="70">
        <v>41</v>
      </c>
      <c r="C157" s="70" t="s">
        <v>753</v>
      </c>
      <c r="D157" s="70"/>
      <c r="E157" s="67" t="s">
        <v>754</v>
      </c>
      <c r="F157" s="67" t="s">
        <v>341</v>
      </c>
      <c r="G157" s="65" t="s">
        <v>270</v>
      </c>
      <c r="H157" s="67" t="s">
        <v>342</v>
      </c>
      <c r="I157" s="65" t="s">
        <v>271</v>
      </c>
      <c r="J157" s="70"/>
      <c r="K157" s="101" t="s">
        <v>32</v>
      </c>
      <c r="L157" s="101" t="s">
        <v>33</v>
      </c>
      <c r="M157" s="101" t="s">
        <v>737</v>
      </c>
      <c r="N157" s="101" t="str">
        <f t="shared" si="31"/>
        <v>-3A11</v>
      </c>
      <c r="O157" s="99">
        <v>9</v>
      </c>
      <c r="P157" s="102" t="str">
        <f t="shared" si="32"/>
        <v>Q19.0</v>
      </c>
      <c r="Q157" s="101" t="str">
        <f t="shared" si="34"/>
        <v>2026_AH1¶Bin vibrator¶Start</v>
      </c>
    </row>
    <row r="158" spans="2:17" ht="14.25">
      <c r="B158" s="70">
        <v>42</v>
      </c>
      <c r="C158" s="70" t="s">
        <v>755</v>
      </c>
      <c r="D158" s="70"/>
      <c r="E158" s="67" t="s">
        <v>756</v>
      </c>
      <c r="F158" s="67" t="s">
        <v>341</v>
      </c>
      <c r="G158" s="65" t="s">
        <v>270</v>
      </c>
      <c r="H158" s="67" t="s">
        <v>342</v>
      </c>
      <c r="I158" s="65" t="s">
        <v>271</v>
      </c>
      <c r="J158" s="70"/>
      <c r="K158" s="101" t="s">
        <v>32</v>
      </c>
      <c r="L158" s="101" t="s">
        <v>33</v>
      </c>
      <c r="M158" s="101" t="s">
        <v>737</v>
      </c>
      <c r="N158" s="101" t="str">
        <f t="shared" si="31"/>
        <v>-3A11</v>
      </c>
      <c r="O158" s="99">
        <v>10</v>
      </c>
      <c r="P158" s="102" t="str">
        <f t="shared" si="32"/>
        <v>Q19.1</v>
      </c>
      <c r="Q158" s="101" t="str">
        <f t="shared" si="34"/>
        <v>2030_AH1¶Bin vibrator¶Start</v>
      </c>
    </row>
    <row r="159" spans="2:17" ht="14.25">
      <c r="B159" s="70">
        <v>43</v>
      </c>
      <c r="C159" s="70" t="s">
        <v>757</v>
      </c>
      <c r="D159" s="70"/>
      <c r="E159" s="67" t="s">
        <v>758</v>
      </c>
      <c r="F159" s="67" t="s">
        <v>341</v>
      </c>
      <c r="G159" s="65" t="s">
        <v>270</v>
      </c>
      <c r="H159" s="67" t="s">
        <v>342</v>
      </c>
      <c r="I159" s="65" t="s">
        <v>271</v>
      </c>
      <c r="J159" s="70"/>
      <c r="K159" s="101" t="s">
        <v>32</v>
      </c>
      <c r="L159" s="101" t="s">
        <v>33</v>
      </c>
      <c r="M159" s="101" t="s">
        <v>737</v>
      </c>
      <c r="N159" s="101" t="str">
        <f t="shared" si="31"/>
        <v>-3A11</v>
      </c>
      <c r="O159" s="99">
        <v>11</v>
      </c>
      <c r="P159" s="102" t="str">
        <f t="shared" si="32"/>
        <v>Q19.2</v>
      </c>
      <c r="Q159" s="101" t="str">
        <f t="shared" si="34"/>
        <v>2030_AH2¶Bin vibrator¶Start</v>
      </c>
    </row>
    <row r="160" spans="2:17" ht="14.25">
      <c r="B160" s="70">
        <v>44</v>
      </c>
      <c r="C160" s="70" t="s">
        <v>759</v>
      </c>
      <c r="D160" s="70"/>
      <c r="E160" s="67" t="s">
        <v>760</v>
      </c>
      <c r="F160" s="67" t="s">
        <v>341</v>
      </c>
      <c r="G160" s="65" t="s">
        <v>270</v>
      </c>
      <c r="H160" s="67" t="s">
        <v>342</v>
      </c>
      <c r="I160" s="65" t="s">
        <v>271</v>
      </c>
      <c r="J160" s="70"/>
      <c r="K160" s="101" t="s">
        <v>32</v>
      </c>
      <c r="L160" s="101" t="s">
        <v>33</v>
      </c>
      <c r="M160" s="101" t="s">
        <v>737</v>
      </c>
      <c r="N160" s="101" t="str">
        <f t="shared" si="31"/>
        <v>-3A11</v>
      </c>
      <c r="O160" s="99">
        <v>12</v>
      </c>
      <c r="P160" s="102" t="str">
        <f t="shared" si="32"/>
        <v>Q19.3</v>
      </c>
      <c r="Q160" s="101" t="str">
        <f t="shared" si="34"/>
        <v>3010_AH1¶Bin vibrator¶Start</v>
      </c>
    </row>
    <row r="161" spans="2:17" ht="14.25">
      <c r="B161" s="70">
        <v>45</v>
      </c>
      <c r="C161" s="70" t="s">
        <v>761</v>
      </c>
      <c r="D161" s="70"/>
      <c r="E161" s="67" t="s">
        <v>762</v>
      </c>
      <c r="F161" s="67" t="s">
        <v>341</v>
      </c>
      <c r="G161" s="65" t="s">
        <v>270</v>
      </c>
      <c r="H161" s="67" t="s">
        <v>342</v>
      </c>
      <c r="I161" s="65" t="s">
        <v>271</v>
      </c>
      <c r="J161" s="70"/>
      <c r="K161" s="101" t="s">
        <v>32</v>
      </c>
      <c r="L161" s="101" t="s">
        <v>33</v>
      </c>
      <c r="M161" s="101" t="s">
        <v>737</v>
      </c>
      <c r="N161" s="101" t="str">
        <f t="shared" si="31"/>
        <v>-3A11</v>
      </c>
      <c r="O161" s="99">
        <v>13</v>
      </c>
      <c r="P161" s="102" t="str">
        <f t="shared" si="32"/>
        <v>Q19.4</v>
      </c>
      <c r="Q161" s="101" t="str">
        <f t="shared" si="34"/>
        <v>3010_AH2¶Bin vibrator¶Start</v>
      </c>
    </row>
    <row r="162" spans="2:17" ht="14.25">
      <c r="B162" s="70">
        <v>46</v>
      </c>
      <c r="C162" s="70" t="s">
        <v>763</v>
      </c>
      <c r="D162" s="70"/>
      <c r="E162" s="67" t="s">
        <v>764</v>
      </c>
      <c r="F162" s="67" t="s">
        <v>341</v>
      </c>
      <c r="G162" s="65" t="s">
        <v>270</v>
      </c>
      <c r="H162" s="67" t="s">
        <v>342</v>
      </c>
      <c r="I162" s="65" t="s">
        <v>271</v>
      </c>
      <c r="J162" s="70"/>
      <c r="K162" s="101" t="s">
        <v>32</v>
      </c>
      <c r="L162" s="101" t="s">
        <v>33</v>
      </c>
      <c r="M162" s="101" t="s">
        <v>737</v>
      </c>
      <c r="N162" s="101" t="str">
        <f t="shared" si="31"/>
        <v>-3A11</v>
      </c>
      <c r="O162" s="99">
        <v>14</v>
      </c>
      <c r="P162" s="102" t="str">
        <f t="shared" si="32"/>
        <v>Q19.5</v>
      </c>
      <c r="Q162" s="101" t="str">
        <f t="shared" si="34"/>
        <v>4002_AH1¶Bin vibrator¶Start</v>
      </c>
    </row>
    <row r="163" spans="2:17" ht="14.25">
      <c r="B163" s="70">
        <v>47</v>
      </c>
      <c r="C163" s="70" t="s">
        <v>765</v>
      </c>
      <c r="D163" s="70"/>
      <c r="E163" s="67" t="s">
        <v>764</v>
      </c>
      <c r="F163" s="67" t="s">
        <v>341</v>
      </c>
      <c r="G163" s="65" t="s">
        <v>270</v>
      </c>
      <c r="H163" s="67" t="s">
        <v>342</v>
      </c>
      <c r="I163" s="65" t="s">
        <v>271</v>
      </c>
      <c r="J163" s="70"/>
      <c r="K163" s="101" t="s">
        <v>32</v>
      </c>
      <c r="L163" s="101" t="s">
        <v>33</v>
      </c>
      <c r="M163" s="101" t="s">
        <v>737</v>
      </c>
      <c r="N163" s="101" t="str">
        <f t="shared" si="31"/>
        <v>-3A11</v>
      </c>
      <c r="O163" s="99">
        <v>15</v>
      </c>
      <c r="P163" s="102" t="str">
        <f t="shared" si="32"/>
        <v>Q19.6</v>
      </c>
      <c r="Q163" s="101" t="str">
        <f t="shared" si="34"/>
        <v>4002_AH1¶Bin vibrator¶Start</v>
      </c>
    </row>
    <row r="164" spans="2:17" ht="14.25">
      <c r="B164" s="70">
        <v>48</v>
      </c>
      <c r="C164" s="70" t="s">
        <v>766</v>
      </c>
      <c r="D164" s="70"/>
      <c r="E164" s="67" t="s">
        <v>767</v>
      </c>
      <c r="F164" s="67" t="s">
        <v>341</v>
      </c>
      <c r="G164" s="65" t="s">
        <v>270</v>
      </c>
      <c r="H164" s="67" t="s">
        <v>342</v>
      </c>
      <c r="I164" s="65" t="s">
        <v>271</v>
      </c>
      <c r="J164" s="70"/>
      <c r="K164" s="101" t="s">
        <v>32</v>
      </c>
      <c r="L164" s="101" t="s">
        <v>33</v>
      </c>
      <c r="M164" s="101" t="s">
        <v>737</v>
      </c>
      <c r="N164" s="101" t="str">
        <f t="shared" si="31"/>
        <v>-3A11</v>
      </c>
      <c r="O164" s="99">
        <v>16</v>
      </c>
      <c r="P164" s="102" t="str">
        <f t="shared" si="32"/>
        <v>Q19.7</v>
      </c>
      <c r="Q164" s="101" t="str">
        <f t="shared" si="34"/>
        <v>4102_AH1¶Bin vibrator¶Start</v>
      </c>
    </row>
    <row r="165" spans="2:17" ht="14.25">
      <c r="B165" s="70">
        <v>33</v>
      </c>
      <c r="C165" s="70" t="s">
        <v>768</v>
      </c>
      <c r="D165" s="70"/>
      <c r="E165" s="85" t="s">
        <v>769</v>
      </c>
      <c r="F165" s="67" t="s">
        <v>770</v>
      </c>
      <c r="G165" s="65" t="s">
        <v>270</v>
      </c>
      <c r="H165" s="70" t="s">
        <v>771</v>
      </c>
      <c r="I165" s="65" t="s">
        <v>271</v>
      </c>
      <c r="J165" s="70"/>
      <c r="K165" s="101" t="s">
        <v>32</v>
      </c>
      <c r="L165" s="101" t="s">
        <v>33</v>
      </c>
      <c r="M165" s="101" t="s">
        <v>772</v>
      </c>
      <c r="N165" s="101" t="str">
        <f t="shared" si="31"/>
        <v>-3A12</v>
      </c>
      <c r="O165" s="99">
        <v>1</v>
      </c>
      <c r="P165" s="102" t="str">
        <f t="shared" si="32"/>
        <v>Q20.0</v>
      </c>
      <c r="Q165" s="101" t="str">
        <f t="shared" ref="Q165" si="35">E165&amp;K165&amp;H165&amp;K165&amp;I165</f>
        <v>2104_1_ZD¶Vibrator¶Start</v>
      </c>
    </row>
    <row r="166" spans="2:17" ht="14.25">
      <c r="B166" s="70">
        <v>34</v>
      </c>
      <c r="C166" s="70" t="s">
        <v>773</v>
      </c>
      <c r="D166" s="70"/>
      <c r="E166" s="85" t="s">
        <v>774</v>
      </c>
      <c r="F166" s="67" t="s">
        <v>775</v>
      </c>
      <c r="G166" s="65" t="s">
        <v>270</v>
      </c>
      <c r="H166" s="70" t="s">
        <v>771</v>
      </c>
      <c r="I166" s="65" t="s">
        <v>271</v>
      </c>
      <c r="J166" s="70"/>
      <c r="K166" s="101" t="s">
        <v>32</v>
      </c>
      <c r="L166" s="101" t="s">
        <v>33</v>
      </c>
      <c r="M166" s="101" t="s">
        <v>772</v>
      </c>
      <c r="N166" s="101" t="str">
        <f t="shared" si="31"/>
        <v>-3A12</v>
      </c>
      <c r="O166" s="99">
        <v>2</v>
      </c>
      <c r="P166" s="102" t="str">
        <f t="shared" si="32"/>
        <v>Q20.1</v>
      </c>
      <c r="Q166" s="101" t="str">
        <f t="shared" ref="Q166:Q193" si="36">E166&amp;K166&amp;H166&amp;K166&amp;I166</f>
        <v>2104_2_ZD¶Vibrator¶Start</v>
      </c>
    </row>
    <row r="167" spans="2:17" ht="14.25">
      <c r="B167" s="70">
        <v>35</v>
      </c>
      <c r="C167" s="70" t="s">
        <v>776</v>
      </c>
      <c r="D167" s="70"/>
      <c r="E167" s="85" t="s">
        <v>777</v>
      </c>
      <c r="F167" s="67" t="s">
        <v>778</v>
      </c>
      <c r="G167" s="65" t="s">
        <v>270</v>
      </c>
      <c r="H167" s="70" t="s">
        <v>771</v>
      </c>
      <c r="I167" s="65" t="s">
        <v>271</v>
      </c>
      <c r="J167" s="70"/>
      <c r="K167" s="101" t="s">
        <v>32</v>
      </c>
      <c r="L167" s="101" t="s">
        <v>33</v>
      </c>
      <c r="M167" s="101" t="s">
        <v>772</v>
      </c>
      <c r="N167" s="101" t="str">
        <f t="shared" si="31"/>
        <v>-3A12</v>
      </c>
      <c r="O167" s="99">
        <v>3</v>
      </c>
      <c r="P167" s="102" t="str">
        <f t="shared" si="32"/>
        <v>Q20.2</v>
      </c>
      <c r="Q167" s="101" t="str">
        <f t="shared" si="36"/>
        <v>2104_3_ZD¶Vibrator¶Start</v>
      </c>
    </row>
    <row r="168" spans="2:17" ht="14.25">
      <c r="B168" s="70">
        <v>36</v>
      </c>
      <c r="C168" s="70" t="s">
        <v>779</v>
      </c>
      <c r="D168" s="70"/>
      <c r="E168" s="85" t="s">
        <v>780</v>
      </c>
      <c r="F168" s="67" t="s">
        <v>781</v>
      </c>
      <c r="G168" s="65" t="s">
        <v>270</v>
      </c>
      <c r="H168" s="70" t="s">
        <v>771</v>
      </c>
      <c r="I168" s="65" t="s">
        <v>271</v>
      </c>
      <c r="J168" s="70"/>
      <c r="K168" s="101" t="s">
        <v>32</v>
      </c>
      <c r="L168" s="101" t="s">
        <v>33</v>
      </c>
      <c r="M168" s="101" t="s">
        <v>772</v>
      </c>
      <c r="N168" s="101" t="str">
        <f t="shared" si="31"/>
        <v>-3A12</v>
      </c>
      <c r="O168" s="99">
        <v>4</v>
      </c>
      <c r="P168" s="102" t="str">
        <f t="shared" si="32"/>
        <v>Q20.3</v>
      </c>
      <c r="Q168" s="101" t="str">
        <f t="shared" si="36"/>
        <v>2104_4_ZD¶Vibrator¶Start</v>
      </c>
    </row>
    <row r="169" spans="2:17" ht="14.25">
      <c r="B169" s="70">
        <v>37</v>
      </c>
      <c r="C169" s="70" t="s">
        <v>782</v>
      </c>
      <c r="D169" s="70"/>
      <c r="E169" s="85" t="s">
        <v>783</v>
      </c>
      <c r="F169" s="67" t="s">
        <v>784</v>
      </c>
      <c r="G169" s="65" t="s">
        <v>270</v>
      </c>
      <c r="H169" s="70" t="s">
        <v>771</v>
      </c>
      <c r="I169" s="65" t="s">
        <v>271</v>
      </c>
      <c r="J169" s="70"/>
      <c r="K169" s="101" t="s">
        <v>32</v>
      </c>
      <c r="L169" s="101" t="s">
        <v>33</v>
      </c>
      <c r="M169" s="101" t="s">
        <v>772</v>
      </c>
      <c r="N169" s="101" t="str">
        <f t="shared" si="31"/>
        <v>-3A12</v>
      </c>
      <c r="O169" s="99">
        <v>5</v>
      </c>
      <c r="P169" s="102" t="str">
        <f t="shared" si="32"/>
        <v>Q20.4</v>
      </c>
      <c r="Q169" s="101" t="str">
        <f t="shared" si="36"/>
        <v>2104_5_ZD¶Vibrator¶Start</v>
      </c>
    </row>
    <row r="170" spans="2:17" ht="14.25">
      <c r="B170" s="70">
        <v>38</v>
      </c>
      <c r="C170" s="70" t="s">
        <v>785</v>
      </c>
      <c r="D170" s="70"/>
      <c r="E170" s="85" t="s">
        <v>786</v>
      </c>
      <c r="F170" s="67" t="s">
        <v>787</v>
      </c>
      <c r="G170" s="65" t="s">
        <v>270</v>
      </c>
      <c r="H170" s="70" t="s">
        <v>771</v>
      </c>
      <c r="I170" s="65" t="s">
        <v>271</v>
      </c>
      <c r="J170" s="70"/>
      <c r="K170" s="101" t="s">
        <v>32</v>
      </c>
      <c r="L170" s="101" t="s">
        <v>33</v>
      </c>
      <c r="M170" s="101" t="s">
        <v>772</v>
      </c>
      <c r="N170" s="101" t="str">
        <f t="shared" si="31"/>
        <v>-3A12</v>
      </c>
      <c r="O170" s="99">
        <v>6</v>
      </c>
      <c r="P170" s="102" t="str">
        <f t="shared" si="32"/>
        <v>Q20.5</v>
      </c>
      <c r="Q170" s="101" t="str">
        <f t="shared" si="36"/>
        <v>2104_6_ZD¶Vibrator¶Start</v>
      </c>
    </row>
    <row r="171" spans="2:17" ht="14.25">
      <c r="B171" s="70">
        <v>39</v>
      </c>
      <c r="C171" s="70" t="s">
        <v>788</v>
      </c>
      <c r="D171" s="70"/>
      <c r="E171" s="85" t="s">
        <v>789</v>
      </c>
      <c r="F171" s="67" t="s">
        <v>790</v>
      </c>
      <c r="G171" s="65" t="s">
        <v>270</v>
      </c>
      <c r="H171" s="70" t="s">
        <v>771</v>
      </c>
      <c r="I171" s="65" t="s">
        <v>271</v>
      </c>
      <c r="J171" s="70"/>
      <c r="K171" s="101" t="s">
        <v>32</v>
      </c>
      <c r="L171" s="101" t="s">
        <v>33</v>
      </c>
      <c r="M171" s="101" t="s">
        <v>772</v>
      </c>
      <c r="N171" s="101" t="str">
        <f t="shared" si="31"/>
        <v>-3A12</v>
      </c>
      <c r="O171" s="99">
        <v>7</v>
      </c>
      <c r="P171" s="102" t="str">
        <f t="shared" si="32"/>
        <v>Q20.6</v>
      </c>
      <c r="Q171" s="101" t="str">
        <f t="shared" si="36"/>
        <v>2104_7_ZD¶Vibrator¶Start</v>
      </c>
    </row>
    <row r="172" spans="2:17" ht="14.25">
      <c r="B172" s="70">
        <v>40</v>
      </c>
      <c r="C172" s="70" t="s">
        <v>791</v>
      </c>
      <c r="D172" s="70"/>
      <c r="E172" s="85" t="s">
        <v>792</v>
      </c>
      <c r="F172" s="67" t="s">
        <v>793</v>
      </c>
      <c r="G172" s="65" t="s">
        <v>270</v>
      </c>
      <c r="H172" s="70" t="s">
        <v>771</v>
      </c>
      <c r="I172" s="65" t="s">
        <v>271</v>
      </c>
      <c r="J172" s="70"/>
      <c r="K172" s="101" t="s">
        <v>32</v>
      </c>
      <c r="L172" s="101" t="s">
        <v>33</v>
      </c>
      <c r="M172" s="101" t="s">
        <v>772</v>
      </c>
      <c r="N172" s="101" t="str">
        <f t="shared" si="31"/>
        <v>-3A12</v>
      </c>
      <c r="O172" s="99">
        <v>8</v>
      </c>
      <c r="P172" s="102" t="str">
        <f t="shared" si="32"/>
        <v>Q20.7</v>
      </c>
      <c r="Q172" s="101" t="str">
        <f t="shared" si="36"/>
        <v>2104_8_ZD¶Vibrator¶Start</v>
      </c>
    </row>
    <row r="173" spans="2:17" ht="14.25">
      <c r="B173" s="70">
        <v>41</v>
      </c>
      <c r="C173" s="70" t="s">
        <v>794</v>
      </c>
      <c r="D173" s="70"/>
      <c r="E173" s="85" t="s">
        <v>795</v>
      </c>
      <c r="F173" s="67" t="s">
        <v>796</v>
      </c>
      <c r="G173" s="65" t="s">
        <v>270</v>
      </c>
      <c r="H173" s="70" t="s">
        <v>771</v>
      </c>
      <c r="I173" s="65" t="s">
        <v>271</v>
      </c>
      <c r="J173" s="70"/>
      <c r="K173" s="101" t="s">
        <v>32</v>
      </c>
      <c r="L173" s="101" t="s">
        <v>33</v>
      </c>
      <c r="M173" s="101" t="s">
        <v>772</v>
      </c>
      <c r="N173" s="101" t="str">
        <f t="shared" si="31"/>
        <v>-3A12</v>
      </c>
      <c r="O173" s="99">
        <v>9</v>
      </c>
      <c r="P173" s="102" t="str">
        <f t="shared" si="32"/>
        <v>Q21.0</v>
      </c>
      <c r="Q173" s="101" t="str">
        <f t="shared" si="36"/>
        <v>2104_9_ZD¶Vibrator¶Start</v>
      </c>
    </row>
    <row r="174" spans="2:17" ht="14.25">
      <c r="B174" s="70">
        <v>42</v>
      </c>
      <c r="C174" s="70" t="s">
        <v>797</v>
      </c>
      <c r="D174" s="70"/>
      <c r="E174" s="85" t="s">
        <v>798</v>
      </c>
      <c r="F174" s="67" t="s">
        <v>799</v>
      </c>
      <c r="G174" s="65" t="s">
        <v>270</v>
      </c>
      <c r="H174" s="70" t="s">
        <v>771</v>
      </c>
      <c r="I174" s="65" t="s">
        <v>271</v>
      </c>
      <c r="J174" s="70"/>
      <c r="K174" s="101" t="s">
        <v>32</v>
      </c>
      <c r="L174" s="101" t="s">
        <v>33</v>
      </c>
      <c r="M174" s="101" t="s">
        <v>772</v>
      </c>
      <c r="N174" s="101" t="str">
        <f t="shared" si="31"/>
        <v>-3A12</v>
      </c>
      <c r="O174" s="99">
        <v>10</v>
      </c>
      <c r="P174" s="102" t="str">
        <f t="shared" si="32"/>
        <v>Q21.1</v>
      </c>
      <c r="Q174" s="101" t="str">
        <f t="shared" si="36"/>
        <v>2104_10_ZD¶Vibrator¶Start</v>
      </c>
    </row>
    <row r="175" spans="2:17" ht="14.25">
      <c r="B175" s="70">
        <v>43</v>
      </c>
      <c r="C175" s="70" t="s">
        <v>800</v>
      </c>
      <c r="D175" s="70"/>
      <c r="E175" s="104" t="s">
        <v>801</v>
      </c>
      <c r="F175" s="80" t="s">
        <v>802</v>
      </c>
      <c r="G175" s="87" t="s">
        <v>270</v>
      </c>
      <c r="H175" s="87" t="s">
        <v>771</v>
      </c>
      <c r="I175" s="87" t="s">
        <v>271</v>
      </c>
      <c r="J175" s="70"/>
      <c r="K175" s="101" t="s">
        <v>32</v>
      </c>
      <c r="L175" s="101" t="s">
        <v>33</v>
      </c>
      <c r="M175" s="101" t="s">
        <v>772</v>
      </c>
      <c r="N175" s="101" t="str">
        <f t="shared" si="31"/>
        <v>-3A12</v>
      </c>
      <c r="O175" s="99">
        <v>11</v>
      </c>
      <c r="P175" s="102" t="str">
        <f t="shared" si="32"/>
        <v>Q21.2</v>
      </c>
      <c r="Q175" s="101" t="str">
        <f t="shared" si="36"/>
        <v>2104_11_ZD¶Vibrator¶Start</v>
      </c>
    </row>
    <row r="176" spans="2:17" ht="14.25">
      <c r="B176" s="70">
        <v>44</v>
      </c>
      <c r="C176" s="70" t="s">
        <v>803</v>
      </c>
      <c r="D176" s="70"/>
      <c r="E176" s="104" t="s">
        <v>804</v>
      </c>
      <c r="F176" s="80" t="s">
        <v>805</v>
      </c>
      <c r="G176" s="87" t="s">
        <v>270</v>
      </c>
      <c r="H176" s="87" t="s">
        <v>771</v>
      </c>
      <c r="I176" s="87" t="s">
        <v>271</v>
      </c>
      <c r="J176" s="70"/>
      <c r="K176" s="101" t="s">
        <v>32</v>
      </c>
      <c r="L176" s="101" t="s">
        <v>33</v>
      </c>
      <c r="M176" s="101" t="s">
        <v>772</v>
      </c>
      <c r="N176" s="101" t="str">
        <f t="shared" si="31"/>
        <v>-3A12</v>
      </c>
      <c r="O176" s="99">
        <v>12</v>
      </c>
      <c r="P176" s="102" t="str">
        <f t="shared" si="32"/>
        <v>Q21.3</v>
      </c>
      <c r="Q176" s="101" t="str">
        <f t="shared" si="36"/>
        <v>2104_12_ZD¶Vibrator¶Start</v>
      </c>
    </row>
    <row r="177" spans="2:17" ht="14.25">
      <c r="B177" s="70">
        <v>45</v>
      </c>
      <c r="C177" s="70" t="s">
        <v>806</v>
      </c>
      <c r="D177" s="70"/>
      <c r="E177" s="104" t="s">
        <v>807</v>
      </c>
      <c r="F177" s="80" t="s">
        <v>808</v>
      </c>
      <c r="G177" s="87" t="s">
        <v>270</v>
      </c>
      <c r="H177" s="87" t="s">
        <v>771</v>
      </c>
      <c r="I177" s="87" t="s">
        <v>271</v>
      </c>
      <c r="J177" s="70"/>
      <c r="K177" s="101" t="s">
        <v>32</v>
      </c>
      <c r="L177" s="101" t="s">
        <v>33</v>
      </c>
      <c r="M177" s="101" t="s">
        <v>772</v>
      </c>
      <c r="N177" s="101" t="str">
        <f t="shared" si="31"/>
        <v>-3A12</v>
      </c>
      <c r="O177" s="99">
        <v>13</v>
      </c>
      <c r="P177" s="102" t="str">
        <f t="shared" si="32"/>
        <v>Q21.4</v>
      </c>
      <c r="Q177" s="101" t="str">
        <f t="shared" si="36"/>
        <v>2104_13_ZD¶Vibrator¶Start</v>
      </c>
    </row>
    <row r="178" spans="2:17" ht="14.25">
      <c r="B178" s="70">
        <v>46</v>
      </c>
      <c r="C178" s="70" t="s">
        <v>809</v>
      </c>
      <c r="D178" s="70"/>
      <c r="E178" s="104" t="s">
        <v>810</v>
      </c>
      <c r="F178" s="80" t="s">
        <v>811</v>
      </c>
      <c r="G178" s="87" t="s">
        <v>270</v>
      </c>
      <c r="H178" s="87" t="s">
        <v>771</v>
      </c>
      <c r="I178" s="87" t="s">
        <v>271</v>
      </c>
      <c r="J178" s="70"/>
      <c r="K178" s="101" t="s">
        <v>32</v>
      </c>
      <c r="L178" s="101" t="s">
        <v>33</v>
      </c>
      <c r="M178" s="101" t="s">
        <v>772</v>
      </c>
      <c r="N178" s="101" t="str">
        <f t="shared" si="31"/>
        <v>-3A12</v>
      </c>
      <c r="O178" s="99">
        <v>14</v>
      </c>
      <c r="P178" s="102" t="str">
        <f t="shared" si="32"/>
        <v>Q21.5</v>
      </c>
      <c r="Q178" s="101" t="str">
        <f t="shared" si="36"/>
        <v>2104_14_ZD¶Vibrator¶Start</v>
      </c>
    </row>
    <row r="179" spans="2:17" ht="14.25">
      <c r="B179" s="70">
        <v>47</v>
      </c>
      <c r="C179" s="70" t="s">
        <v>812</v>
      </c>
      <c r="D179" s="70"/>
      <c r="E179" s="104" t="s">
        <v>813</v>
      </c>
      <c r="F179" s="80" t="s">
        <v>814</v>
      </c>
      <c r="G179" s="87" t="s">
        <v>270</v>
      </c>
      <c r="H179" s="87" t="s">
        <v>771</v>
      </c>
      <c r="I179" s="87" t="s">
        <v>271</v>
      </c>
      <c r="J179" s="70"/>
      <c r="K179" s="101" t="s">
        <v>32</v>
      </c>
      <c r="L179" s="101" t="s">
        <v>33</v>
      </c>
      <c r="M179" s="101" t="s">
        <v>772</v>
      </c>
      <c r="N179" s="101" t="str">
        <f t="shared" si="31"/>
        <v>-3A12</v>
      </c>
      <c r="O179" s="99">
        <v>15</v>
      </c>
      <c r="P179" s="102" t="str">
        <f t="shared" si="32"/>
        <v>Q21.6</v>
      </c>
      <c r="Q179" s="101" t="str">
        <f t="shared" si="36"/>
        <v>2104_15_ZD¶Vibrator¶Start</v>
      </c>
    </row>
    <row r="180" spans="2:17" ht="14.25">
      <c r="B180" s="70">
        <v>48</v>
      </c>
      <c r="C180" s="70" t="s">
        <v>815</v>
      </c>
      <c r="D180" s="70"/>
      <c r="E180" s="104" t="s">
        <v>816</v>
      </c>
      <c r="F180" s="80" t="s">
        <v>817</v>
      </c>
      <c r="G180" s="87" t="s">
        <v>270</v>
      </c>
      <c r="H180" s="87" t="s">
        <v>771</v>
      </c>
      <c r="I180" s="87" t="s">
        <v>271</v>
      </c>
      <c r="J180" s="70"/>
      <c r="K180" s="101" t="s">
        <v>32</v>
      </c>
      <c r="L180" s="101" t="s">
        <v>33</v>
      </c>
      <c r="M180" s="101" t="s">
        <v>772</v>
      </c>
      <c r="N180" s="101" t="str">
        <f t="shared" si="31"/>
        <v>-3A12</v>
      </c>
      <c r="O180" s="99">
        <v>16</v>
      </c>
      <c r="P180" s="102" t="str">
        <f t="shared" si="32"/>
        <v>Q21.7</v>
      </c>
      <c r="Q180" s="101" t="str">
        <f t="shared" si="36"/>
        <v>2104_16_ZD¶Vibrator¶Start</v>
      </c>
    </row>
    <row r="181" spans="2:17" ht="14.25">
      <c r="B181" s="70">
        <v>33</v>
      </c>
      <c r="C181" s="70" t="s">
        <v>818</v>
      </c>
      <c r="D181" s="70"/>
      <c r="E181" s="104" t="s">
        <v>819</v>
      </c>
      <c r="F181" s="80" t="s">
        <v>820</v>
      </c>
      <c r="G181" s="87" t="s">
        <v>270</v>
      </c>
      <c r="H181" s="87" t="s">
        <v>771</v>
      </c>
      <c r="I181" s="87" t="s">
        <v>271</v>
      </c>
      <c r="J181" s="70"/>
      <c r="K181" s="101" t="s">
        <v>32</v>
      </c>
      <c r="L181" s="101" t="s">
        <v>33</v>
      </c>
      <c r="M181" s="101" t="s">
        <v>821</v>
      </c>
      <c r="N181" s="101" t="str">
        <f t="shared" ref="N181" si="37">L181&amp;M181</f>
        <v>-3A13</v>
      </c>
      <c r="O181" s="99">
        <v>1</v>
      </c>
      <c r="P181" s="102" t="str">
        <f t="shared" ref="P181" si="38">C181</f>
        <v>Q22.0</v>
      </c>
      <c r="Q181" s="101" t="str">
        <f t="shared" si="36"/>
        <v>2104_17_ZD¶Vibrator¶Start</v>
      </c>
    </row>
    <row r="182" spans="2:17" ht="14.25">
      <c r="B182" s="70">
        <v>34</v>
      </c>
      <c r="C182" s="70" t="s">
        <v>822</v>
      </c>
      <c r="D182" s="70"/>
      <c r="E182" s="104" t="s">
        <v>823</v>
      </c>
      <c r="F182" s="80" t="s">
        <v>824</v>
      </c>
      <c r="G182" s="87" t="s">
        <v>270</v>
      </c>
      <c r="H182" s="87" t="s">
        <v>771</v>
      </c>
      <c r="I182" s="87" t="s">
        <v>271</v>
      </c>
      <c r="J182" s="70"/>
      <c r="K182" s="101" t="s">
        <v>32</v>
      </c>
      <c r="L182" s="101" t="s">
        <v>33</v>
      </c>
      <c r="M182" s="101" t="s">
        <v>821</v>
      </c>
      <c r="N182" s="101" t="str">
        <f t="shared" ref="N182:N212" si="39">L182&amp;M182</f>
        <v>-3A13</v>
      </c>
      <c r="O182" s="99">
        <v>2</v>
      </c>
      <c r="P182" s="102" t="str">
        <f t="shared" ref="P182:P212" si="40">C182</f>
        <v>Q22.1</v>
      </c>
      <c r="Q182" s="101" t="str">
        <f t="shared" si="36"/>
        <v>2104_18_ZD¶Vibrator¶Start</v>
      </c>
    </row>
    <row r="183" spans="2:17" ht="14.25">
      <c r="B183" s="70">
        <v>35</v>
      </c>
      <c r="C183" s="70" t="s">
        <v>825</v>
      </c>
      <c r="D183" s="70"/>
      <c r="E183" s="104" t="s">
        <v>826</v>
      </c>
      <c r="F183" s="80" t="s">
        <v>827</v>
      </c>
      <c r="G183" s="87" t="s">
        <v>270</v>
      </c>
      <c r="H183" s="87" t="s">
        <v>771</v>
      </c>
      <c r="I183" s="87" t="s">
        <v>271</v>
      </c>
      <c r="J183" s="70"/>
      <c r="K183" s="101" t="s">
        <v>32</v>
      </c>
      <c r="L183" s="101" t="s">
        <v>33</v>
      </c>
      <c r="M183" s="101" t="s">
        <v>821</v>
      </c>
      <c r="N183" s="101" t="str">
        <f t="shared" si="39"/>
        <v>-3A13</v>
      </c>
      <c r="O183" s="99">
        <v>3</v>
      </c>
      <c r="P183" s="102" t="str">
        <f t="shared" si="40"/>
        <v>Q22.2</v>
      </c>
      <c r="Q183" s="101" t="str">
        <f t="shared" si="36"/>
        <v>2104_19_ZD¶Vibrator¶Start</v>
      </c>
    </row>
    <row r="184" spans="2:17" ht="14.25">
      <c r="B184" s="70">
        <v>36</v>
      </c>
      <c r="C184" s="70" t="s">
        <v>828</v>
      </c>
      <c r="D184" s="70"/>
      <c r="E184" s="104" t="s">
        <v>829</v>
      </c>
      <c r="F184" s="80" t="s">
        <v>830</v>
      </c>
      <c r="G184" s="87" t="s">
        <v>270</v>
      </c>
      <c r="H184" s="87" t="s">
        <v>771</v>
      </c>
      <c r="I184" s="87" t="s">
        <v>271</v>
      </c>
      <c r="J184" s="70"/>
      <c r="K184" s="101" t="s">
        <v>32</v>
      </c>
      <c r="L184" s="101" t="s">
        <v>33</v>
      </c>
      <c r="M184" s="101" t="s">
        <v>821</v>
      </c>
      <c r="N184" s="101" t="str">
        <f t="shared" si="39"/>
        <v>-3A13</v>
      </c>
      <c r="O184" s="99">
        <v>4</v>
      </c>
      <c r="P184" s="102" t="str">
        <f t="shared" si="40"/>
        <v>Q22.3</v>
      </c>
      <c r="Q184" s="101" t="str">
        <f t="shared" si="36"/>
        <v>2104_20_ZD¶Vibrator¶Start</v>
      </c>
    </row>
    <row r="185" spans="2:17" ht="14.25">
      <c r="B185" s="70">
        <v>37</v>
      </c>
      <c r="C185" s="70" t="s">
        <v>831</v>
      </c>
      <c r="D185" s="70"/>
      <c r="E185" s="104" t="s">
        <v>832</v>
      </c>
      <c r="F185" s="80" t="s">
        <v>833</v>
      </c>
      <c r="G185" s="87" t="s">
        <v>270</v>
      </c>
      <c r="H185" s="87" t="s">
        <v>771</v>
      </c>
      <c r="I185" s="87" t="s">
        <v>271</v>
      </c>
      <c r="J185" s="70"/>
      <c r="K185" s="101" t="s">
        <v>32</v>
      </c>
      <c r="L185" s="101" t="s">
        <v>33</v>
      </c>
      <c r="M185" s="101" t="s">
        <v>821</v>
      </c>
      <c r="N185" s="101" t="str">
        <f t="shared" si="39"/>
        <v>-3A13</v>
      </c>
      <c r="O185" s="99">
        <v>5</v>
      </c>
      <c r="P185" s="102" t="str">
        <f t="shared" si="40"/>
        <v>Q22.4</v>
      </c>
      <c r="Q185" s="101" t="str">
        <f t="shared" si="36"/>
        <v>2104_21_ZD¶Vibrator¶Start</v>
      </c>
    </row>
    <row r="186" spans="2:17" ht="14.25">
      <c r="B186" s="70">
        <v>38</v>
      </c>
      <c r="C186" s="70" t="s">
        <v>834</v>
      </c>
      <c r="D186" s="70"/>
      <c r="E186" s="104" t="s">
        <v>835</v>
      </c>
      <c r="F186" s="80" t="s">
        <v>836</v>
      </c>
      <c r="G186" s="87" t="s">
        <v>270</v>
      </c>
      <c r="H186" s="87" t="s">
        <v>771</v>
      </c>
      <c r="I186" s="87" t="s">
        <v>271</v>
      </c>
      <c r="J186" s="70"/>
      <c r="K186" s="101" t="s">
        <v>32</v>
      </c>
      <c r="L186" s="101" t="s">
        <v>33</v>
      </c>
      <c r="M186" s="101" t="s">
        <v>821</v>
      </c>
      <c r="N186" s="101" t="str">
        <f t="shared" si="39"/>
        <v>-3A13</v>
      </c>
      <c r="O186" s="99">
        <v>6</v>
      </c>
      <c r="P186" s="102" t="str">
        <f t="shared" si="40"/>
        <v>Q22.5</v>
      </c>
      <c r="Q186" s="101" t="str">
        <f t="shared" si="36"/>
        <v>2104_22_ZD¶Vibrator¶Start</v>
      </c>
    </row>
    <row r="187" spans="2:17" ht="14.25">
      <c r="B187" s="70">
        <v>39</v>
      </c>
      <c r="C187" s="70" t="s">
        <v>837</v>
      </c>
      <c r="D187" s="70"/>
      <c r="E187" s="104" t="s">
        <v>838</v>
      </c>
      <c r="F187" s="80" t="s">
        <v>839</v>
      </c>
      <c r="G187" s="87" t="s">
        <v>270</v>
      </c>
      <c r="H187" s="87" t="s">
        <v>771</v>
      </c>
      <c r="I187" s="87" t="s">
        <v>271</v>
      </c>
      <c r="J187" s="70"/>
      <c r="K187" s="101" t="s">
        <v>32</v>
      </c>
      <c r="L187" s="101" t="s">
        <v>33</v>
      </c>
      <c r="M187" s="101" t="s">
        <v>821</v>
      </c>
      <c r="N187" s="101" t="str">
        <f t="shared" si="39"/>
        <v>-3A13</v>
      </c>
      <c r="O187" s="99">
        <v>7</v>
      </c>
      <c r="P187" s="102" t="str">
        <f t="shared" si="40"/>
        <v>Q22.6</v>
      </c>
      <c r="Q187" s="101" t="str">
        <f t="shared" si="36"/>
        <v>2104_23_ZD¶Vibrator¶Start</v>
      </c>
    </row>
    <row r="188" spans="2:17" ht="14.25">
      <c r="B188" s="70">
        <v>40</v>
      </c>
      <c r="C188" s="70" t="s">
        <v>840</v>
      </c>
      <c r="D188" s="70"/>
      <c r="E188" s="104" t="s">
        <v>841</v>
      </c>
      <c r="F188" s="80" t="s">
        <v>842</v>
      </c>
      <c r="G188" s="87" t="s">
        <v>270</v>
      </c>
      <c r="H188" s="87" t="s">
        <v>771</v>
      </c>
      <c r="I188" s="87" t="s">
        <v>271</v>
      </c>
      <c r="J188" s="70"/>
      <c r="K188" s="101" t="s">
        <v>32</v>
      </c>
      <c r="L188" s="101" t="s">
        <v>33</v>
      </c>
      <c r="M188" s="101" t="s">
        <v>821</v>
      </c>
      <c r="N188" s="101" t="str">
        <f t="shared" si="39"/>
        <v>-3A13</v>
      </c>
      <c r="O188" s="99">
        <v>8</v>
      </c>
      <c r="P188" s="102" t="str">
        <f t="shared" si="40"/>
        <v>Q22.7</v>
      </c>
      <c r="Q188" s="101" t="str">
        <f t="shared" si="36"/>
        <v>2104_24_ZD¶Vibrator¶Start</v>
      </c>
    </row>
    <row r="189" spans="2:17" ht="14.25">
      <c r="B189" s="70">
        <v>41</v>
      </c>
      <c r="C189" s="70" t="s">
        <v>843</v>
      </c>
      <c r="D189" s="70"/>
      <c r="E189" s="104" t="s">
        <v>844</v>
      </c>
      <c r="F189" s="80" t="s">
        <v>845</v>
      </c>
      <c r="G189" s="87" t="s">
        <v>270</v>
      </c>
      <c r="H189" s="87" t="s">
        <v>771</v>
      </c>
      <c r="I189" s="87" t="s">
        <v>271</v>
      </c>
      <c r="J189" s="70"/>
      <c r="K189" s="101" t="s">
        <v>32</v>
      </c>
      <c r="L189" s="101" t="s">
        <v>33</v>
      </c>
      <c r="M189" s="101" t="s">
        <v>821</v>
      </c>
      <c r="N189" s="101" t="str">
        <f t="shared" si="39"/>
        <v>-3A13</v>
      </c>
      <c r="O189" s="99">
        <v>9</v>
      </c>
      <c r="P189" s="102" t="str">
        <f t="shared" si="40"/>
        <v>Q23.0</v>
      </c>
      <c r="Q189" s="101" t="str">
        <f t="shared" si="36"/>
        <v>2104_25_ZD¶Vibrator¶Start</v>
      </c>
    </row>
    <row r="190" spans="2:17" ht="14.25">
      <c r="B190" s="70">
        <v>42</v>
      </c>
      <c r="C190" s="70" t="s">
        <v>846</v>
      </c>
      <c r="D190" s="70"/>
      <c r="E190" s="104" t="s">
        <v>847</v>
      </c>
      <c r="F190" s="80" t="s">
        <v>848</v>
      </c>
      <c r="G190" s="87" t="s">
        <v>270</v>
      </c>
      <c r="H190" s="87" t="s">
        <v>771</v>
      </c>
      <c r="I190" s="87" t="s">
        <v>271</v>
      </c>
      <c r="J190" s="70"/>
      <c r="K190" s="101" t="s">
        <v>32</v>
      </c>
      <c r="L190" s="101" t="s">
        <v>33</v>
      </c>
      <c r="M190" s="101" t="s">
        <v>821</v>
      </c>
      <c r="N190" s="101" t="str">
        <f t="shared" si="39"/>
        <v>-3A13</v>
      </c>
      <c r="O190" s="99">
        <v>10</v>
      </c>
      <c r="P190" s="102" t="str">
        <f t="shared" si="40"/>
        <v>Q23.1</v>
      </c>
      <c r="Q190" s="101" t="str">
        <f t="shared" si="36"/>
        <v>2104_26_ZD¶Vibrator¶Start</v>
      </c>
    </row>
    <row r="191" spans="2:17" ht="14.25">
      <c r="B191" s="70">
        <v>43</v>
      </c>
      <c r="C191" s="70" t="s">
        <v>849</v>
      </c>
      <c r="D191" s="70"/>
      <c r="E191" s="104" t="s">
        <v>850</v>
      </c>
      <c r="F191" s="80" t="s">
        <v>851</v>
      </c>
      <c r="G191" s="87" t="s">
        <v>270</v>
      </c>
      <c r="H191" s="87" t="s">
        <v>771</v>
      </c>
      <c r="I191" s="87" t="s">
        <v>271</v>
      </c>
      <c r="J191" s="70"/>
      <c r="K191" s="101" t="s">
        <v>32</v>
      </c>
      <c r="L191" s="101" t="s">
        <v>33</v>
      </c>
      <c r="M191" s="101" t="s">
        <v>821</v>
      </c>
      <c r="N191" s="101" t="str">
        <f t="shared" si="39"/>
        <v>-3A13</v>
      </c>
      <c r="O191" s="99">
        <v>11</v>
      </c>
      <c r="P191" s="102" t="str">
        <f t="shared" si="40"/>
        <v>Q23.2</v>
      </c>
      <c r="Q191" s="101" t="str">
        <f t="shared" si="36"/>
        <v>2104_27_ZD¶Vibrator¶Start</v>
      </c>
    </row>
    <row r="192" spans="2:17" ht="14.25">
      <c r="B192" s="70">
        <v>44</v>
      </c>
      <c r="C192" s="70" t="s">
        <v>852</v>
      </c>
      <c r="D192" s="70"/>
      <c r="E192" s="104" t="s">
        <v>853</v>
      </c>
      <c r="F192" s="80" t="s">
        <v>854</v>
      </c>
      <c r="G192" s="87" t="s">
        <v>270</v>
      </c>
      <c r="H192" s="87" t="s">
        <v>771</v>
      </c>
      <c r="I192" s="87" t="s">
        <v>271</v>
      </c>
      <c r="J192" s="70"/>
      <c r="K192" s="101" t="s">
        <v>32</v>
      </c>
      <c r="L192" s="101" t="s">
        <v>33</v>
      </c>
      <c r="M192" s="101" t="s">
        <v>821</v>
      </c>
      <c r="N192" s="101" t="str">
        <f t="shared" si="39"/>
        <v>-3A13</v>
      </c>
      <c r="O192" s="99">
        <v>12</v>
      </c>
      <c r="P192" s="102" t="str">
        <f t="shared" si="40"/>
        <v>Q23.3</v>
      </c>
      <c r="Q192" s="101" t="str">
        <f t="shared" si="36"/>
        <v>2104_28_ZD¶Vibrator¶Start</v>
      </c>
    </row>
    <row r="193" spans="2:17" ht="14.25">
      <c r="B193" s="70">
        <v>45</v>
      </c>
      <c r="C193" s="70" t="s">
        <v>855</v>
      </c>
      <c r="D193" s="70"/>
      <c r="E193" s="104" t="s">
        <v>856</v>
      </c>
      <c r="F193" s="80" t="s">
        <v>857</v>
      </c>
      <c r="G193" s="87" t="s">
        <v>270</v>
      </c>
      <c r="H193" s="87" t="s">
        <v>771</v>
      </c>
      <c r="I193" s="87" t="s">
        <v>271</v>
      </c>
      <c r="J193" s="70"/>
      <c r="K193" s="101" t="s">
        <v>32</v>
      </c>
      <c r="L193" s="101" t="s">
        <v>33</v>
      </c>
      <c r="M193" s="101" t="s">
        <v>821</v>
      </c>
      <c r="N193" s="101" t="str">
        <f t="shared" si="39"/>
        <v>-3A13</v>
      </c>
      <c r="O193" s="99">
        <v>13</v>
      </c>
      <c r="P193" s="102" t="str">
        <f t="shared" si="40"/>
        <v>Q23.4</v>
      </c>
      <c r="Q193" s="101" t="str">
        <f t="shared" si="36"/>
        <v>2104_29_ZD¶Vibrator¶Start</v>
      </c>
    </row>
    <row r="194" spans="2:17" ht="14.25">
      <c r="B194" s="70">
        <v>46</v>
      </c>
      <c r="C194" s="70" t="s">
        <v>858</v>
      </c>
      <c r="D194" s="70"/>
      <c r="E194" s="104" t="s">
        <v>859</v>
      </c>
      <c r="F194" s="80" t="s">
        <v>860</v>
      </c>
      <c r="G194" s="87" t="s">
        <v>270</v>
      </c>
      <c r="H194" s="87" t="s">
        <v>771</v>
      </c>
      <c r="I194" s="87" t="s">
        <v>271</v>
      </c>
      <c r="J194" s="70"/>
      <c r="K194" s="101" t="s">
        <v>32</v>
      </c>
      <c r="L194" s="101" t="s">
        <v>33</v>
      </c>
      <c r="M194" s="101" t="s">
        <v>821</v>
      </c>
      <c r="N194" s="101" t="str">
        <f t="shared" si="39"/>
        <v>-3A13</v>
      </c>
      <c r="O194" s="99">
        <v>14</v>
      </c>
      <c r="P194" s="102" t="str">
        <f t="shared" si="40"/>
        <v>Q23.5</v>
      </c>
      <c r="Q194" s="101" t="str">
        <f t="shared" ref="Q194" si="41">E194&amp;K194&amp;H194&amp;K194&amp;I194</f>
        <v>2104_30_ZD¶Vibrator¶Start</v>
      </c>
    </row>
    <row r="195" spans="2:17" ht="14.25">
      <c r="B195" s="70">
        <v>47</v>
      </c>
      <c r="C195" s="70" t="s">
        <v>861</v>
      </c>
      <c r="D195" s="70"/>
      <c r="E195" s="104" t="s">
        <v>862</v>
      </c>
      <c r="F195" s="80" t="s">
        <v>863</v>
      </c>
      <c r="G195" s="87" t="s">
        <v>270</v>
      </c>
      <c r="H195" s="87" t="s">
        <v>771</v>
      </c>
      <c r="I195" s="87" t="s">
        <v>271</v>
      </c>
      <c r="J195" s="70"/>
      <c r="K195" s="101" t="s">
        <v>32</v>
      </c>
      <c r="L195" s="101" t="s">
        <v>33</v>
      </c>
      <c r="M195" s="101" t="s">
        <v>821</v>
      </c>
      <c r="N195" s="101" t="str">
        <f t="shared" si="39"/>
        <v>-3A13</v>
      </c>
      <c r="O195" s="99">
        <v>15</v>
      </c>
      <c r="P195" s="102" t="str">
        <f t="shared" si="40"/>
        <v>Q23.6</v>
      </c>
      <c r="Q195" s="101" t="str">
        <f t="shared" ref="Q195:Q200" si="42">E195&amp;K195&amp;H195&amp;K195&amp;I195</f>
        <v>2104_31_ZD¶Vibrator¶Start</v>
      </c>
    </row>
    <row r="196" spans="2:17" ht="14.25">
      <c r="B196" s="70">
        <v>48</v>
      </c>
      <c r="C196" s="70" t="s">
        <v>864</v>
      </c>
      <c r="D196" s="70"/>
      <c r="E196" s="104" t="s">
        <v>865</v>
      </c>
      <c r="F196" s="80" t="s">
        <v>866</v>
      </c>
      <c r="G196" s="87" t="s">
        <v>270</v>
      </c>
      <c r="H196" s="87" t="s">
        <v>771</v>
      </c>
      <c r="I196" s="87" t="s">
        <v>271</v>
      </c>
      <c r="J196" s="70"/>
      <c r="K196" s="101" t="s">
        <v>32</v>
      </c>
      <c r="L196" s="101" t="s">
        <v>33</v>
      </c>
      <c r="M196" s="101" t="s">
        <v>821</v>
      </c>
      <c r="N196" s="101" t="str">
        <f t="shared" si="39"/>
        <v>-3A13</v>
      </c>
      <c r="O196" s="99">
        <v>16</v>
      </c>
      <c r="P196" s="102" t="str">
        <f t="shared" si="40"/>
        <v>Q23.7</v>
      </c>
      <c r="Q196" s="101" t="str">
        <f t="shared" si="42"/>
        <v>2104_32_ZD¶Vibrator¶Start</v>
      </c>
    </row>
    <row r="197" spans="2:17" ht="14.25">
      <c r="B197" s="70">
        <v>33</v>
      </c>
      <c r="C197" s="70" t="s">
        <v>867</v>
      </c>
      <c r="D197" s="70"/>
      <c r="E197" s="104" t="s">
        <v>868</v>
      </c>
      <c r="F197" s="80" t="s">
        <v>869</v>
      </c>
      <c r="G197" s="87" t="s">
        <v>270</v>
      </c>
      <c r="H197" s="87" t="s">
        <v>771</v>
      </c>
      <c r="I197" s="87" t="s">
        <v>271</v>
      </c>
      <c r="J197" s="70"/>
      <c r="K197" s="101" t="s">
        <v>32</v>
      </c>
      <c r="L197" s="101" t="s">
        <v>33</v>
      </c>
      <c r="M197" s="101" t="s">
        <v>870</v>
      </c>
      <c r="N197" s="101" t="str">
        <f t="shared" si="39"/>
        <v>-3A14</v>
      </c>
      <c r="O197" s="99">
        <v>1</v>
      </c>
      <c r="P197" s="102" t="str">
        <f t="shared" si="40"/>
        <v>Q24.0</v>
      </c>
      <c r="Q197" s="101" t="str">
        <f t="shared" si="42"/>
        <v>2104_33_ZD¶Vibrator¶Start</v>
      </c>
    </row>
    <row r="198" spans="2:17" ht="14.25">
      <c r="B198" s="70">
        <v>34</v>
      </c>
      <c r="C198" s="70" t="s">
        <v>871</v>
      </c>
      <c r="D198" s="70"/>
      <c r="E198" s="104" t="s">
        <v>872</v>
      </c>
      <c r="F198" s="80" t="s">
        <v>873</v>
      </c>
      <c r="G198" s="87" t="s">
        <v>270</v>
      </c>
      <c r="H198" s="87" t="s">
        <v>771</v>
      </c>
      <c r="I198" s="87" t="s">
        <v>271</v>
      </c>
      <c r="J198" s="70"/>
      <c r="K198" s="101" t="s">
        <v>32</v>
      </c>
      <c r="L198" s="101" t="s">
        <v>33</v>
      </c>
      <c r="M198" s="101" t="s">
        <v>870</v>
      </c>
      <c r="N198" s="101" t="str">
        <f t="shared" si="39"/>
        <v>-3A14</v>
      </c>
      <c r="O198" s="99">
        <v>2</v>
      </c>
      <c r="P198" s="102" t="str">
        <f t="shared" si="40"/>
        <v>Q24.1</v>
      </c>
      <c r="Q198" s="101" t="str">
        <f t="shared" si="42"/>
        <v>2104_34_ZD¶Vibrator¶Start</v>
      </c>
    </row>
    <row r="199" spans="2:17" ht="14.25">
      <c r="B199" s="70">
        <v>35</v>
      </c>
      <c r="C199" s="70" t="s">
        <v>874</v>
      </c>
      <c r="D199" s="70"/>
      <c r="E199" s="104" t="s">
        <v>875</v>
      </c>
      <c r="F199" s="80" t="s">
        <v>876</v>
      </c>
      <c r="G199" s="87" t="s">
        <v>270</v>
      </c>
      <c r="H199" s="87" t="s">
        <v>771</v>
      </c>
      <c r="I199" s="87" t="s">
        <v>271</v>
      </c>
      <c r="J199" s="70"/>
      <c r="K199" s="101" t="s">
        <v>32</v>
      </c>
      <c r="L199" s="101" t="s">
        <v>33</v>
      </c>
      <c r="M199" s="101" t="s">
        <v>870</v>
      </c>
      <c r="N199" s="101" t="str">
        <f t="shared" si="39"/>
        <v>-3A14</v>
      </c>
      <c r="O199" s="99">
        <v>3</v>
      </c>
      <c r="P199" s="102" t="str">
        <f t="shared" si="40"/>
        <v>Q24.2</v>
      </c>
      <c r="Q199" s="101" t="str">
        <f t="shared" si="42"/>
        <v>2104_35_ZD¶Vibrator¶Start</v>
      </c>
    </row>
    <row r="200" spans="2:17" ht="14.25">
      <c r="B200" s="70">
        <v>36</v>
      </c>
      <c r="C200" s="70" t="s">
        <v>877</v>
      </c>
      <c r="D200" s="70"/>
      <c r="E200" s="104" t="s">
        <v>878</v>
      </c>
      <c r="F200" s="80" t="s">
        <v>879</v>
      </c>
      <c r="G200" s="87" t="s">
        <v>270</v>
      </c>
      <c r="H200" s="87" t="s">
        <v>771</v>
      </c>
      <c r="I200" s="87" t="s">
        <v>271</v>
      </c>
      <c r="J200" s="70"/>
      <c r="K200" s="101" t="s">
        <v>32</v>
      </c>
      <c r="L200" s="101" t="s">
        <v>33</v>
      </c>
      <c r="M200" s="101" t="s">
        <v>870</v>
      </c>
      <c r="N200" s="101" t="str">
        <f t="shared" si="39"/>
        <v>-3A14</v>
      </c>
      <c r="O200" s="99">
        <v>4</v>
      </c>
      <c r="P200" s="102" t="str">
        <f t="shared" si="40"/>
        <v>Q24.3</v>
      </c>
      <c r="Q200" s="101" t="str">
        <f t="shared" si="42"/>
        <v>2104_36_ZD¶Vibrator¶Start</v>
      </c>
    </row>
    <row r="201" spans="2:17" ht="14.25">
      <c r="B201" s="70">
        <v>37</v>
      </c>
      <c r="C201" s="70" t="s">
        <v>880</v>
      </c>
      <c r="D201" s="70"/>
      <c r="E201" s="85"/>
      <c r="F201" s="67"/>
      <c r="G201" s="65"/>
      <c r="H201" s="70"/>
      <c r="I201" s="65"/>
      <c r="J201" s="70"/>
      <c r="K201" s="101" t="s">
        <v>32</v>
      </c>
      <c r="L201" s="101" t="s">
        <v>33</v>
      </c>
      <c r="M201" s="101" t="s">
        <v>870</v>
      </c>
      <c r="N201" s="101" t="str">
        <f t="shared" si="39"/>
        <v>-3A14</v>
      </c>
      <c r="O201" s="99">
        <v>5</v>
      </c>
      <c r="P201" s="102" t="str">
        <f t="shared" si="40"/>
        <v>Q24.4</v>
      </c>
      <c r="Q201" s="101" t="e">
        <f>E201&amp;K201&amp;H201&amp;K201&amp;#REF!</f>
        <v>#REF!</v>
      </c>
    </row>
    <row r="202" spans="2:17" ht="14.25">
      <c r="B202" s="70">
        <v>38</v>
      </c>
      <c r="C202" s="70" t="s">
        <v>881</v>
      </c>
      <c r="D202" s="70"/>
      <c r="E202" s="85"/>
      <c r="F202" s="67"/>
      <c r="G202" s="65"/>
      <c r="H202" s="70"/>
      <c r="I202" s="65"/>
      <c r="J202" s="70"/>
      <c r="K202" s="101" t="s">
        <v>32</v>
      </c>
      <c r="L202" s="101" t="s">
        <v>33</v>
      </c>
      <c r="M202" s="101" t="s">
        <v>870</v>
      </c>
      <c r="N202" s="101" t="str">
        <f t="shared" si="39"/>
        <v>-3A14</v>
      </c>
      <c r="O202" s="99">
        <v>6</v>
      </c>
      <c r="P202" s="102" t="str">
        <f t="shared" si="40"/>
        <v>Q24.5</v>
      </c>
      <c r="Q202" s="101" t="e">
        <f>E202&amp;K202&amp;H202&amp;K202&amp;#REF!</f>
        <v>#REF!</v>
      </c>
    </row>
    <row r="203" spans="2:17" ht="14.25">
      <c r="B203" s="70">
        <v>39</v>
      </c>
      <c r="C203" s="70" t="s">
        <v>882</v>
      </c>
      <c r="D203" s="70"/>
      <c r="E203" s="85"/>
      <c r="F203" s="67"/>
      <c r="G203" s="65"/>
      <c r="H203" s="70"/>
      <c r="I203" s="65"/>
      <c r="J203" s="70"/>
      <c r="K203" s="101" t="s">
        <v>32</v>
      </c>
      <c r="L203" s="101" t="s">
        <v>33</v>
      </c>
      <c r="M203" s="101" t="s">
        <v>870</v>
      </c>
      <c r="N203" s="101" t="str">
        <f t="shared" si="39"/>
        <v>-3A14</v>
      </c>
      <c r="O203" s="99">
        <v>7</v>
      </c>
      <c r="P203" s="102" t="str">
        <f t="shared" si="40"/>
        <v>Q24.6</v>
      </c>
      <c r="Q203" s="101" t="e">
        <f>E203&amp;K203&amp;H203&amp;K203&amp;#REF!</f>
        <v>#REF!</v>
      </c>
    </row>
    <row r="204" spans="2:17" ht="14.25">
      <c r="B204" s="70">
        <v>40</v>
      </c>
      <c r="C204" s="70" t="s">
        <v>883</v>
      </c>
      <c r="D204" s="70"/>
      <c r="E204" s="85"/>
      <c r="F204" s="67"/>
      <c r="G204" s="65"/>
      <c r="H204" s="70"/>
      <c r="I204" s="65"/>
      <c r="J204" s="70"/>
      <c r="K204" s="101" t="s">
        <v>32</v>
      </c>
      <c r="L204" s="101" t="s">
        <v>33</v>
      </c>
      <c r="M204" s="101" t="s">
        <v>870</v>
      </c>
      <c r="N204" s="101" t="str">
        <f t="shared" si="39"/>
        <v>-3A14</v>
      </c>
      <c r="O204" s="99">
        <v>8</v>
      </c>
      <c r="P204" s="102" t="str">
        <f t="shared" si="40"/>
        <v>Q24.7</v>
      </c>
      <c r="Q204" s="101" t="e">
        <f>E204&amp;K204&amp;H204&amp;K204&amp;#REF!</f>
        <v>#REF!</v>
      </c>
    </row>
    <row r="205" spans="2:17" ht="14.25">
      <c r="B205" s="70">
        <v>41</v>
      </c>
      <c r="C205" s="70" t="s">
        <v>884</v>
      </c>
      <c r="D205" s="70"/>
      <c r="E205" s="85"/>
      <c r="F205" s="67"/>
      <c r="G205" s="65"/>
      <c r="H205" s="70"/>
      <c r="I205" s="65"/>
      <c r="J205" s="70"/>
      <c r="K205" s="101" t="s">
        <v>32</v>
      </c>
      <c r="L205" s="101" t="s">
        <v>33</v>
      </c>
      <c r="M205" s="101" t="s">
        <v>870</v>
      </c>
      <c r="N205" s="101" t="str">
        <f t="shared" si="39"/>
        <v>-3A14</v>
      </c>
      <c r="O205" s="99">
        <v>9</v>
      </c>
      <c r="P205" s="102" t="str">
        <f t="shared" si="40"/>
        <v>Q25.0</v>
      </c>
      <c r="Q205" s="101" t="e">
        <f>E205&amp;K205&amp;H205&amp;K205&amp;#REF!</f>
        <v>#REF!</v>
      </c>
    </row>
    <row r="206" spans="2:17" ht="14.25">
      <c r="B206" s="70">
        <v>42</v>
      </c>
      <c r="C206" s="70" t="s">
        <v>885</v>
      </c>
      <c r="D206" s="70"/>
      <c r="E206" s="85"/>
      <c r="F206" s="67"/>
      <c r="G206" s="65"/>
      <c r="H206" s="70"/>
      <c r="I206" s="65"/>
      <c r="J206" s="70"/>
      <c r="K206" s="101" t="s">
        <v>32</v>
      </c>
      <c r="L206" s="101" t="s">
        <v>33</v>
      </c>
      <c r="M206" s="101" t="s">
        <v>870</v>
      </c>
      <c r="N206" s="101" t="str">
        <f t="shared" si="39"/>
        <v>-3A14</v>
      </c>
      <c r="O206" s="99">
        <v>10</v>
      </c>
      <c r="P206" s="102" t="str">
        <f t="shared" si="40"/>
        <v>Q25.1</v>
      </c>
      <c r="Q206" s="101" t="e">
        <f>E206&amp;K206&amp;H206&amp;K206&amp;#REF!</f>
        <v>#REF!</v>
      </c>
    </row>
    <row r="207" spans="2:17" ht="14.25">
      <c r="B207" s="70">
        <v>43</v>
      </c>
      <c r="C207" s="70" t="s">
        <v>886</v>
      </c>
      <c r="D207" s="70"/>
      <c r="E207" s="85"/>
      <c r="F207" s="67"/>
      <c r="G207" s="65"/>
      <c r="H207" s="70"/>
      <c r="I207" s="65"/>
      <c r="J207" s="70"/>
      <c r="K207" s="101" t="s">
        <v>32</v>
      </c>
      <c r="L207" s="101" t="s">
        <v>33</v>
      </c>
      <c r="M207" s="101" t="s">
        <v>870</v>
      </c>
      <c r="N207" s="101" t="str">
        <f t="shared" si="39"/>
        <v>-3A14</v>
      </c>
      <c r="O207" s="99">
        <v>11</v>
      </c>
      <c r="P207" s="102" t="str">
        <f t="shared" si="40"/>
        <v>Q25.2</v>
      </c>
      <c r="Q207" s="101" t="e">
        <f>E207&amp;K207&amp;H207&amp;K207&amp;#REF!</f>
        <v>#REF!</v>
      </c>
    </row>
    <row r="208" spans="2:17" ht="14.25">
      <c r="B208" s="70">
        <v>44</v>
      </c>
      <c r="C208" s="70" t="s">
        <v>887</v>
      </c>
      <c r="D208" s="70"/>
      <c r="E208" s="85"/>
      <c r="F208" s="67"/>
      <c r="G208" s="65"/>
      <c r="H208" s="70"/>
      <c r="I208" s="65"/>
      <c r="J208" s="70"/>
      <c r="K208" s="101" t="s">
        <v>32</v>
      </c>
      <c r="L208" s="101" t="s">
        <v>33</v>
      </c>
      <c r="M208" s="101" t="s">
        <v>870</v>
      </c>
      <c r="N208" s="101" t="str">
        <f t="shared" si="39"/>
        <v>-3A14</v>
      </c>
      <c r="O208" s="99">
        <v>12</v>
      </c>
      <c r="P208" s="102" t="str">
        <f t="shared" si="40"/>
        <v>Q25.3</v>
      </c>
      <c r="Q208" s="101" t="e">
        <f>E208&amp;K208&amp;H208&amp;K208&amp;#REF!</f>
        <v>#REF!</v>
      </c>
    </row>
    <row r="209" spans="2:17" ht="14.25">
      <c r="B209" s="70">
        <v>45</v>
      </c>
      <c r="C209" s="70" t="s">
        <v>888</v>
      </c>
      <c r="D209" s="70"/>
      <c r="E209" s="85"/>
      <c r="F209" s="67"/>
      <c r="G209" s="65"/>
      <c r="H209" s="70"/>
      <c r="I209" s="65"/>
      <c r="J209" s="70"/>
      <c r="K209" s="101" t="s">
        <v>32</v>
      </c>
      <c r="L209" s="101" t="s">
        <v>33</v>
      </c>
      <c r="M209" s="101" t="s">
        <v>870</v>
      </c>
      <c r="N209" s="101" t="str">
        <f t="shared" si="39"/>
        <v>-3A14</v>
      </c>
      <c r="O209" s="99">
        <v>13</v>
      </c>
      <c r="P209" s="102" t="str">
        <f t="shared" si="40"/>
        <v>Q25.4</v>
      </c>
      <c r="Q209" s="101" t="e">
        <f>E209&amp;K209&amp;H209&amp;K209&amp;#REF!</f>
        <v>#REF!</v>
      </c>
    </row>
    <row r="210" spans="2:17" ht="14.25">
      <c r="B210" s="70">
        <v>46</v>
      </c>
      <c r="C210" s="70" t="s">
        <v>889</v>
      </c>
      <c r="D210" s="70"/>
      <c r="E210" s="67"/>
      <c r="F210" s="67"/>
      <c r="G210" s="65"/>
      <c r="H210" s="67"/>
      <c r="I210" s="65"/>
      <c r="J210" s="70"/>
      <c r="K210" s="101" t="s">
        <v>32</v>
      </c>
      <c r="L210" s="101" t="s">
        <v>33</v>
      </c>
      <c r="M210" s="101" t="s">
        <v>870</v>
      </c>
      <c r="N210" s="101" t="str">
        <f t="shared" si="39"/>
        <v>-3A14</v>
      </c>
      <c r="O210" s="99">
        <v>14</v>
      </c>
      <c r="P210" s="102" t="str">
        <f t="shared" si="40"/>
        <v>Q25.5</v>
      </c>
      <c r="Q210" s="101" t="e">
        <f>E210&amp;K210&amp;H210&amp;K210&amp;#REF!</f>
        <v>#REF!</v>
      </c>
    </row>
    <row r="211" spans="2:17" ht="14.25">
      <c r="B211" s="70">
        <v>47</v>
      </c>
      <c r="C211" s="70" t="s">
        <v>890</v>
      </c>
      <c r="D211" s="70"/>
      <c r="E211" s="67"/>
      <c r="F211" s="67"/>
      <c r="G211" s="65"/>
      <c r="H211" s="67"/>
      <c r="I211" s="65"/>
      <c r="J211" s="70"/>
      <c r="K211" s="101" t="s">
        <v>32</v>
      </c>
      <c r="L211" s="101" t="s">
        <v>33</v>
      </c>
      <c r="M211" s="101" t="s">
        <v>870</v>
      </c>
      <c r="N211" s="101" t="str">
        <f t="shared" si="39"/>
        <v>-3A14</v>
      </c>
      <c r="O211" s="99">
        <v>15</v>
      </c>
      <c r="P211" s="102" t="str">
        <f t="shared" si="40"/>
        <v>Q25.6</v>
      </c>
      <c r="Q211" s="101" t="e">
        <f>E211&amp;K211&amp;H211&amp;K211&amp;#REF!</f>
        <v>#REF!</v>
      </c>
    </row>
    <row r="212" spans="2:17" ht="14.25">
      <c r="B212" s="70">
        <v>48</v>
      </c>
      <c r="C212" s="70" t="s">
        <v>891</v>
      </c>
      <c r="D212" s="70"/>
      <c r="E212" s="67"/>
      <c r="F212" s="67"/>
      <c r="G212" s="65"/>
      <c r="H212" s="67"/>
      <c r="I212" s="65"/>
      <c r="J212" s="70"/>
      <c r="K212" s="101" t="s">
        <v>32</v>
      </c>
      <c r="L212" s="101" t="s">
        <v>33</v>
      </c>
      <c r="M212" s="101" t="s">
        <v>870</v>
      </c>
      <c r="N212" s="101" t="str">
        <f t="shared" si="39"/>
        <v>-3A14</v>
      </c>
      <c r="O212" s="99">
        <v>16</v>
      </c>
      <c r="P212" s="102" t="str">
        <f t="shared" si="40"/>
        <v>Q25.7</v>
      </c>
      <c r="Q212" s="101" t="e">
        <f>E212&amp;K212&amp;H212&amp;K212&amp;#REF!</f>
        <v>#REF!</v>
      </c>
    </row>
  </sheetData>
  <phoneticPr fontId="6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Q260"/>
  <sheetViews>
    <sheetView tabSelected="1" topLeftCell="A210" zoomScale="98" zoomScaleNormal="98" workbookViewId="0">
      <selection activeCell="F249" sqref="F249"/>
    </sheetView>
  </sheetViews>
  <sheetFormatPr defaultColWidth="9" defaultRowHeight="12"/>
  <cols>
    <col min="1" max="1" width="3.375" style="62" customWidth="1"/>
    <col min="2" max="2" width="5" style="62" customWidth="1"/>
    <col min="3" max="4" width="8.75" style="62" customWidth="1"/>
    <col min="5" max="5" width="13.625" style="63" customWidth="1"/>
    <col min="6" max="6" width="21" style="63" customWidth="1"/>
    <col min="7" max="7" width="14.125" style="63" customWidth="1"/>
    <col min="8" max="8" width="23.375" style="63" customWidth="1"/>
    <col min="9" max="9" width="24" style="63" customWidth="1"/>
    <col min="10" max="10" width="12.125" style="62" customWidth="1"/>
    <col min="11" max="12" width="2.625" style="62" customWidth="1"/>
    <col min="13" max="13" width="7.5" style="62" customWidth="1"/>
    <col min="14" max="14" width="6.625" style="62" customWidth="1"/>
    <col min="15" max="15" width="3.75" style="62" customWidth="1"/>
    <col min="16" max="16" width="6.625" style="62" customWidth="1"/>
    <col min="17" max="17" width="20.875" style="62" customWidth="1"/>
    <col min="18" max="20" width="9" style="62" customWidth="1"/>
    <col min="21" max="16384" width="9" style="62"/>
  </cols>
  <sheetData>
    <row r="1" spans="2:17">
      <c r="B1" s="64" t="s">
        <v>18</v>
      </c>
    </row>
    <row r="2" spans="2:17">
      <c r="B2" s="64" t="s">
        <v>19</v>
      </c>
      <c r="C2" s="64" t="s">
        <v>20</v>
      </c>
      <c r="D2" s="64" t="s">
        <v>21</v>
      </c>
      <c r="E2" s="64" t="s">
        <v>22</v>
      </c>
      <c r="F2" s="64" t="s">
        <v>23</v>
      </c>
      <c r="G2" s="64" t="s">
        <v>24</v>
      </c>
      <c r="H2" s="64" t="s">
        <v>23</v>
      </c>
      <c r="I2" s="64" t="s">
        <v>24</v>
      </c>
      <c r="J2" s="64" t="s">
        <v>25</v>
      </c>
    </row>
    <row r="3" spans="2:17" ht="14.25">
      <c r="B3" s="65">
        <v>1</v>
      </c>
      <c r="C3" s="65" t="s">
        <v>892</v>
      </c>
      <c r="D3" s="65"/>
      <c r="E3" s="66"/>
      <c r="F3" s="67" t="s">
        <v>893</v>
      </c>
      <c r="G3" s="65"/>
      <c r="H3" s="65" t="s">
        <v>894</v>
      </c>
      <c r="I3" s="65"/>
      <c r="J3" s="70"/>
      <c r="K3" s="71" t="s">
        <v>32</v>
      </c>
      <c r="L3" s="71" t="s">
        <v>33</v>
      </c>
      <c r="M3" s="71" t="s">
        <v>895</v>
      </c>
      <c r="N3" s="71" t="str">
        <f>L3&amp;M3</f>
        <v>-4A2</v>
      </c>
      <c r="O3" s="63">
        <v>1</v>
      </c>
      <c r="P3" s="72" t="str">
        <f t="shared" ref="P3" si="0">C3</f>
        <v>I26.0</v>
      </c>
      <c r="Q3" s="71" t="str">
        <f>E3&amp;K3&amp;H3&amp;K3&amp;I3</f>
        <v>¶Control power¶</v>
      </c>
    </row>
    <row r="4" spans="2:17" ht="14.25">
      <c r="B4" s="65">
        <v>2</v>
      </c>
      <c r="C4" s="65" t="s">
        <v>896</v>
      </c>
      <c r="D4" s="65"/>
      <c r="E4" s="67" t="s">
        <v>897</v>
      </c>
      <c r="F4" s="67" t="s">
        <v>898</v>
      </c>
      <c r="G4" s="65" t="s">
        <v>899</v>
      </c>
      <c r="H4" s="65" t="s">
        <v>900</v>
      </c>
      <c r="I4" s="65" t="s">
        <v>901</v>
      </c>
      <c r="J4" s="70"/>
      <c r="K4" s="71" t="s">
        <v>32</v>
      </c>
      <c r="L4" s="71" t="s">
        <v>33</v>
      </c>
      <c r="M4" s="71" t="s">
        <v>895</v>
      </c>
      <c r="N4" s="71" t="str">
        <f t="shared" ref="N4" si="1">L4&amp;M4</f>
        <v>-4A2</v>
      </c>
      <c r="O4" s="63">
        <v>2</v>
      </c>
      <c r="P4" s="72" t="str">
        <f t="shared" ref="P4:P35" si="2">C4</f>
        <v>I26.1</v>
      </c>
      <c r="Q4" s="71" t="str">
        <f t="shared" ref="Q4" si="3">E4&amp;K4&amp;H4&amp;K4&amp;I4</f>
        <v>Y2015¶2-Way pneumatic¶Left</v>
      </c>
    </row>
    <row r="5" spans="2:17" ht="14.25">
      <c r="B5" s="65">
        <v>3</v>
      </c>
      <c r="C5" s="65" t="s">
        <v>902</v>
      </c>
      <c r="D5" s="65"/>
      <c r="E5" s="67" t="s">
        <v>897</v>
      </c>
      <c r="F5" s="67" t="s">
        <v>898</v>
      </c>
      <c r="G5" s="65" t="s">
        <v>903</v>
      </c>
      <c r="H5" s="65" t="s">
        <v>900</v>
      </c>
      <c r="I5" s="65" t="s">
        <v>904</v>
      </c>
      <c r="J5" s="70"/>
      <c r="K5" s="71" t="s">
        <v>32</v>
      </c>
      <c r="L5" s="71" t="s">
        <v>33</v>
      </c>
      <c r="M5" s="71" t="s">
        <v>895</v>
      </c>
      <c r="N5" s="71" t="str">
        <f t="shared" ref="N5:N36" si="4">L5&amp;M5</f>
        <v>-4A2</v>
      </c>
      <c r="O5" s="63">
        <v>3</v>
      </c>
      <c r="P5" s="72" t="str">
        <f t="shared" si="2"/>
        <v>I26.2</v>
      </c>
      <c r="Q5" s="71" t="str">
        <f>E5&amp;K5&amp;H5&amp;K5&amp;I5</f>
        <v>Y2015¶2-Way pneumatic¶Right</v>
      </c>
    </row>
    <row r="6" spans="2:17" ht="14.25">
      <c r="B6" s="65">
        <v>4</v>
      </c>
      <c r="C6" s="65" t="s">
        <v>905</v>
      </c>
      <c r="D6" s="65"/>
      <c r="E6" s="67" t="s">
        <v>906</v>
      </c>
      <c r="F6" s="67" t="s">
        <v>898</v>
      </c>
      <c r="G6" s="65" t="s">
        <v>899</v>
      </c>
      <c r="H6" s="65" t="s">
        <v>900</v>
      </c>
      <c r="I6" s="65" t="s">
        <v>901</v>
      </c>
      <c r="J6" s="70"/>
      <c r="K6" s="71" t="s">
        <v>32</v>
      </c>
      <c r="L6" s="71" t="s">
        <v>33</v>
      </c>
      <c r="M6" s="71" t="s">
        <v>895</v>
      </c>
      <c r="N6" s="71" t="str">
        <f t="shared" si="4"/>
        <v>-4A2</v>
      </c>
      <c r="O6" s="63">
        <v>4</v>
      </c>
      <c r="P6" s="72" t="str">
        <f t="shared" si="2"/>
        <v>I26.3</v>
      </c>
      <c r="Q6" s="71" t="str">
        <f>E6&amp;K6&amp;H6&amp;K6&amp;I6</f>
        <v>Y3013¶2-Way pneumatic¶Left</v>
      </c>
    </row>
    <row r="7" spans="2:17" ht="14.25">
      <c r="B7" s="65">
        <v>5</v>
      </c>
      <c r="C7" s="65" t="s">
        <v>907</v>
      </c>
      <c r="D7" s="65"/>
      <c r="E7" s="67" t="s">
        <v>906</v>
      </c>
      <c r="F7" s="67" t="s">
        <v>898</v>
      </c>
      <c r="G7" s="65" t="s">
        <v>903</v>
      </c>
      <c r="H7" s="65" t="s">
        <v>900</v>
      </c>
      <c r="I7" s="65" t="s">
        <v>904</v>
      </c>
      <c r="J7" s="70"/>
      <c r="K7" s="71" t="s">
        <v>32</v>
      </c>
      <c r="L7" s="71" t="s">
        <v>33</v>
      </c>
      <c r="M7" s="71" t="s">
        <v>895</v>
      </c>
      <c r="N7" s="71" t="str">
        <f t="shared" si="4"/>
        <v>-4A2</v>
      </c>
      <c r="O7" s="63">
        <v>5</v>
      </c>
      <c r="P7" s="72" t="str">
        <f t="shared" si="2"/>
        <v>I26.4</v>
      </c>
      <c r="Q7" s="71" t="str">
        <f>E7&amp;K7&amp;H7&amp;K7&amp;I7</f>
        <v>Y3013¶2-Way pneumatic¶Right</v>
      </c>
    </row>
    <row r="8" spans="2:17" ht="14.25">
      <c r="B8" s="65">
        <v>6</v>
      </c>
      <c r="C8" s="65" t="s">
        <v>908</v>
      </c>
      <c r="D8" s="65"/>
      <c r="E8" s="67" t="s">
        <v>909</v>
      </c>
      <c r="F8" s="67" t="s">
        <v>898</v>
      </c>
      <c r="G8" s="65" t="s">
        <v>899</v>
      </c>
      <c r="H8" s="65" t="s">
        <v>900</v>
      </c>
      <c r="I8" s="65" t="s">
        <v>901</v>
      </c>
      <c r="J8" s="70"/>
      <c r="K8" s="71" t="s">
        <v>32</v>
      </c>
      <c r="L8" s="71" t="s">
        <v>33</v>
      </c>
      <c r="M8" s="71" t="s">
        <v>895</v>
      </c>
      <c r="N8" s="71" t="str">
        <f t="shared" si="4"/>
        <v>-4A2</v>
      </c>
      <c r="O8" s="63">
        <v>6</v>
      </c>
      <c r="P8" s="72" t="str">
        <f t="shared" si="2"/>
        <v>I26.5</v>
      </c>
      <c r="Q8" s="71" t="str">
        <f>E8&amp;K8&amp;H8&amp;K8&amp;I8</f>
        <v>Y3107¶2-Way pneumatic¶Left</v>
      </c>
    </row>
    <row r="9" spans="2:17" ht="14.25">
      <c r="B9" s="65">
        <v>7</v>
      </c>
      <c r="C9" s="65" t="s">
        <v>910</v>
      </c>
      <c r="D9" s="65"/>
      <c r="E9" s="67" t="s">
        <v>909</v>
      </c>
      <c r="F9" s="67" t="s">
        <v>898</v>
      </c>
      <c r="G9" s="65" t="s">
        <v>903</v>
      </c>
      <c r="H9" s="65" t="s">
        <v>900</v>
      </c>
      <c r="I9" s="65" t="s">
        <v>904</v>
      </c>
      <c r="J9" s="70"/>
      <c r="K9" s="71" t="s">
        <v>32</v>
      </c>
      <c r="L9" s="71" t="s">
        <v>33</v>
      </c>
      <c r="M9" s="71" t="s">
        <v>895</v>
      </c>
      <c r="N9" s="71" t="str">
        <f t="shared" si="4"/>
        <v>-4A2</v>
      </c>
      <c r="O9" s="63">
        <v>7</v>
      </c>
      <c r="P9" s="72" t="str">
        <f t="shared" si="2"/>
        <v>I26.6</v>
      </c>
      <c r="Q9" s="71" t="str">
        <f>E9&amp;K9&amp;H9&amp;K9&amp;I11</f>
        <v>Y3107¶2-Way pneumatic¶Closed</v>
      </c>
    </row>
    <row r="10" spans="2:17" ht="14.25">
      <c r="B10" s="65">
        <v>8</v>
      </c>
      <c r="C10" s="65" t="s">
        <v>911</v>
      </c>
      <c r="D10" s="65"/>
      <c r="E10" s="67" t="s">
        <v>912</v>
      </c>
      <c r="F10" s="67" t="s">
        <v>913</v>
      </c>
      <c r="G10" s="67" t="s">
        <v>81</v>
      </c>
      <c r="H10" s="67" t="s">
        <v>914</v>
      </c>
      <c r="I10" s="67" t="s">
        <v>83</v>
      </c>
      <c r="J10" s="70"/>
      <c r="K10" s="71" t="s">
        <v>32</v>
      </c>
      <c r="L10" s="71" t="s">
        <v>33</v>
      </c>
      <c r="M10" s="71" t="s">
        <v>895</v>
      </c>
      <c r="N10" s="71" t="str">
        <f t="shared" si="4"/>
        <v>-4A2</v>
      </c>
      <c r="O10" s="63">
        <v>8</v>
      </c>
      <c r="P10" s="72" t="str">
        <f t="shared" si="2"/>
        <v>I26.7</v>
      </c>
      <c r="Q10" s="71" t="str">
        <f>E10&amp;K10&amp;H10&amp;K10&amp;I11</f>
        <v>V2008_1¶Pneumatic Gate¶Closed</v>
      </c>
    </row>
    <row r="11" spans="2:17" ht="14.25">
      <c r="B11" s="65">
        <v>9</v>
      </c>
      <c r="C11" s="65" t="s">
        <v>915</v>
      </c>
      <c r="D11" s="65"/>
      <c r="E11" s="67" t="s">
        <v>912</v>
      </c>
      <c r="F11" s="67" t="s">
        <v>913</v>
      </c>
      <c r="G11" s="67" t="s">
        <v>84</v>
      </c>
      <c r="H11" s="67" t="s">
        <v>914</v>
      </c>
      <c r="I11" s="67" t="s">
        <v>85</v>
      </c>
      <c r="J11" s="70"/>
      <c r="K11" s="71" t="s">
        <v>32</v>
      </c>
      <c r="L11" s="71" t="s">
        <v>33</v>
      </c>
      <c r="M11" s="71" t="s">
        <v>895</v>
      </c>
      <c r="N11" s="71" t="str">
        <f t="shared" si="4"/>
        <v>-4A2</v>
      </c>
      <c r="O11" s="63">
        <v>9</v>
      </c>
      <c r="P11" s="72" t="str">
        <f t="shared" si="2"/>
        <v>I27.0</v>
      </c>
      <c r="Q11" s="71" t="str">
        <f t="shared" ref="Q11" si="5">E11&amp;K11&amp;H11&amp;K11&amp;I11</f>
        <v>V2008_1¶Pneumatic Gate¶Closed</v>
      </c>
    </row>
    <row r="12" spans="2:17" ht="14.25">
      <c r="B12" s="65">
        <v>10</v>
      </c>
      <c r="C12" s="65" t="s">
        <v>916</v>
      </c>
      <c r="D12" s="65"/>
      <c r="E12" s="67" t="s">
        <v>917</v>
      </c>
      <c r="F12" s="67" t="s">
        <v>913</v>
      </c>
      <c r="G12" s="67" t="s">
        <v>81</v>
      </c>
      <c r="H12" s="67" t="s">
        <v>914</v>
      </c>
      <c r="I12" s="67" t="s">
        <v>83</v>
      </c>
      <c r="J12" s="70"/>
      <c r="K12" s="71" t="s">
        <v>32</v>
      </c>
      <c r="L12" s="71" t="s">
        <v>33</v>
      </c>
      <c r="M12" s="71" t="s">
        <v>895</v>
      </c>
      <c r="N12" s="71" t="str">
        <f t="shared" si="4"/>
        <v>-4A2</v>
      </c>
      <c r="O12" s="63">
        <v>10</v>
      </c>
      <c r="P12" s="72" t="str">
        <f t="shared" si="2"/>
        <v>I27.1</v>
      </c>
      <c r="Q12" s="71" t="str">
        <f>E12&amp;K12&amp;H12&amp;K12&amp;I14</f>
        <v>V2008_2¶Pneumatic Gate¶Opened</v>
      </c>
    </row>
    <row r="13" spans="2:17" ht="14.25">
      <c r="B13" s="65">
        <v>11</v>
      </c>
      <c r="C13" s="65" t="s">
        <v>918</v>
      </c>
      <c r="D13" s="65"/>
      <c r="E13" s="67" t="s">
        <v>917</v>
      </c>
      <c r="F13" s="67" t="s">
        <v>913</v>
      </c>
      <c r="G13" s="67" t="s">
        <v>84</v>
      </c>
      <c r="H13" s="67" t="s">
        <v>914</v>
      </c>
      <c r="I13" s="67" t="s">
        <v>85</v>
      </c>
      <c r="J13" s="70"/>
      <c r="K13" s="71" t="s">
        <v>32</v>
      </c>
      <c r="L13" s="71" t="s">
        <v>33</v>
      </c>
      <c r="M13" s="71" t="s">
        <v>895</v>
      </c>
      <c r="N13" s="71" t="str">
        <f t="shared" si="4"/>
        <v>-4A2</v>
      </c>
      <c r="O13" s="63">
        <v>11</v>
      </c>
      <c r="P13" s="72" t="str">
        <f t="shared" si="2"/>
        <v>I27.2</v>
      </c>
      <c r="Q13" s="71" t="str">
        <f>E13&amp;K13&amp;H13&amp;K13&amp;I14</f>
        <v>V2008_2¶Pneumatic Gate¶Opened</v>
      </c>
    </row>
    <row r="14" spans="2:17" ht="14.25">
      <c r="B14" s="65">
        <v>12</v>
      </c>
      <c r="C14" s="65" t="s">
        <v>919</v>
      </c>
      <c r="D14" s="68"/>
      <c r="E14" s="67" t="s">
        <v>920</v>
      </c>
      <c r="F14" s="67" t="s">
        <v>913</v>
      </c>
      <c r="G14" s="67" t="s">
        <v>81</v>
      </c>
      <c r="H14" s="67" t="s">
        <v>914</v>
      </c>
      <c r="I14" s="67" t="s">
        <v>83</v>
      </c>
      <c r="J14" s="70"/>
      <c r="K14" s="71" t="s">
        <v>32</v>
      </c>
      <c r="L14" s="71" t="s">
        <v>33</v>
      </c>
      <c r="M14" s="71" t="s">
        <v>895</v>
      </c>
      <c r="N14" s="71" t="str">
        <f t="shared" si="4"/>
        <v>-4A2</v>
      </c>
      <c r="O14" s="63">
        <v>12</v>
      </c>
      <c r="P14" s="72" t="str">
        <f t="shared" si="2"/>
        <v>I27.3</v>
      </c>
      <c r="Q14" s="71" t="str">
        <f t="shared" ref="Q14" si="6">E14&amp;K14&amp;H14&amp;K14&amp;I14</f>
        <v>V2010¶Pneumatic Gate¶Opened</v>
      </c>
    </row>
    <row r="15" spans="2:17" ht="14.25">
      <c r="B15" s="65">
        <v>13</v>
      </c>
      <c r="C15" s="65" t="s">
        <v>921</v>
      </c>
      <c r="D15" s="68"/>
      <c r="E15" s="67" t="s">
        <v>920</v>
      </c>
      <c r="F15" s="67" t="s">
        <v>913</v>
      </c>
      <c r="G15" s="67" t="s">
        <v>84</v>
      </c>
      <c r="H15" s="67" t="s">
        <v>914</v>
      </c>
      <c r="I15" s="67" t="s">
        <v>85</v>
      </c>
      <c r="J15" s="70"/>
      <c r="K15" s="71" t="s">
        <v>32</v>
      </c>
      <c r="L15" s="71" t="s">
        <v>33</v>
      </c>
      <c r="M15" s="71" t="s">
        <v>895</v>
      </c>
      <c r="N15" s="71" t="str">
        <f t="shared" si="4"/>
        <v>-4A2</v>
      </c>
      <c r="O15" s="63">
        <v>13</v>
      </c>
      <c r="P15" s="72" t="str">
        <f t="shared" si="2"/>
        <v>I27.4</v>
      </c>
      <c r="Q15" s="71" t="str">
        <f t="shared" ref="Q15:Q35" si="7">E15&amp;K15&amp;H15&amp;K15&amp;I15</f>
        <v>V2010¶Pneumatic Gate¶Closed</v>
      </c>
    </row>
    <row r="16" spans="2:17" ht="14.25">
      <c r="B16" s="65">
        <v>14</v>
      </c>
      <c r="C16" s="65" t="s">
        <v>922</v>
      </c>
      <c r="D16" s="68"/>
      <c r="E16" s="67" t="s">
        <v>923</v>
      </c>
      <c r="F16" s="67" t="s">
        <v>913</v>
      </c>
      <c r="G16" s="67" t="s">
        <v>81</v>
      </c>
      <c r="H16" s="67" t="s">
        <v>914</v>
      </c>
      <c r="I16" s="67" t="s">
        <v>83</v>
      </c>
      <c r="J16" s="70"/>
      <c r="K16" s="71" t="s">
        <v>32</v>
      </c>
      <c r="L16" s="71" t="s">
        <v>33</v>
      </c>
      <c r="M16" s="71" t="s">
        <v>895</v>
      </c>
      <c r="N16" s="71" t="str">
        <f t="shared" si="4"/>
        <v>-4A2</v>
      </c>
      <c r="O16" s="63">
        <v>14</v>
      </c>
      <c r="P16" s="72" t="str">
        <f t="shared" si="2"/>
        <v>I27.5</v>
      </c>
      <c r="Q16" s="71" t="str">
        <f t="shared" si="7"/>
        <v>V2013¶Pneumatic Gate¶Opened</v>
      </c>
    </row>
    <row r="17" spans="2:17" ht="14.25">
      <c r="B17" s="65">
        <v>15</v>
      </c>
      <c r="C17" s="65" t="s">
        <v>924</v>
      </c>
      <c r="D17" s="68"/>
      <c r="E17" s="67" t="s">
        <v>923</v>
      </c>
      <c r="F17" s="67" t="s">
        <v>913</v>
      </c>
      <c r="G17" s="67" t="s">
        <v>84</v>
      </c>
      <c r="H17" s="67" t="s">
        <v>914</v>
      </c>
      <c r="I17" s="67" t="s">
        <v>85</v>
      </c>
      <c r="J17" s="70"/>
      <c r="K17" s="71" t="s">
        <v>32</v>
      </c>
      <c r="L17" s="71" t="s">
        <v>33</v>
      </c>
      <c r="M17" s="71" t="s">
        <v>895</v>
      </c>
      <c r="N17" s="71" t="str">
        <f t="shared" si="4"/>
        <v>-4A2</v>
      </c>
      <c r="O17" s="63">
        <v>15</v>
      </c>
      <c r="P17" s="72" t="str">
        <f t="shared" si="2"/>
        <v>I27.6</v>
      </c>
      <c r="Q17" s="71" t="str">
        <f t="shared" si="7"/>
        <v>V2013¶Pneumatic Gate¶Closed</v>
      </c>
    </row>
    <row r="18" spans="2:17" ht="14.25">
      <c r="B18" s="65">
        <v>16</v>
      </c>
      <c r="C18" s="65" t="s">
        <v>925</v>
      </c>
      <c r="D18" s="65"/>
      <c r="E18" s="67" t="s">
        <v>926</v>
      </c>
      <c r="F18" s="67" t="s">
        <v>913</v>
      </c>
      <c r="G18" s="67" t="s">
        <v>81</v>
      </c>
      <c r="H18" s="67" t="s">
        <v>914</v>
      </c>
      <c r="I18" s="67" t="s">
        <v>83</v>
      </c>
      <c r="J18" s="70"/>
      <c r="K18" s="71" t="s">
        <v>32</v>
      </c>
      <c r="L18" s="71" t="s">
        <v>33</v>
      </c>
      <c r="M18" s="71" t="s">
        <v>895</v>
      </c>
      <c r="N18" s="71" t="str">
        <f t="shared" si="4"/>
        <v>-4A2</v>
      </c>
      <c r="O18" s="63">
        <v>16</v>
      </c>
      <c r="P18" s="72" t="str">
        <f t="shared" si="2"/>
        <v>I27.7</v>
      </c>
      <c r="Q18" s="71" t="str">
        <f t="shared" si="7"/>
        <v>V2014¶Pneumatic Gate¶Opened</v>
      </c>
    </row>
    <row r="19" spans="2:17" ht="14.25">
      <c r="B19" s="65">
        <v>17</v>
      </c>
      <c r="C19" s="65" t="s">
        <v>927</v>
      </c>
      <c r="D19" s="65"/>
      <c r="E19" s="67" t="s">
        <v>926</v>
      </c>
      <c r="F19" s="67" t="s">
        <v>913</v>
      </c>
      <c r="G19" s="67" t="s">
        <v>84</v>
      </c>
      <c r="H19" s="67" t="s">
        <v>914</v>
      </c>
      <c r="I19" s="67" t="s">
        <v>85</v>
      </c>
      <c r="J19" s="70"/>
      <c r="K19" s="71" t="s">
        <v>32</v>
      </c>
      <c r="L19" s="71" t="s">
        <v>33</v>
      </c>
      <c r="M19" s="71" t="s">
        <v>928</v>
      </c>
      <c r="N19" s="71" t="str">
        <f t="shared" si="4"/>
        <v>-4A3</v>
      </c>
      <c r="O19" s="63">
        <v>1</v>
      </c>
      <c r="P19" s="72" t="str">
        <f t="shared" si="2"/>
        <v>I28.0</v>
      </c>
      <c r="Q19" s="71" t="str">
        <f t="shared" si="7"/>
        <v>V2014¶Pneumatic Gate¶Closed</v>
      </c>
    </row>
    <row r="20" spans="2:17" ht="14.25">
      <c r="B20" s="65">
        <v>18</v>
      </c>
      <c r="C20" s="65" t="s">
        <v>929</v>
      </c>
      <c r="D20" s="65"/>
      <c r="E20" s="67" t="s">
        <v>930</v>
      </c>
      <c r="F20" s="67" t="s">
        <v>913</v>
      </c>
      <c r="G20" s="67" t="s">
        <v>81</v>
      </c>
      <c r="H20" s="67" t="s">
        <v>914</v>
      </c>
      <c r="I20" s="67" t="s">
        <v>83</v>
      </c>
      <c r="J20" s="70"/>
      <c r="K20" s="71" t="s">
        <v>32</v>
      </c>
      <c r="L20" s="71" t="s">
        <v>33</v>
      </c>
      <c r="M20" s="71" t="s">
        <v>928</v>
      </c>
      <c r="N20" s="71" t="str">
        <f t="shared" si="4"/>
        <v>-4A3</v>
      </c>
      <c r="O20" s="63">
        <v>2</v>
      </c>
      <c r="P20" s="72" t="str">
        <f t="shared" si="2"/>
        <v>I28.1</v>
      </c>
      <c r="Q20" s="71" t="str">
        <f t="shared" si="7"/>
        <v>V2027¶Pneumatic Gate¶Opened</v>
      </c>
    </row>
    <row r="21" spans="2:17" ht="14.25">
      <c r="B21" s="65">
        <v>19</v>
      </c>
      <c r="C21" s="65" t="s">
        <v>931</v>
      </c>
      <c r="D21" s="65"/>
      <c r="E21" s="67" t="s">
        <v>930</v>
      </c>
      <c r="F21" s="67" t="s">
        <v>913</v>
      </c>
      <c r="G21" s="67" t="s">
        <v>84</v>
      </c>
      <c r="H21" s="67" t="s">
        <v>914</v>
      </c>
      <c r="I21" s="67" t="s">
        <v>85</v>
      </c>
      <c r="J21" s="70"/>
      <c r="K21" s="71" t="s">
        <v>32</v>
      </c>
      <c r="L21" s="71" t="s">
        <v>33</v>
      </c>
      <c r="M21" s="71" t="s">
        <v>928</v>
      </c>
      <c r="N21" s="71" t="str">
        <f t="shared" si="4"/>
        <v>-4A3</v>
      </c>
      <c r="O21" s="63">
        <v>3</v>
      </c>
      <c r="P21" s="72" t="str">
        <f t="shared" si="2"/>
        <v>I28.2</v>
      </c>
      <c r="Q21" s="71" t="str">
        <f t="shared" si="7"/>
        <v>V2027¶Pneumatic Gate¶Closed</v>
      </c>
    </row>
    <row r="22" spans="2:17" ht="14.25">
      <c r="B22" s="65">
        <v>20</v>
      </c>
      <c r="C22" s="65" t="s">
        <v>932</v>
      </c>
      <c r="D22" s="68"/>
      <c r="E22" s="67" t="s">
        <v>933</v>
      </c>
      <c r="F22" s="67" t="s">
        <v>913</v>
      </c>
      <c r="G22" s="67" t="s">
        <v>81</v>
      </c>
      <c r="H22" s="67" t="s">
        <v>914</v>
      </c>
      <c r="I22" s="67" t="s">
        <v>83</v>
      </c>
      <c r="J22" s="70"/>
      <c r="K22" s="71" t="s">
        <v>32</v>
      </c>
      <c r="L22" s="71" t="s">
        <v>33</v>
      </c>
      <c r="M22" s="71" t="s">
        <v>928</v>
      </c>
      <c r="N22" s="71" t="str">
        <f t="shared" si="4"/>
        <v>-4A3</v>
      </c>
      <c r="O22" s="63">
        <v>4</v>
      </c>
      <c r="P22" s="72" t="str">
        <f t="shared" si="2"/>
        <v>I28.3</v>
      </c>
      <c r="Q22" s="71" t="str">
        <f t="shared" si="7"/>
        <v>V2104_1¶Pneumatic Gate¶Opened</v>
      </c>
    </row>
    <row r="23" spans="2:17" ht="14.25">
      <c r="B23" s="65">
        <v>21</v>
      </c>
      <c r="C23" s="65" t="s">
        <v>934</v>
      </c>
      <c r="D23" s="68"/>
      <c r="E23" s="67" t="s">
        <v>933</v>
      </c>
      <c r="F23" s="67" t="s">
        <v>913</v>
      </c>
      <c r="G23" s="67" t="s">
        <v>84</v>
      </c>
      <c r="H23" s="67" t="s">
        <v>914</v>
      </c>
      <c r="I23" s="67" t="s">
        <v>85</v>
      </c>
      <c r="J23" s="70"/>
      <c r="K23" s="71" t="s">
        <v>32</v>
      </c>
      <c r="L23" s="71" t="s">
        <v>33</v>
      </c>
      <c r="M23" s="71" t="s">
        <v>928</v>
      </c>
      <c r="N23" s="71" t="str">
        <f t="shared" si="4"/>
        <v>-4A3</v>
      </c>
      <c r="O23" s="63">
        <v>5</v>
      </c>
      <c r="P23" s="72" t="str">
        <f t="shared" si="2"/>
        <v>I28.4</v>
      </c>
      <c r="Q23" s="71" t="str">
        <f t="shared" si="7"/>
        <v>V2104_1¶Pneumatic Gate¶Closed</v>
      </c>
    </row>
    <row r="24" spans="2:17" ht="14.25">
      <c r="B24" s="65">
        <v>22</v>
      </c>
      <c r="C24" s="65" t="s">
        <v>935</v>
      </c>
      <c r="D24" s="68"/>
      <c r="E24" s="67" t="s">
        <v>936</v>
      </c>
      <c r="F24" s="67" t="s">
        <v>913</v>
      </c>
      <c r="G24" s="67" t="s">
        <v>81</v>
      </c>
      <c r="H24" s="67" t="s">
        <v>914</v>
      </c>
      <c r="I24" s="67" t="s">
        <v>83</v>
      </c>
      <c r="J24" s="70"/>
      <c r="K24" s="71" t="s">
        <v>32</v>
      </c>
      <c r="L24" s="71" t="s">
        <v>33</v>
      </c>
      <c r="M24" s="71" t="s">
        <v>928</v>
      </c>
      <c r="N24" s="71" t="str">
        <f t="shared" si="4"/>
        <v>-4A3</v>
      </c>
      <c r="O24" s="63">
        <v>6</v>
      </c>
      <c r="P24" s="72" t="str">
        <f t="shared" si="2"/>
        <v>I28.5</v>
      </c>
      <c r="Q24" s="71" t="str">
        <f t="shared" si="7"/>
        <v>V2104_2¶Pneumatic Gate¶Opened</v>
      </c>
    </row>
    <row r="25" spans="2:17" ht="14.25">
      <c r="B25" s="65">
        <v>23</v>
      </c>
      <c r="C25" s="65" t="s">
        <v>937</v>
      </c>
      <c r="D25" s="68"/>
      <c r="E25" s="67" t="s">
        <v>936</v>
      </c>
      <c r="F25" s="67" t="s">
        <v>913</v>
      </c>
      <c r="G25" s="67" t="s">
        <v>84</v>
      </c>
      <c r="H25" s="67" t="s">
        <v>914</v>
      </c>
      <c r="I25" s="67" t="s">
        <v>85</v>
      </c>
      <c r="J25" s="70"/>
      <c r="K25" s="71" t="s">
        <v>32</v>
      </c>
      <c r="L25" s="71" t="s">
        <v>33</v>
      </c>
      <c r="M25" s="71" t="s">
        <v>928</v>
      </c>
      <c r="N25" s="71" t="str">
        <f t="shared" si="4"/>
        <v>-4A3</v>
      </c>
      <c r="O25" s="63">
        <v>7</v>
      </c>
      <c r="P25" s="72" t="str">
        <f t="shared" si="2"/>
        <v>I28.6</v>
      </c>
      <c r="Q25" s="71" t="str">
        <f t="shared" si="7"/>
        <v>V2104_2¶Pneumatic Gate¶Closed</v>
      </c>
    </row>
    <row r="26" spans="2:17" ht="14.25">
      <c r="B26" s="65">
        <v>24</v>
      </c>
      <c r="C26" s="65" t="s">
        <v>938</v>
      </c>
      <c r="D26" s="68"/>
      <c r="E26" s="67" t="s">
        <v>939</v>
      </c>
      <c r="F26" s="67" t="s">
        <v>913</v>
      </c>
      <c r="G26" s="67" t="s">
        <v>81</v>
      </c>
      <c r="H26" s="67" t="s">
        <v>914</v>
      </c>
      <c r="I26" s="67" t="s">
        <v>83</v>
      </c>
      <c r="J26" s="70"/>
      <c r="K26" s="71" t="s">
        <v>32</v>
      </c>
      <c r="L26" s="71" t="s">
        <v>33</v>
      </c>
      <c r="M26" s="71" t="s">
        <v>928</v>
      </c>
      <c r="N26" s="71" t="str">
        <f t="shared" si="4"/>
        <v>-4A3</v>
      </c>
      <c r="O26" s="63">
        <v>8</v>
      </c>
      <c r="P26" s="72" t="str">
        <f t="shared" si="2"/>
        <v>I28.7</v>
      </c>
      <c r="Q26" s="71" t="str">
        <f t="shared" si="7"/>
        <v>V2104_3¶Pneumatic Gate¶Opened</v>
      </c>
    </row>
    <row r="27" spans="2:17" ht="14.25">
      <c r="B27" s="65">
        <v>25</v>
      </c>
      <c r="C27" s="65" t="s">
        <v>940</v>
      </c>
      <c r="D27" s="68"/>
      <c r="E27" s="67" t="s">
        <v>939</v>
      </c>
      <c r="F27" s="67" t="s">
        <v>913</v>
      </c>
      <c r="G27" s="67" t="s">
        <v>84</v>
      </c>
      <c r="H27" s="67" t="s">
        <v>914</v>
      </c>
      <c r="I27" s="67" t="s">
        <v>85</v>
      </c>
      <c r="J27" s="70"/>
      <c r="K27" s="71" t="s">
        <v>32</v>
      </c>
      <c r="L27" s="71" t="s">
        <v>33</v>
      </c>
      <c r="M27" s="71" t="s">
        <v>928</v>
      </c>
      <c r="N27" s="71" t="str">
        <f t="shared" si="4"/>
        <v>-4A3</v>
      </c>
      <c r="O27" s="63">
        <v>9</v>
      </c>
      <c r="P27" s="72" t="str">
        <f t="shared" si="2"/>
        <v>I29.0</v>
      </c>
      <c r="Q27" s="71" t="str">
        <f t="shared" si="7"/>
        <v>V2104_3¶Pneumatic Gate¶Closed</v>
      </c>
    </row>
    <row r="28" spans="2:17" ht="14.25">
      <c r="B28" s="65">
        <v>26</v>
      </c>
      <c r="C28" s="65" t="s">
        <v>941</v>
      </c>
      <c r="D28" s="68"/>
      <c r="E28" s="67" t="s">
        <v>942</v>
      </c>
      <c r="F28" s="67" t="s">
        <v>913</v>
      </c>
      <c r="G28" s="67" t="s">
        <v>81</v>
      </c>
      <c r="H28" s="67" t="s">
        <v>914</v>
      </c>
      <c r="I28" s="67" t="s">
        <v>83</v>
      </c>
      <c r="J28" s="70"/>
      <c r="K28" s="71" t="s">
        <v>32</v>
      </c>
      <c r="L28" s="71" t="s">
        <v>33</v>
      </c>
      <c r="M28" s="71" t="s">
        <v>928</v>
      </c>
      <c r="N28" s="71" t="str">
        <f t="shared" si="4"/>
        <v>-4A3</v>
      </c>
      <c r="O28" s="63">
        <v>10</v>
      </c>
      <c r="P28" s="72" t="str">
        <f t="shared" si="2"/>
        <v>I29.1</v>
      </c>
      <c r="Q28" s="71" t="str">
        <f t="shared" si="7"/>
        <v>V2104_4¶Pneumatic Gate¶Opened</v>
      </c>
    </row>
    <row r="29" spans="2:17" ht="14.25">
      <c r="B29" s="65">
        <v>27</v>
      </c>
      <c r="C29" s="65" t="s">
        <v>943</v>
      </c>
      <c r="D29" s="65"/>
      <c r="E29" s="67" t="s">
        <v>942</v>
      </c>
      <c r="F29" s="67" t="s">
        <v>913</v>
      </c>
      <c r="G29" s="67" t="s">
        <v>84</v>
      </c>
      <c r="H29" s="67" t="s">
        <v>914</v>
      </c>
      <c r="I29" s="67" t="s">
        <v>85</v>
      </c>
      <c r="J29" s="70"/>
      <c r="K29" s="71" t="s">
        <v>32</v>
      </c>
      <c r="L29" s="71" t="s">
        <v>33</v>
      </c>
      <c r="M29" s="71" t="s">
        <v>928</v>
      </c>
      <c r="N29" s="71" t="str">
        <f t="shared" si="4"/>
        <v>-4A3</v>
      </c>
      <c r="O29" s="63">
        <v>11</v>
      </c>
      <c r="P29" s="72" t="str">
        <f t="shared" si="2"/>
        <v>I29.2</v>
      </c>
      <c r="Q29" s="71" t="str">
        <f t="shared" si="7"/>
        <v>V2104_4¶Pneumatic Gate¶Closed</v>
      </c>
    </row>
    <row r="30" spans="2:17" ht="14.25">
      <c r="B30" s="65">
        <v>28</v>
      </c>
      <c r="C30" s="65" t="s">
        <v>944</v>
      </c>
      <c r="D30" s="65"/>
      <c r="E30" s="67" t="s">
        <v>945</v>
      </c>
      <c r="F30" s="67" t="s">
        <v>913</v>
      </c>
      <c r="G30" s="67" t="s">
        <v>81</v>
      </c>
      <c r="H30" s="67" t="s">
        <v>914</v>
      </c>
      <c r="I30" s="67" t="s">
        <v>83</v>
      </c>
      <c r="J30" s="70"/>
      <c r="K30" s="71" t="s">
        <v>32</v>
      </c>
      <c r="L30" s="71" t="s">
        <v>33</v>
      </c>
      <c r="M30" s="71" t="s">
        <v>928</v>
      </c>
      <c r="N30" s="71" t="str">
        <f t="shared" si="4"/>
        <v>-4A3</v>
      </c>
      <c r="O30" s="63">
        <v>12</v>
      </c>
      <c r="P30" s="72" t="str">
        <f t="shared" si="2"/>
        <v>I29.3</v>
      </c>
      <c r="Q30" s="71" t="str">
        <f t="shared" si="7"/>
        <v>V2104_5¶Pneumatic Gate¶Opened</v>
      </c>
    </row>
    <row r="31" spans="2:17" ht="14.25">
      <c r="B31" s="65">
        <v>29</v>
      </c>
      <c r="C31" s="65" t="s">
        <v>946</v>
      </c>
      <c r="D31" s="65"/>
      <c r="E31" s="67" t="s">
        <v>945</v>
      </c>
      <c r="F31" s="67" t="s">
        <v>913</v>
      </c>
      <c r="G31" s="67" t="s">
        <v>84</v>
      </c>
      <c r="H31" s="67" t="s">
        <v>914</v>
      </c>
      <c r="I31" s="67" t="s">
        <v>85</v>
      </c>
      <c r="J31" s="70"/>
      <c r="K31" s="71" t="s">
        <v>32</v>
      </c>
      <c r="L31" s="71" t="s">
        <v>33</v>
      </c>
      <c r="M31" s="71" t="s">
        <v>928</v>
      </c>
      <c r="N31" s="71" t="str">
        <f t="shared" si="4"/>
        <v>-4A3</v>
      </c>
      <c r="O31" s="63">
        <v>13</v>
      </c>
      <c r="P31" s="72" t="str">
        <f t="shared" si="2"/>
        <v>I29.4</v>
      </c>
      <c r="Q31" s="71" t="str">
        <f t="shared" si="7"/>
        <v>V2104_5¶Pneumatic Gate¶Closed</v>
      </c>
    </row>
    <row r="32" spans="2:17" ht="14.25">
      <c r="B32" s="65">
        <v>30</v>
      </c>
      <c r="C32" s="65" t="s">
        <v>947</v>
      </c>
      <c r="D32" s="65"/>
      <c r="E32" s="67" t="s">
        <v>948</v>
      </c>
      <c r="F32" s="67" t="s">
        <v>913</v>
      </c>
      <c r="G32" s="67" t="s">
        <v>81</v>
      </c>
      <c r="H32" s="67" t="s">
        <v>914</v>
      </c>
      <c r="I32" s="67" t="s">
        <v>83</v>
      </c>
      <c r="J32" s="70"/>
      <c r="K32" s="71" t="s">
        <v>32</v>
      </c>
      <c r="L32" s="71" t="s">
        <v>33</v>
      </c>
      <c r="M32" s="71" t="s">
        <v>928</v>
      </c>
      <c r="N32" s="71" t="str">
        <f t="shared" si="4"/>
        <v>-4A3</v>
      </c>
      <c r="O32" s="63">
        <v>14</v>
      </c>
      <c r="P32" s="72" t="str">
        <f t="shared" si="2"/>
        <v>I29.5</v>
      </c>
      <c r="Q32" s="71" t="str">
        <f t="shared" si="7"/>
        <v>V2104_6¶Pneumatic Gate¶Opened</v>
      </c>
    </row>
    <row r="33" spans="2:17" ht="14.25">
      <c r="B33" s="65">
        <v>31</v>
      </c>
      <c r="C33" s="65" t="s">
        <v>949</v>
      </c>
      <c r="D33" s="65"/>
      <c r="E33" s="67" t="s">
        <v>948</v>
      </c>
      <c r="F33" s="67" t="s">
        <v>913</v>
      </c>
      <c r="G33" s="67" t="s">
        <v>84</v>
      </c>
      <c r="H33" s="67" t="s">
        <v>914</v>
      </c>
      <c r="I33" s="67" t="s">
        <v>85</v>
      </c>
      <c r="J33" s="70"/>
      <c r="K33" s="71" t="s">
        <v>32</v>
      </c>
      <c r="L33" s="71" t="s">
        <v>33</v>
      </c>
      <c r="M33" s="71" t="s">
        <v>928</v>
      </c>
      <c r="N33" s="71" t="str">
        <f t="shared" si="4"/>
        <v>-4A3</v>
      </c>
      <c r="O33" s="63">
        <v>15</v>
      </c>
      <c r="P33" s="72" t="str">
        <f t="shared" si="2"/>
        <v>I29.6</v>
      </c>
      <c r="Q33" s="71" t="str">
        <f t="shared" si="7"/>
        <v>V2104_6¶Pneumatic Gate¶Closed</v>
      </c>
    </row>
    <row r="34" spans="2:17" ht="14.25">
      <c r="B34" s="65">
        <v>32</v>
      </c>
      <c r="C34" s="65" t="s">
        <v>950</v>
      </c>
      <c r="D34" s="65"/>
      <c r="E34" s="67" t="s">
        <v>951</v>
      </c>
      <c r="F34" s="67" t="s">
        <v>913</v>
      </c>
      <c r="G34" s="67" t="s">
        <v>81</v>
      </c>
      <c r="H34" s="67" t="s">
        <v>914</v>
      </c>
      <c r="I34" s="67" t="s">
        <v>83</v>
      </c>
      <c r="J34" s="70"/>
      <c r="K34" s="71" t="s">
        <v>32</v>
      </c>
      <c r="L34" s="71" t="s">
        <v>33</v>
      </c>
      <c r="M34" s="71" t="s">
        <v>928</v>
      </c>
      <c r="N34" s="71" t="str">
        <f t="shared" si="4"/>
        <v>-4A3</v>
      </c>
      <c r="O34" s="63">
        <v>16</v>
      </c>
      <c r="P34" s="72" t="str">
        <f t="shared" si="2"/>
        <v>I29.7</v>
      </c>
      <c r="Q34" s="71" t="str">
        <f t="shared" si="7"/>
        <v>V2104_7¶Pneumatic Gate¶Opened</v>
      </c>
    </row>
    <row r="35" spans="2:17" ht="14.25">
      <c r="B35" s="65">
        <v>33</v>
      </c>
      <c r="C35" s="65" t="s">
        <v>952</v>
      </c>
      <c r="D35" s="65"/>
      <c r="E35" s="67" t="s">
        <v>951</v>
      </c>
      <c r="F35" s="67" t="s">
        <v>913</v>
      </c>
      <c r="G35" s="67" t="s">
        <v>84</v>
      </c>
      <c r="H35" s="67" t="s">
        <v>914</v>
      </c>
      <c r="I35" s="67" t="s">
        <v>85</v>
      </c>
      <c r="J35" s="70"/>
      <c r="K35" s="71" t="s">
        <v>32</v>
      </c>
      <c r="L35" s="71" t="s">
        <v>33</v>
      </c>
      <c r="M35" s="71" t="s">
        <v>953</v>
      </c>
      <c r="N35" s="71" t="str">
        <f t="shared" si="4"/>
        <v>-4A4</v>
      </c>
      <c r="O35" s="63">
        <v>1</v>
      </c>
      <c r="P35" s="72" t="str">
        <f t="shared" si="2"/>
        <v>I30.0</v>
      </c>
      <c r="Q35" s="71" t="str">
        <f t="shared" si="7"/>
        <v>V2104_7¶Pneumatic Gate¶Closed</v>
      </c>
    </row>
    <row r="36" spans="2:17" ht="14.25">
      <c r="B36" s="65">
        <v>34</v>
      </c>
      <c r="C36" s="65" t="s">
        <v>954</v>
      </c>
      <c r="D36" s="65"/>
      <c r="E36" s="67" t="s">
        <v>955</v>
      </c>
      <c r="F36" s="67" t="s">
        <v>913</v>
      </c>
      <c r="G36" s="67" t="s">
        <v>81</v>
      </c>
      <c r="H36" s="67" t="s">
        <v>914</v>
      </c>
      <c r="I36" s="67" t="s">
        <v>83</v>
      </c>
      <c r="J36" s="70"/>
      <c r="K36" s="71" t="s">
        <v>32</v>
      </c>
      <c r="L36" s="71" t="s">
        <v>33</v>
      </c>
      <c r="M36" s="71" t="s">
        <v>953</v>
      </c>
      <c r="N36" s="71" t="str">
        <f t="shared" si="4"/>
        <v>-4A4</v>
      </c>
      <c r="O36" s="63">
        <v>2</v>
      </c>
      <c r="P36" s="72" t="str">
        <f t="shared" ref="P36:P66" si="8">C36</f>
        <v>I30.1</v>
      </c>
      <c r="Q36" s="71" t="str">
        <f t="shared" ref="Q36" si="9">E36&amp;K36&amp;H36&amp;K36&amp;I36</f>
        <v>V2202¶Pneumatic Gate¶Opened</v>
      </c>
    </row>
    <row r="37" spans="2:17" ht="14.25">
      <c r="B37" s="65">
        <v>35</v>
      </c>
      <c r="C37" s="65" t="s">
        <v>956</v>
      </c>
      <c r="D37" s="65"/>
      <c r="E37" s="67" t="s">
        <v>955</v>
      </c>
      <c r="F37" s="67" t="s">
        <v>913</v>
      </c>
      <c r="G37" s="67" t="s">
        <v>84</v>
      </c>
      <c r="H37" s="67" t="s">
        <v>914</v>
      </c>
      <c r="I37" s="67" t="s">
        <v>85</v>
      </c>
      <c r="J37" s="70"/>
      <c r="K37" s="71" t="s">
        <v>32</v>
      </c>
      <c r="L37" s="71" t="s">
        <v>33</v>
      </c>
      <c r="M37" s="71" t="s">
        <v>953</v>
      </c>
      <c r="N37" s="71" t="str">
        <f t="shared" ref="N37:N68" si="10">L37&amp;M37</f>
        <v>-4A4</v>
      </c>
      <c r="O37" s="63">
        <v>3</v>
      </c>
      <c r="P37" s="72" t="str">
        <f t="shared" si="8"/>
        <v>I30.2</v>
      </c>
      <c r="Q37" s="71" t="str">
        <f t="shared" ref="Q37:Q67" si="11">E37&amp;K37&amp;H37&amp;K37&amp;I37</f>
        <v>V2202¶Pneumatic Gate¶Closed</v>
      </c>
    </row>
    <row r="38" spans="2:17" ht="14.25">
      <c r="B38" s="65">
        <v>36</v>
      </c>
      <c r="C38" s="65" t="s">
        <v>957</v>
      </c>
      <c r="D38" s="68"/>
      <c r="E38" s="67" t="s">
        <v>958</v>
      </c>
      <c r="F38" s="67" t="s">
        <v>913</v>
      </c>
      <c r="G38" s="67" t="s">
        <v>81</v>
      </c>
      <c r="H38" s="67" t="s">
        <v>914</v>
      </c>
      <c r="I38" s="67" t="s">
        <v>83</v>
      </c>
      <c r="J38" s="70"/>
      <c r="K38" s="71" t="s">
        <v>32</v>
      </c>
      <c r="L38" s="71" t="s">
        <v>33</v>
      </c>
      <c r="M38" s="71" t="s">
        <v>953</v>
      </c>
      <c r="N38" s="71" t="str">
        <f t="shared" si="10"/>
        <v>-4A4</v>
      </c>
      <c r="O38" s="63">
        <v>4</v>
      </c>
      <c r="P38" s="72" t="str">
        <f t="shared" si="8"/>
        <v>I30.3</v>
      </c>
      <c r="Q38" s="71" t="str">
        <f t="shared" si="11"/>
        <v>V2203¶Pneumatic Gate¶Opened</v>
      </c>
    </row>
    <row r="39" spans="2:17" ht="14.25">
      <c r="B39" s="65">
        <v>37</v>
      </c>
      <c r="C39" s="65" t="s">
        <v>959</v>
      </c>
      <c r="D39" s="68"/>
      <c r="E39" s="67" t="s">
        <v>958</v>
      </c>
      <c r="F39" s="67" t="s">
        <v>913</v>
      </c>
      <c r="G39" s="67" t="s">
        <v>84</v>
      </c>
      <c r="H39" s="67" t="s">
        <v>914</v>
      </c>
      <c r="I39" s="67" t="s">
        <v>85</v>
      </c>
      <c r="J39" s="70"/>
      <c r="K39" s="71" t="s">
        <v>32</v>
      </c>
      <c r="L39" s="71" t="s">
        <v>33</v>
      </c>
      <c r="M39" s="71" t="s">
        <v>953</v>
      </c>
      <c r="N39" s="71" t="str">
        <f t="shared" si="10"/>
        <v>-4A4</v>
      </c>
      <c r="O39" s="63">
        <v>5</v>
      </c>
      <c r="P39" s="72" t="str">
        <f t="shared" si="8"/>
        <v>I30.4</v>
      </c>
      <c r="Q39" s="71" t="str">
        <f t="shared" si="11"/>
        <v>V2203¶Pneumatic Gate¶Closed</v>
      </c>
    </row>
    <row r="40" spans="2:17" ht="14.25">
      <c r="B40" s="65">
        <v>38</v>
      </c>
      <c r="C40" s="65" t="s">
        <v>960</v>
      </c>
      <c r="D40" s="68"/>
      <c r="E40" s="67" t="s">
        <v>961</v>
      </c>
      <c r="F40" s="67" t="s">
        <v>913</v>
      </c>
      <c r="G40" s="67" t="s">
        <v>81</v>
      </c>
      <c r="H40" s="67" t="s">
        <v>914</v>
      </c>
      <c r="I40" s="67" t="s">
        <v>83</v>
      </c>
      <c r="J40" s="70"/>
      <c r="K40" s="71" t="s">
        <v>32</v>
      </c>
      <c r="L40" s="71" t="s">
        <v>33</v>
      </c>
      <c r="M40" s="71" t="s">
        <v>953</v>
      </c>
      <c r="N40" s="71" t="str">
        <f t="shared" si="10"/>
        <v>-4A4</v>
      </c>
      <c r="O40" s="63">
        <v>6</v>
      </c>
      <c r="P40" s="72" t="str">
        <f t="shared" si="8"/>
        <v>I30.5</v>
      </c>
      <c r="Q40" s="71" t="str">
        <f t="shared" si="11"/>
        <v>V2204¶Pneumatic Gate¶Opened</v>
      </c>
    </row>
    <row r="41" spans="2:17" ht="14.25">
      <c r="B41" s="65">
        <v>39</v>
      </c>
      <c r="C41" s="65" t="s">
        <v>962</v>
      </c>
      <c r="D41" s="68"/>
      <c r="E41" s="67" t="s">
        <v>961</v>
      </c>
      <c r="F41" s="67" t="s">
        <v>913</v>
      </c>
      <c r="G41" s="67" t="s">
        <v>84</v>
      </c>
      <c r="H41" s="67" t="s">
        <v>914</v>
      </c>
      <c r="I41" s="67" t="s">
        <v>85</v>
      </c>
      <c r="J41" s="70"/>
      <c r="K41" s="71" t="s">
        <v>32</v>
      </c>
      <c r="L41" s="71" t="s">
        <v>33</v>
      </c>
      <c r="M41" s="71" t="s">
        <v>953</v>
      </c>
      <c r="N41" s="71" t="str">
        <f t="shared" si="10"/>
        <v>-4A4</v>
      </c>
      <c r="O41" s="63">
        <v>7</v>
      </c>
      <c r="P41" s="72" t="str">
        <f t="shared" si="8"/>
        <v>I30.6</v>
      </c>
      <c r="Q41" s="71" t="str">
        <f t="shared" si="11"/>
        <v>V2204¶Pneumatic Gate¶Closed</v>
      </c>
    </row>
    <row r="42" spans="2:17" ht="14.25">
      <c r="B42" s="65">
        <v>40</v>
      </c>
      <c r="C42" s="65" t="s">
        <v>963</v>
      </c>
      <c r="D42" s="68"/>
      <c r="E42" s="67" t="s">
        <v>964</v>
      </c>
      <c r="F42" s="67" t="s">
        <v>913</v>
      </c>
      <c r="G42" s="67" t="s">
        <v>81</v>
      </c>
      <c r="H42" s="67" t="s">
        <v>914</v>
      </c>
      <c r="I42" s="67" t="s">
        <v>83</v>
      </c>
      <c r="J42" s="70"/>
      <c r="K42" s="71" t="s">
        <v>32</v>
      </c>
      <c r="L42" s="71" t="s">
        <v>33</v>
      </c>
      <c r="M42" s="71" t="s">
        <v>953</v>
      </c>
      <c r="N42" s="71" t="str">
        <f t="shared" si="10"/>
        <v>-4A4</v>
      </c>
      <c r="O42" s="63">
        <v>8</v>
      </c>
      <c r="P42" s="72" t="str">
        <f t="shared" si="8"/>
        <v>I30.7</v>
      </c>
      <c r="Q42" s="71" t="str">
        <f t="shared" si="11"/>
        <v>V2302¶Pneumatic Gate¶Opened</v>
      </c>
    </row>
    <row r="43" spans="2:17" ht="14.25">
      <c r="B43" s="65">
        <v>41</v>
      </c>
      <c r="C43" s="65" t="s">
        <v>965</v>
      </c>
      <c r="D43" s="68"/>
      <c r="E43" s="67" t="s">
        <v>964</v>
      </c>
      <c r="F43" s="67" t="s">
        <v>913</v>
      </c>
      <c r="G43" s="67" t="s">
        <v>84</v>
      </c>
      <c r="H43" s="67" t="s">
        <v>914</v>
      </c>
      <c r="I43" s="67" t="s">
        <v>85</v>
      </c>
      <c r="J43" s="70"/>
      <c r="K43" s="71" t="s">
        <v>32</v>
      </c>
      <c r="L43" s="71" t="s">
        <v>33</v>
      </c>
      <c r="M43" s="71" t="s">
        <v>953</v>
      </c>
      <c r="N43" s="71" t="str">
        <f t="shared" si="10"/>
        <v>-4A4</v>
      </c>
      <c r="O43" s="63">
        <v>9</v>
      </c>
      <c r="P43" s="72" t="str">
        <f t="shared" si="8"/>
        <v>I31.0</v>
      </c>
      <c r="Q43" s="71" t="str">
        <f t="shared" si="11"/>
        <v>V2302¶Pneumatic Gate¶Closed</v>
      </c>
    </row>
    <row r="44" spans="2:17" ht="14.25">
      <c r="B44" s="65">
        <v>42</v>
      </c>
      <c r="C44" s="65" t="s">
        <v>966</v>
      </c>
      <c r="D44" s="68"/>
      <c r="E44" s="67" t="s">
        <v>967</v>
      </c>
      <c r="F44" s="67" t="s">
        <v>913</v>
      </c>
      <c r="G44" s="67" t="s">
        <v>81</v>
      </c>
      <c r="H44" s="67" t="s">
        <v>914</v>
      </c>
      <c r="I44" s="67" t="s">
        <v>83</v>
      </c>
      <c r="J44" s="70"/>
      <c r="K44" s="71" t="s">
        <v>32</v>
      </c>
      <c r="L44" s="71" t="s">
        <v>33</v>
      </c>
      <c r="M44" s="71" t="s">
        <v>953</v>
      </c>
      <c r="N44" s="71" t="str">
        <f t="shared" si="10"/>
        <v>-4A4</v>
      </c>
      <c r="O44" s="63">
        <v>10</v>
      </c>
      <c r="P44" s="72" t="str">
        <f t="shared" si="8"/>
        <v>I31.1</v>
      </c>
      <c r="Q44" s="71" t="str">
        <f t="shared" si="11"/>
        <v>V2302A¶Pneumatic Gate¶Opened</v>
      </c>
    </row>
    <row r="45" spans="2:17" ht="14.25">
      <c r="B45" s="65">
        <v>43</v>
      </c>
      <c r="C45" s="65" t="s">
        <v>968</v>
      </c>
      <c r="D45" s="68"/>
      <c r="E45" s="67" t="s">
        <v>967</v>
      </c>
      <c r="F45" s="67" t="s">
        <v>913</v>
      </c>
      <c r="G45" s="67" t="s">
        <v>84</v>
      </c>
      <c r="H45" s="67" t="s">
        <v>914</v>
      </c>
      <c r="I45" s="67" t="s">
        <v>85</v>
      </c>
      <c r="J45" s="70"/>
      <c r="K45" s="71" t="s">
        <v>32</v>
      </c>
      <c r="L45" s="71" t="s">
        <v>33</v>
      </c>
      <c r="M45" s="71" t="s">
        <v>953</v>
      </c>
      <c r="N45" s="71" t="str">
        <f t="shared" si="10"/>
        <v>-4A4</v>
      </c>
      <c r="O45" s="63">
        <v>11</v>
      </c>
      <c r="P45" s="72" t="str">
        <f t="shared" si="8"/>
        <v>I31.2</v>
      </c>
      <c r="Q45" s="71" t="str">
        <f t="shared" si="11"/>
        <v>V2302A¶Pneumatic Gate¶Closed</v>
      </c>
    </row>
    <row r="46" spans="2:17" ht="14.25">
      <c r="B46" s="65">
        <v>44</v>
      </c>
      <c r="C46" s="65" t="s">
        <v>969</v>
      </c>
      <c r="D46" s="68"/>
      <c r="E46" s="67" t="s">
        <v>970</v>
      </c>
      <c r="F46" s="67" t="s">
        <v>913</v>
      </c>
      <c r="G46" s="67" t="s">
        <v>81</v>
      </c>
      <c r="H46" s="67" t="s">
        <v>914</v>
      </c>
      <c r="I46" s="67" t="s">
        <v>83</v>
      </c>
      <c r="J46" s="70"/>
      <c r="K46" s="71" t="s">
        <v>32</v>
      </c>
      <c r="L46" s="71" t="s">
        <v>33</v>
      </c>
      <c r="M46" s="71" t="s">
        <v>953</v>
      </c>
      <c r="N46" s="71" t="str">
        <f t="shared" si="10"/>
        <v>-4A4</v>
      </c>
      <c r="O46" s="63">
        <v>12</v>
      </c>
      <c r="P46" s="72" t="str">
        <f t="shared" si="8"/>
        <v>I31.3</v>
      </c>
      <c r="Q46" s="71" t="str">
        <f t="shared" si="11"/>
        <v>V2303¶Pneumatic Gate¶Opened</v>
      </c>
    </row>
    <row r="47" spans="2:17" ht="14.25">
      <c r="B47" s="65">
        <v>45</v>
      </c>
      <c r="C47" s="65" t="s">
        <v>971</v>
      </c>
      <c r="D47" s="68"/>
      <c r="E47" s="67" t="s">
        <v>970</v>
      </c>
      <c r="F47" s="67" t="s">
        <v>913</v>
      </c>
      <c r="G47" s="67" t="s">
        <v>84</v>
      </c>
      <c r="H47" s="67" t="s">
        <v>914</v>
      </c>
      <c r="I47" s="67" t="s">
        <v>85</v>
      </c>
      <c r="J47" s="70"/>
      <c r="K47" s="71" t="s">
        <v>32</v>
      </c>
      <c r="L47" s="71" t="s">
        <v>33</v>
      </c>
      <c r="M47" s="71" t="s">
        <v>953</v>
      </c>
      <c r="N47" s="71" t="str">
        <f t="shared" si="10"/>
        <v>-4A4</v>
      </c>
      <c r="O47" s="63">
        <v>13</v>
      </c>
      <c r="P47" s="72" t="str">
        <f t="shared" si="8"/>
        <v>I31.4</v>
      </c>
      <c r="Q47" s="71" t="str">
        <f t="shared" si="11"/>
        <v>V2303¶Pneumatic Gate¶Closed</v>
      </c>
    </row>
    <row r="48" spans="2:17" ht="14.25">
      <c r="B48" s="65">
        <v>46</v>
      </c>
      <c r="C48" s="65" t="s">
        <v>972</v>
      </c>
      <c r="D48" s="65"/>
      <c r="E48" s="67" t="s">
        <v>973</v>
      </c>
      <c r="F48" s="67" t="s">
        <v>913</v>
      </c>
      <c r="G48" s="67" t="s">
        <v>81</v>
      </c>
      <c r="H48" s="67" t="s">
        <v>914</v>
      </c>
      <c r="I48" s="67" t="s">
        <v>83</v>
      </c>
      <c r="J48" s="70"/>
      <c r="K48" s="71" t="s">
        <v>32</v>
      </c>
      <c r="L48" s="71" t="s">
        <v>33</v>
      </c>
      <c r="M48" s="71" t="s">
        <v>953</v>
      </c>
      <c r="N48" s="71" t="str">
        <f t="shared" si="10"/>
        <v>-4A4</v>
      </c>
      <c r="O48" s="63">
        <v>14</v>
      </c>
      <c r="P48" s="72" t="str">
        <f t="shared" si="8"/>
        <v>I31.5</v>
      </c>
      <c r="Q48" s="71" t="str">
        <f t="shared" si="11"/>
        <v>V2304¶Pneumatic Gate¶Opened</v>
      </c>
    </row>
    <row r="49" spans="2:17" ht="14.25">
      <c r="B49" s="65">
        <v>47</v>
      </c>
      <c r="C49" s="65" t="s">
        <v>974</v>
      </c>
      <c r="D49" s="65"/>
      <c r="E49" s="67" t="s">
        <v>973</v>
      </c>
      <c r="F49" s="67" t="s">
        <v>913</v>
      </c>
      <c r="G49" s="67" t="s">
        <v>84</v>
      </c>
      <c r="H49" s="67" t="s">
        <v>914</v>
      </c>
      <c r="I49" s="67" t="s">
        <v>85</v>
      </c>
      <c r="J49" s="70"/>
      <c r="K49" s="71" t="s">
        <v>32</v>
      </c>
      <c r="L49" s="71" t="s">
        <v>33</v>
      </c>
      <c r="M49" s="71" t="s">
        <v>953</v>
      </c>
      <c r="N49" s="71" t="str">
        <f t="shared" si="10"/>
        <v>-4A4</v>
      </c>
      <c r="O49" s="63">
        <v>15</v>
      </c>
      <c r="P49" s="72" t="str">
        <f t="shared" si="8"/>
        <v>I31.6</v>
      </c>
      <c r="Q49" s="71" t="str">
        <f t="shared" si="11"/>
        <v>V2304¶Pneumatic Gate¶Closed</v>
      </c>
    </row>
    <row r="50" spans="2:17" ht="14.25">
      <c r="B50" s="65">
        <v>48</v>
      </c>
      <c r="C50" s="65" t="s">
        <v>975</v>
      </c>
      <c r="D50" s="65"/>
      <c r="E50" s="67" t="s">
        <v>976</v>
      </c>
      <c r="F50" s="67" t="s">
        <v>913</v>
      </c>
      <c r="G50" s="67" t="s">
        <v>81</v>
      </c>
      <c r="H50" s="67" t="s">
        <v>914</v>
      </c>
      <c r="I50" s="67" t="s">
        <v>83</v>
      </c>
      <c r="J50" s="70"/>
      <c r="K50" s="71" t="s">
        <v>32</v>
      </c>
      <c r="L50" s="71" t="s">
        <v>33</v>
      </c>
      <c r="M50" s="71" t="s">
        <v>953</v>
      </c>
      <c r="N50" s="71" t="str">
        <f t="shared" si="10"/>
        <v>-4A4</v>
      </c>
      <c r="O50" s="63">
        <v>16</v>
      </c>
      <c r="P50" s="72" t="str">
        <f t="shared" si="8"/>
        <v>I31.7</v>
      </c>
      <c r="Q50" s="71" t="str">
        <f t="shared" si="11"/>
        <v>V2402¶Pneumatic Gate¶Opened</v>
      </c>
    </row>
    <row r="51" spans="2:17" ht="14.25">
      <c r="B51" s="65">
        <v>49</v>
      </c>
      <c r="C51" s="65" t="s">
        <v>977</v>
      </c>
      <c r="D51" s="65"/>
      <c r="E51" s="67" t="s">
        <v>976</v>
      </c>
      <c r="F51" s="67" t="s">
        <v>913</v>
      </c>
      <c r="G51" s="67" t="s">
        <v>84</v>
      </c>
      <c r="H51" s="67" t="s">
        <v>914</v>
      </c>
      <c r="I51" s="67" t="s">
        <v>85</v>
      </c>
      <c r="J51" s="70"/>
      <c r="K51" s="71" t="s">
        <v>32</v>
      </c>
      <c r="L51" s="71" t="s">
        <v>33</v>
      </c>
      <c r="M51" s="71" t="s">
        <v>978</v>
      </c>
      <c r="N51" s="71" t="str">
        <f t="shared" si="10"/>
        <v>-4A5</v>
      </c>
      <c r="O51" s="63">
        <v>1</v>
      </c>
      <c r="P51" s="72" t="str">
        <f t="shared" si="8"/>
        <v>I32.0</v>
      </c>
      <c r="Q51" s="71" t="str">
        <f t="shared" si="11"/>
        <v>V2402¶Pneumatic Gate¶Closed</v>
      </c>
    </row>
    <row r="52" spans="2:17" s="61" customFormat="1" ht="14.25">
      <c r="B52" s="69">
        <v>50</v>
      </c>
      <c r="C52" s="69" t="s">
        <v>979</v>
      </c>
      <c r="D52" s="69"/>
      <c r="E52" s="67" t="s">
        <v>980</v>
      </c>
      <c r="F52" s="67" t="s">
        <v>913</v>
      </c>
      <c r="G52" s="67" t="s">
        <v>81</v>
      </c>
      <c r="H52" s="67" t="s">
        <v>914</v>
      </c>
      <c r="I52" s="67" t="s">
        <v>83</v>
      </c>
      <c r="J52" s="73"/>
      <c r="K52" s="74" t="s">
        <v>32</v>
      </c>
      <c r="L52" s="74" t="s">
        <v>33</v>
      </c>
      <c r="M52" s="74" t="s">
        <v>978</v>
      </c>
      <c r="N52" s="74" t="str">
        <f t="shared" si="10"/>
        <v>-4A5</v>
      </c>
      <c r="O52" s="75">
        <v>2</v>
      </c>
      <c r="P52" s="76" t="str">
        <f t="shared" si="8"/>
        <v>I32.1</v>
      </c>
      <c r="Q52" s="74" t="str">
        <f t="shared" si="11"/>
        <v>V2403¶Pneumatic Gate¶Opened</v>
      </c>
    </row>
    <row r="53" spans="2:17" ht="14.25">
      <c r="B53" s="65">
        <v>51</v>
      </c>
      <c r="C53" s="65" t="s">
        <v>981</v>
      </c>
      <c r="D53" s="65"/>
      <c r="E53" s="67" t="s">
        <v>980</v>
      </c>
      <c r="F53" s="67" t="s">
        <v>913</v>
      </c>
      <c r="G53" s="67" t="s">
        <v>84</v>
      </c>
      <c r="H53" s="67" t="s">
        <v>914</v>
      </c>
      <c r="I53" s="67" t="s">
        <v>85</v>
      </c>
      <c r="J53" s="70"/>
      <c r="K53" s="71" t="s">
        <v>32</v>
      </c>
      <c r="L53" s="71" t="s">
        <v>33</v>
      </c>
      <c r="M53" s="71" t="s">
        <v>978</v>
      </c>
      <c r="N53" s="71" t="str">
        <f t="shared" si="10"/>
        <v>-4A5</v>
      </c>
      <c r="O53" s="63">
        <v>3</v>
      </c>
      <c r="P53" s="72" t="str">
        <f t="shared" si="8"/>
        <v>I32.2</v>
      </c>
      <c r="Q53" s="71" t="str">
        <f t="shared" si="11"/>
        <v>V2403¶Pneumatic Gate¶Closed</v>
      </c>
    </row>
    <row r="54" spans="2:17" ht="14.25">
      <c r="B54" s="65">
        <v>52</v>
      </c>
      <c r="C54" s="65" t="s">
        <v>982</v>
      </c>
      <c r="D54" s="65"/>
      <c r="E54" s="67" t="s">
        <v>983</v>
      </c>
      <c r="F54" s="67" t="s">
        <v>913</v>
      </c>
      <c r="G54" s="67" t="s">
        <v>81</v>
      </c>
      <c r="H54" s="67" t="s">
        <v>914</v>
      </c>
      <c r="I54" s="67" t="s">
        <v>83</v>
      </c>
      <c r="J54" s="70"/>
      <c r="K54" s="71" t="s">
        <v>32</v>
      </c>
      <c r="L54" s="71" t="s">
        <v>33</v>
      </c>
      <c r="M54" s="71" t="s">
        <v>978</v>
      </c>
      <c r="N54" s="71" t="str">
        <f t="shared" si="10"/>
        <v>-4A5</v>
      </c>
      <c r="O54" s="63">
        <v>4</v>
      </c>
      <c r="P54" s="72" t="str">
        <f t="shared" si="8"/>
        <v>I32.3</v>
      </c>
      <c r="Q54" s="71" t="str">
        <f t="shared" si="11"/>
        <v>V2404¶Pneumatic Gate¶Opened</v>
      </c>
    </row>
    <row r="55" spans="2:17" ht="14.25">
      <c r="B55" s="65">
        <v>53</v>
      </c>
      <c r="C55" s="65" t="s">
        <v>984</v>
      </c>
      <c r="D55" s="65"/>
      <c r="E55" s="67" t="s">
        <v>983</v>
      </c>
      <c r="F55" s="67" t="s">
        <v>913</v>
      </c>
      <c r="G55" s="67" t="s">
        <v>84</v>
      </c>
      <c r="H55" s="67" t="s">
        <v>914</v>
      </c>
      <c r="I55" s="67" t="s">
        <v>85</v>
      </c>
      <c r="J55" s="70"/>
      <c r="K55" s="71" t="s">
        <v>32</v>
      </c>
      <c r="L55" s="71" t="s">
        <v>33</v>
      </c>
      <c r="M55" s="71" t="s">
        <v>978</v>
      </c>
      <c r="N55" s="71" t="str">
        <f t="shared" si="10"/>
        <v>-4A5</v>
      </c>
      <c r="O55" s="63">
        <v>5</v>
      </c>
      <c r="P55" s="72" t="str">
        <f t="shared" si="8"/>
        <v>I32.4</v>
      </c>
      <c r="Q55" s="71" t="str">
        <f t="shared" si="11"/>
        <v>V2404¶Pneumatic Gate¶Closed</v>
      </c>
    </row>
    <row r="56" spans="2:17" ht="14.25">
      <c r="B56" s="65">
        <v>54</v>
      </c>
      <c r="C56" s="65" t="s">
        <v>985</v>
      </c>
      <c r="D56" s="68"/>
      <c r="E56" s="67" t="s">
        <v>986</v>
      </c>
      <c r="F56" s="67" t="s">
        <v>913</v>
      </c>
      <c r="G56" s="67" t="s">
        <v>81</v>
      </c>
      <c r="H56" s="67" t="s">
        <v>914</v>
      </c>
      <c r="I56" s="67" t="s">
        <v>83</v>
      </c>
      <c r="J56" s="70"/>
      <c r="K56" s="71" t="s">
        <v>32</v>
      </c>
      <c r="L56" s="71" t="s">
        <v>33</v>
      </c>
      <c r="M56" s="71" t="s">
        <v>978</v>
      </c>
      <c r="N56" s="71" t="str">
        <f t="shared" si="10"/>
        <v>-4A5</v>
      </c>
      <c r="O56" s="63">
        <v>6</v>
      </c>
      <c r="P56" s="72" t="str">
        <f t="shared" si="8"/>
        <v>I32.5</v>
      </c>
      <c r="Q56" s="71" t="str">
        <f t="shared" si="11"/>
        <v>V2502¶Pneumatic Gate¶Opened</v>
      </c>
    </row>
    <row r="57" spans="2:17" ht="14.25">
      <c r="B57" s="65">
        <v>55</v>
      </c>
      <c r="C57" s="65" t="s">
        <v>987</v>
      </c>
      <c r="D57" s="68"/>
      <c r="E57" s="67" t="s">
        <v>986</v>
      </c>
      <c r="F57" s="67" t="s">
        <v>913</v>
      </c>
      <c r="G57" s="67" t="s">
        <v>84</v>
      </c>
      <c r="H57" s="67" t="s">
        <v>914</v>
      </c>
      <c r="I57" s="67" t="s">
        <v>85</v>
      </c>
      <c r="J57" s="70"/>
      <c r="K57" s="71" t="s">
        <v>32</v>
      </c>
      <c r="L57" s="71" t="s">
        <v>33</v>
      </c>
      <c r="M57" s="71" t="s">
        <v>978</v>
      </c>
      <c r="N57" s="71" t="str">
        <f t="shared" si="10"/>
        <v>-4A5</v>
      </c>
      <c r="O57" s="63">
        <v>7</v>
      </c>
      <c r="P57" s="72" t="str">
        <f t="shared" si="8"/>
        <v>I32.6</v>
      </c>
      <c r="Q57" s="71" t="str">
        <f t="shared" si="11"/>
        <v>V2502¶Pneumatic Gate¶Closed</v>
      </c>
    </row>
    <row r="58" spans="2:17" ht="14.25">
      <c r="B58" s="65">
        <v>56</v>
      </c>
      <c r="C58" s="65" t="s">
        <v>988</v>
      </c>
      <c r="D58" s="68"/>
      <c r="E58" s="67" t="s">
        <v>989</v>
      </c>
      <c r="F58" s="67" t="s">
        <v>913</v>
      </c>
      <c r="G58" s="67" t="s">
        <v>81</v>
      </c>
      <c r="H58" s="67" t="s">
        <v>914</v>
      </c>
      <c r="I58" s="67" t="s">
        <v>83</v>
      </c>
      <c r="J58" s="70"/>
      <c r="K58" s="71" t="s">
        <v>32</v>
      </c>
      <c r="L58" s="71" t="s">
        <v>33</v>
      </c>
      <c r="M58" s="71" t="s">
        <v>978</v>
      </c>
      <c r="N58" s="71" t="str">
        <f t="shared" si="10"/>
        <v>-4A5</v>
      </c>
      <c r="O58" s="63">
        <v>8</v>
      </c>
      <c r="P58" s="72" t="str">
        <f t="shared" si="8"/>
        <v>I32.7</v>
      </c>
      <c r="Q58" s="71" t="str">
        <f t="shared" si="11"/>
        <v>V2503¶Pneumatic Gate¶Opened</v>
      </c>
    </row>
    <row r="59" spans="2:17" ht="14.25">
      <c r="B59" s="65">
        <v>57</v>
      </c>
      <c r="C59" s="65" t="s">
        <v>990</v>
      </c>
      <c r="D59" s="68"/>
      <c r="E59" s="67" t="s">
        <v>989</v>
      </c>
      <c r="F59" s="67" t="s">
        <v>913</v>
      </c>
      <c r="G59" s="67" t="s">
        <v>84</v>
      </c>
      <c r="H59" s="67" t="s">
        <v>914</v>
      </c>
      <c r="I59" s="67" t="s">
        <v>85</v>
      </c>
      <c r="J59" s="70"/>
      <c r="K59" s="71" t="s">
        <v>32</v>
      </c>
      <c r="L59" s="71" t="s">
        <v>33</v>
      </c>
      <c r="M59" s="71" t="s">
        <v>978</v>
      </c>
      <c r="N59" s="71" t="str">
        <f t="shared" si="10"/>
        <v>-4A5</v>
      </c>
      <c r="O59" s="63">
        <v>9</v>
      </c>
      <c r="P59" s="72" t="str">
        <f t="shared" si="8"/>
        <v>I33.0</v>
      </c>
      <c r="Q59" s="71" t="str">
        <f t="shared" si="11"/>
        <v>V2503¶Pneumatic Gate¶Closed</v>
      </c>
    </row>
    <row r="60" spans="2:17" ht="14.25">
      <c r="B60" s="65">
        <v>58</v>
      </c>
      <c r="C60" s="65" t="s">
        <v>991</v>
      </c>
      <c r="D60" s="65"/>
      <c r="E60" s="67" t="s">
        <v>992</v>
      </c>
      <c r="F60" s="67" t="s">
        <v>913</v>
      </c>
      <c r="G60" s="67" t="s">
        <v>81</v>
      </c>
      <c r="H60" s="67" t="s">
        <v>914</v>
      </c>
      <c r="I60" s="67" t="s">
        <v>83</v>
      </c>
      <c r="J60" s="70"/>
      <c r="K60" s="71" t="s">
        <v>32</v>
      </c>
      <c r="L60" s="71" t="s">
        <v>33</v>
      </c>
      <c r="M60" s="71" t="s">
        <v>978</v>
      </c>
      <c r="N60" s="71" t="str">
        <f t="shared" si="10"/>
        <v>-4A5</v>
      </c>
      <c r="O60" s="63">
        <v>10</v>
      </c>
      <c r="P60" s="72" t="str">
        <f t="shared" si="8"/>
        <v>I33.1</v>
      </c>
      <c r="Q60" s="71" t="str">
        <f t="shared" si="11"/>
        <v>V2504¶Pneumatic Gate¶Opened</v>
      </c>
    </row>
    <row r="61" spans="2:17" ht="14.25">
      <c r="B61" s="65">
        <v>59</v>
      </c>
      <c r="C61" s="65" t="s">
        <v>993</v>
      </c>
      <c r="D61" s="65"/>
      <c r="E61" s="67" t="s">
        <v>992</v>
      </c>
      <c r="F61" s="67" t="s">
        <v>913</v>
      </c>
      <c r="G61" s="67" t="s">
        <v>84</v>
      </c>
      <c r="H61" s="67" t="s">
        <v>914</v>
      </c>
      <c r="I61" s="67" t="s">
        <v>85</v>
      </c>
      <c r="J61" s="70"/>
      <c r="K61" s="71" t="s">
        <v>32</v>
      </c>
      <c r="L61" s="71" t="s">
        <v>33</v>
      </c>
      <c r="M61" s="71" t="s">
        <v>978</v>
      </c>
      <c r="N61" s="71" t="str">
        <f t="shared" si="10"/>
        <v>-4A5</v>
      </c>
      <c r="O61" s="63">
        <v>11</v>
      </c>
      <c r="P61" s="72" t="str">
        <f t="shared" si="8"/>
        <v>I33.2</v>
      </c>
      <c r="Q61" s="71" t="str">
        <f t="shared" si="11"/>
        <v>V2504¶Pneumatic Gate¶Closed</v>
      </c>
    </row>
    <row r="62" spans="2:17" ht="14.25">
      <c r="B62" s="65">
        <v>60</v>
      </c>
      <c r="C62" s="65" t="s">
        <v>994</v>
      </c>
      <c r="D62" s="65"/>
      <c r="E62" s="67" t="s">
        <v>995</v>
      </c>
      <c r="F62" s="67" t="s">
        <v>913</v>
      </c>
      <c r="G62" s="67" t="s">
        <v>81</v>
      </c>
      <c r="H62" s="67" t="s">
        <v>914</v>
      </c>
      <c r="I62" s="67" t="s">
        <v>83</v>
      </c>
      <c r="J62" s="70"/>
      <c r="K62" s="71" t="s">
        <v>32</v>
      </c>
      <c r="L62" s="71" t="s">
        <v>33</v>
      </c>
      <c r="M62" s="71" t="s">
        <v>978</v>
      </c>
      <c r="N62" s="71" t="str">
        <f t="shared" si="10"/>
        <v>-4A5</v>
      </c>
      <c r="O62" s="63">
        <v>12</v>
      </c>
      <c r="P62" s="72" t="str">
        <f t="shared" si="8"/>
        <v>I33.3</v>
      </c>
      <c r="Q62" s="71" t="str">
        <f t="shared" si="11"/>
        <v>V2602¶Pneumatic Gate¶Opened</v>
      </c>
    </row>
    <row r="63" spans="2:17" ht="14.25">
      <c r="B63" s="65">
        <v>61</v>
      </c>
      <c r="C63" s="65" t="s">
        <v>996</v>
      </c>
      <c r="D63" s="65"/>
      <c r="E63" s="67" t="s">
        <v>995</v>
      </c>
      <c r="F63" s="67" t="s">
        <v>913</v>
      </c>
      <c r="G63" s="67" t="s">
        <v>84</v>
      </c>
      <c r="H63" s="67" t="s">
        <v>914</v>
      </c>
      <c r="I63" s="67" t="s">
        <v>85</v>
      </c>
      <c r="J63" s="70"/>
      <c r="K63" s="71" t="s">
        <v>32</v>
      </c>
      <c r="L63" s="71" t="s">
        <v>33</v>
      </c>
      <c r="M63" s="71" t="s">
        <v>978</v>
      </c>
      <c r="N63" s="71" t="str">
        <f t="shared" si="10"/>
        <v>-4A5</v>
      </c>
      <c r="O63" s="63">
        <v>13</v>
      </c>
      <c r="P63" s="72" t="str">
        <f t="shared" si="8"/>
        <v>I33.4</v>
      </c>
      <c r="Q63" s="71" t="str">
        <f t="shared" si="11"/>
        <v>V2602¶Pneumatic Gate¶Closed</v>
      </c>
    </row>
    <row r="64" spans="2:17" ht="14.25">
      <c r="B64" s="65">
        <v>62</v>
      </c>
      <c r="C64" s="65" t="s">
        <v>997</v>
      </c>
      <c r="D64" s="65"/>
      <c r="E64" s="67" t="s">
        <v>998</v>
      </c>
      <c r="F64" s="67" t="s">
        <v>913</v>
      </c>
      <c r="G64" s="67" t="s">
        <v>81</v>
      </c>
      <c r="H64" s="67" t="s">
        <v>914</v>
      </c>
      <c r="I64" s="67" t="s">
        <v>83</v>
      </c>
      <c r="J64" s="70"/>
      <c r="K64" s="71" t="s">
        <v>32</v>
      </c>
      <c r="L64" s="71" t="s">
        <v>33</v>
      </c>
      <c r="M64" s="71" t="s">
        <v>978</v>
      </c>
      <c r="N64" s="71" t="str">
        <f t="shared" si="10"/>
        <v>-4A5</v>
      </c>
      <c r="O64" s="63">
        <v>14</v>
      </c>
      <c r="P64" s="72" t="str">
        <f t="shared" si="8"/>
        <v>I33.5</v>
      </c>
      <c r="Q64" s="71" t="str">
        <f t="shared" si="11"/>
        <v>V2603¶Pneumatic Gate¶Opened</v>
      </c>
    </row>
    <row r="65" spans="2:17" ht="14.25">
      <c r="B65" s="65">
        <v>63</v>
      </c>
      <c r="C65" s="65" t="s">
        <v>999</v>
      </c>
      <c r="D65" s="65"/>
      <c r="E65" s="67" t="s">
        <v>998</v>
      </c>
      <c r="F65" s="67" t="s">
        <v>913</v>
      </c>
      <c r="G65" s="67" t="s">
        <v>84</v>
      </c>
      <c r="H65" s="67" t="s">
        <v>914</v>
      </c>
      <c r="I65" s="67" t="s">
        <v>85</v>
      </c>
      <c r="J65" s="70"/>
      <c r="K65" s="71" t="s">
        <v>32</v>
      </c>
      <c r="L65" s="71" t="s">
        <v>33</v>
      </c>
      <c r="M65" s="71" t="s">
        <v>978</v>
      </c>
      <c r="N65" s="71" t="str">
        <f t="shared" si="10"/>
        <v>-4A5</v>
      </c>
      <c r="O65" s="63">
        <v>15</v>
      </c>
      <c r="P65" s="72" t="str">
        <f t="shared" si="8"/>
        <v>I33.6</v>
      </c>
      <c r="Q65" s="71" t="str">
        <f t="shared" si="11"/>
        <v>V2603¶Pneumatic Gate¶Closed</v>
      </c>
    </row>
    <row r="66" spans="2:17" ht="14.25">
      <c r="B66" s="65">
        <v>64</v>
      </c>
      <c r="C66" s="65" t="s">
        <v>1000</v>
      </c>
      <c r="D66" s="65"/>
      <c r="E66" s="67" t="s">
        <v>1001</v>
      </c>
      <c r="F66" s="67" t="s">
        <v>913</v>
      </c>
      <c r="G66" s="67" t="s">
        <v>81</v>
      </c>
      <c r="H66" s="67" t="s">
        <v>914</v>
      </c>
      <c r="I66" s="67" t="s">
        <v>83</v>
      </c>
      <c r="J66" s="70"/>
      <c r="K66" s="71" t="s">
        <v>32</v>
      </c>
      <c r="L66" s="71" t="s">
        <v>33</v>
      </c>
      <c r="M66" s="71" t="s">
        <v>978</v>
      </c>
      <c r="N66" s="71" t="str">
        <f t="shared" si="10"/>
        <v>-4A5</v>
      </c>
      <c r="O66" s="63">
        <v>16</v>
      </c>
      <c r="P66" s="72" t="str">
        <f t="shared" si="8"/>
        <v>I33.7</v>
      </c>
      <c r="Q66" s="71" t="str">
        <f t="shared" si="11"/>
        <v>V2604¶Pneumatic Gate¶Opened</v>
      </c>
    </row>
    <row r="67" spans="2:17" ht="14.25">
      <c r="B67" s="65">
        <v>65</v>
      </c>
      <c r="C67" s="65" t="s">
        <v>1002</v>
      </c>
      <c r="D67" s="65"/>
      <c r="E67" s="67" t="s">
        <v>1001</v>
      </c>
      <c r="F67" s="67" t="s">
        <v>913</v>
      </c>
      <c r="G67" s="67" t="s">
        <v>84</v>
      </c>
      <c r="H67" s="67" t="s">
        <v>914</v>
      </c>
      <c r="I67" s="67" t="s">
        <v>85</v>
      </c>
      <c r="J67" s="70"/>
      <c r="K67" s="71" t="s">
        <v>32</v>
      </c>
      <c r="L67" s="71" t="s">
        <v>33</v>
      </c>
      <c r="M67" s="71" t="s">
        <v>1003</v>
      </c>
      <c r="N67" s="71" t="str">
        <f t="shared" si="10"/>
        <v>-4A6</v>
      </c>
      <c r="O67" s="63">
        <v>1</v>
      </c>
      <c r="P67" s="72" t="str">
        <f t="shared" ref="P67" si="12">C67</f>
        <v>I34.0</v>
      </c>
      <c r="Q67" s="71" t="str">
        <f t="shared" si="11"/>
        <v>V2604¶Pneumatic Gate¶Closed</v>
      </c>
    </row>
    <row r="68" spans="2:17" ht="14.25">
      <c r="B68" s="65">
        <v>66</v>
      </c>
      <c r="C68" s="65" t="s">
        <v>1004</v>
      </c>
      <c r="D68" s="65"/>
      <c r="E68" s="67" t="s">
        <v>1005</v>
      </c>
      <c r="F68" s="67" t="s">
        <v>913</v>
      </c>
      <c r="G68" s="67" t="s">
        <v>81</v>
      </c>
      <c r="H68" s="67" t="s">
        <v>914</v>
      </c>
      <c r="I68" s="67" t="s">
        <v>83</v>
      </c>
      <c r="J68" s="70"/>
      <c r="K68" s="71" t="s">
        <v>32</v>
      </c>
      <c r="L68" s="71" t="s">
        <v>33</v>
      </c>
      <c r="M68" s="71" t="s">
        <v>1003</v>
      </c>
      <c r="N68" s="71" t="str">
        <f t="shared" ref="N68" si="13">L68&amp;M68</f>
        <v>-4A6</v>
      </c>
      <c r="O68" s="63">
        <v>2</v>
      </c>
      <c r="P68" s="72" t="str">
        <f t="shared" ref="P68:P79" si="14">C68</f>
        <v>I34.1</v>
      </c>
      <c r="Q68" s="71" t="str">
        <f t="shared" ref="Q68" si="15">E68&amp;K68&amp;H68&amp;K68&amp;I68</f>
        <v>V3106¶Pneumatic Gate¶Opened</v>
      </c>
    </row>
    <row r="69" spans="2:17" ht="14.25">
      <c r="B69" s="65">
        <v>67</v>
      </c>
      <c r="C69" s="65" t="s">
        <v>1006</v>
      </c>
      <c r="D69" s="65"/>
      <c r="E69" s="67" t="s">
        <v>1005</v>
      </c>
      <c r="F69" s="67" t="s">
        <v>913</v>
      </c>
      <c r="G69" s="67" t="s">
        <v>84</v>
      </c>
      <c r="H69" s="67" t="s">
        <v>914</v>
      </c>
      <c r="I69" s="67" t="s">
        <v>85</v>
      </c>
      <c r="J69" s="70"/>
      <c r="K69" s="71" t="s">
        <v>32</v>
      </c>
      <c r="L69" s="71" t="s">
        <v>33</v>
      </c>
      <c r="M69" s="71" t="s">
        <v>1003</v>
      </c>
      <c r="N69" s="71" t="str">
        <f t="shared" ref="N69:N100" si="16">L69&amp;M69</f>
        <v>-4A6</v>
      </c>
      <c r="O69" s="63">
        <v>3</v>
      </c>
      <c r="P69" s="72" t="str">
        <f t="shared" si="14"/>
        <v>I34.2</v>
      </c>
      <c r="Q69" s="71" t="str">
        <f t="shared" ref="Q69:Q88" si="17">E69&amp;K69&amp;H69&amp;K69&amp;I69</f>
        <v>V3106¶Pneumatic Gate¶Closed</v>
      </c>
    </row>
    <row r="70" spans="2:17" ht="14.25">
      <c r="B70" s="65">
        <v>68</v>
      </c>
      <c r="C70" s="65" t="s">
        <v>1007</v>
      </c>
      <c r="D70" s="65"/>
      <c r="E70" s="67" t="s">
        <v>1008</v>
      </c>
      <c r="F70" s="67" t="s">
        <v>913</v>
      </c>
      <c r="G70" s="67" t="s">
        <v>81</v>
      </c>
      <c r="H70" s="67" t="s">
        <v>914</v>
      </c>
      <c r="I70" s="67" t="s">
        <v>83</v>
      </c>
      <c r="J70" s="70"/>
      <c r="K70" s="71" t="s">
        <v>32</v>
      </c>
      <c r="L70" s="71" t="s">
        <v>33</v>
      </c>
      <c r="M70" s="71" t="s">
        <v>1003</v>
      </c>
      <c r="N70" s="71" t="str">
        <f t="shared" si="16"/>
        <v>-4A6</v>
      </c>
      <c r="O70" s="63">
        <v>4</v>
      </c>
      <c r="P70" s="72" t="str">
        <f t="shared" si="14"/>
        <v>I34.3</v>
      </c>
      <c r="Q70" s="71" t="str">
        <f t="shared" si="17"/>
        <v>V3108¶Pneumatic Gate¶Opened</v>
      </c>
    </row>
    <row r="71" spans="2:17" ht="14.25">
      <c r="B71" s="65">
        <v>69</v>
      </c>
      <c r="C71" s="65" t="s">
        <v>1009</v>
      </c>
      <c r="D71" s="65"/>
      <c r="E71" s="67" t="s">
        <v>1008</v>
      </c>
      <c r="F71" s="67" t="s">
        <v>913</v>
      </c>
      <c r="G71" s="67" t="s">
        <v>84</v>
      </c>
      <c r="H71" s="67" t="s">
        <v>914</v>
      </c>
      <c r="I71" s="67" t="s">
        <v>85</v>
      </c>
      <c r="J71" s="70"/>
      <c r="K71" s="71" t="s">
        <v>32</v>
      </c>
      <c r="L71" s="71" t="s">
        <v>33</v>
      </c>
      <c r="M71" s="71" t="s">
        <v>1003</v>
      </c>
      <c r="N71" s="71" t="str">
        <f t="shared" si="16"/>
        <v>-4A6</v>
      </c>
      <c r="O71" s="63">
        <v>5</v>
      </c>
      <c r="P71" s="72" t="str">
        <f t="shared" si="14"/>
        <v>I34.4</v>
      </c>
      <c r="Q71" s="71" t="str">
        <f t="shared" si="17"/>
        <v>V3108¶Pneumatic Gate¶Closed</v>
      </c>
    </row>
    <row r="72" spans="2:17" ht="14.25">
      <c r="B72" s="65">
        <v>70</v>
      </c>
      <c r="C72" s="65" t="s">
        <v>1010</v>
      </c>
      <c r="D72" s="65"/>
      <c r="E72" s="67" t="s">
        <v>1011</v>
      </c>
      <c r="F72" s="67" t="s">
        <v>913</v>
      </c>
      <c r="G72" s="67" t="s">
        <v>81</v>
      </c>
      <c r="H72" s="67" t="s">
        <v>914</v>
      </c>
      <c r="I72" s="67" t="s">
        <v>83</v>
      </c>
      <c r="J72" s="70"/>
      <c r="K72" s="71" t="s">
        <v>32</v>
      </c>
      <c r="L72" s="71" t="s">
        <v>33</v>
      </c>
      <c r="M72" s="71" t="s">
        <v>1003</v>
      </c>
      <c r="N72" s="71" t="str">
        <f t="shared" si="16"/>
        <v>-4A6</v>
      </c>
      <c r="O72" s="63">
        <v>6</v>
      </c>
      <c r="P72" s="72" t="str">
        <f t="shared" si="14"/>
        <v>I34.5</v>
      </c>
      <c r="Q72" s="71" t="str">
        <f t="shared" si="17"/>
        <v>V3006¶Pneumatic Gate¶Opened</v>
      </c>
    </row>
    <row r="73" spans="2:17" ht="14.25">
      <c r="B73" s="65">
        <v>71</v>
      </c>
      <c r="C73" s="65" t="s">
        <v>1012</v>
      </c>
      <c r="D73" s="65"/>
      <c r="E73" s="67" t="s">
        <v>1011</v>
      </c>
      <c r="F73" s="67" t="s">
        <v>913</v>
      </c>
      <c r="G73" s="67" t="s">
        <v>84</v>
      </c>
      <c r="H73" s="67" t="s">
        <v>914</v>
      </c>
      <c r="I73" s="67" t="s">
        <v>85</v>
      </c>
      <c r="J73" s="70"/>
      <c r="K73" s="71" t="s">
        <v>32</v>
      </c>
      <c r="L73" s="71" t="s">
        <v>33</v>
      </c>
      <c r="M73" s="71" t="s">
        <v>1003</v>
      </c>
      <c r="N73" s="71" t="str">
        <f t="shared" si="16"/>
        <v>-4A6</v>
      </c>
      <c r="O73" s="63">
        <v>7</v>
      </c>
      <c r="P73" s="72" t="str">
        <f t="shared" si="14"/>
        <v>I34.6</v>
      </c>
      <c r="Q73" s="71" t="str">
        <f t="shared" si="17"/>
        <v>V3006¶Pneumatic Gate¶Closed</v>
      </c>
    </row>
    <row r="74" spans="2:17" ht="14.25">
      <c r="B74" s="65">
        <v>72</v>
      </c>
      <c r="C74" s="65" t="s">
        <v>1013</v>
      </c>
      <c r="D74" s="65"/>
      <c r="E74" s="67" t="s">
        <v>1014</v>
      </c>
      <c r="F74" s="67" t="s">
        <v>913</v>
      </c>
      <c r="G74" s="67" t="s">
        <v>81</v>
      </c>
      <c r="H74" s="67" t="s">
        <v>914</v>
      </c>
      <c r="I74" s="67" t="s">
        <v>83</v>
      </c>
      <c r="J74" s="70"/>
      <c r="K74" s="71" t="s">
        <v>32</v>
      </c>
      <c r="L74" s="71" t="s">
        <v>33</v>
      </c>
      <c r="M74" s="71" t="s">
        <v>1003</v>
      </c>
      <c r="N74" s="71" t="str">
        <f t="shared" si="16"/>
        <v>-4A6</v>
      </c>
      <c r="O74" s="63">
        <v>8</v>
      </c>
      <c r="P74" s="72" t="str">
        <f t="shared" si="14"/>
        <v>I34.7</v>
      </c>
      <c r="Q74" s="71" t="str">
        <f t="shared" si="17"/>
        <v>V3007¶Pneumatic Gate¶Opened</v>
      </c>
    </row>
    <row r="75" spans="2:17" ht="14.25">
      <c r="B75" s="65">
        <v>73</v>
      </c>
      <c r="C75" s="65" t="s">
        <v>1015</v>
      </c>
      <c r="D75" s="65"/>
      <c r="E75" s="67" t="s">
        <v>1014</v>
      </c>
      <c r="F75" s="67" t="s">
        <v>913</v>
      </c>
      <c r="G75" s="67" t="s">
        <v>84</v>
      </c>
      <c r="H75" s="67" t="s">
        <v>914</v>
      </c>
      <c r="I75" s="67" t="s">
        <v>85</v>
      </c>
      <c r="J75" s="70"/>
      <c r="K75" s="71" t="s">
        <v>32</v>
      </c>
      <c r="L75" s="71" t="s">
        <v>33</v>
      </c>
      <c r="M75" s="71" t="s">
        <v>1003</v>
      </c>
      <c r="N75" s="71" t="str">
        <f t="shared" si="16"/>
        <v>-4A6</v>
      </c>
      <c r="O75" s="63">
        <v>9</v>
      </c>
      <c r="P75" s="72" t="str">
        <f t="shared" si="14"/>
        <v>I35.0</v>
      </c>
      <c r="Q75" s="71" t="str">
        <f t="shared" si="17"/>
        <v>V3007¶Pneumatic Gate¶Closed</v>
      </c>
    </row>
    <row r="76" spans="2:17" ht="14.25">
      <c r="B76" s="65">
        <v>74</v>
      </c>
      <c r="C76" s="65" t="s">
        <v>1016</v>
      </c>
      <c r="D76" s="65"/>
      <c r="E76" s="67" t="s">
        <v>1017</v>
      </c>
      <c r="F76" s="77" t="s">
        <v>1018</v>
      </c>
      <c r="G76" s="67" t="s">
        <v>81</v>
      </c>
      <c r="H76" s="67" t="s">
        <v>1019</v>
      </c>
      <c r="I76" s="67" t="s">
        <v>83</v>
      </c>
      <c r="J76" s="70"/>
      <c r="K76" s="71" t="s">
        <v>32</v>
      </c>
      <c r="L76" s="71" t="s">
        <v>33</v>
      </c>
      <c r="M76" s="71" t="s">
        <v>1003</v>
      </c>
      <c r="N76" s="71" t="str">
        <f t="shared" si="16"/>
        <v>-4A6</v>
      </c>
      <c r="O76" s="63">
        <v>10</v>
      </c>
      <c r="P76" s="72" t="str">
        <f t="shared" si="14"/>
        <v>I35.1</v>
      </c>
      <c r="Q76" s="71" t="str">
        <f t="shared" si="17"/>
        <v>2104_1¶Cut off door¶Opened</v>
      </c>
    </row>
    <row r="77" spans="2:17" ht="14.25">
      <c r="B77" s="65">
        <v>75</v>
      </c>
      <c r="C77" s="65" t="s">
        <v>1020</v>
      </c>
      <c r="D77" s="65"/>
      <c r="E77" s="67" t="s">
        <v>1021</v>
      </c>
      <c r="F77" s="77" t="s">
        <v>1022</v>
      </c>
      <c r="G77" s="67" t="s">
        <v>81</v>
      </c>
      <c r="H77" s="67" t="s">
        <v>1019</v>
      </c>
      <c r="I77" s="67" t="s">
        <v>83</v>
      </c>
      <c r="J77" s="70"/>
      <c r="K77" s="71" t="s">
        <v>32</v>
      </c>
      <c r="L77" s="71" t="s">
        <v>33</v>
      </c>
      <c r="M77" s="71" t="s">
        <v>1003</v>
      </c>
      <c r="N77" s="71" t="str">
        <f t="shared" si="16"/>
        <v>-4A6</v>
      </c>
      <c r="O77" s="63">
        <v>11</v>
      </c>
      <c r="P77" s="72" t="str">
        <f t="shared" si="14"/>
        <v>I35.2</v>
      </c>
      <c r="Q77" s="71" t="str">
        <f t="shared" si="17"/>
        <v>2104_2¶Cut off door¶Opened</v>
      </c>
    </row>
    <row r="78" spans="2:17" ht="14.25">
      <c r="B78" s="65">
        <v>76</v>
      </c>
      <c r="C78" s="65" t="s">
        <v>1023</v>
      </c>
      <c r="D78" s="65"/>
      <c r="E78" s="67" t="s">
        <v>1024</v>
      </c>
      <c r="F78" s="77" t="s">
        <v>1025</v>
      </c>
      <c r="G78" s="67" t="s">
        <v>81</v>
      </c>
      <c r="H78" s="67" t="s">
        <v>1019</v>
      </c>
      <c r="I78" s="67" t="s">
        <v>83</v>
      </c>
      <c r="J78" s="70"/>
      <c r="K78" s="71" t="s">
        <v>32</v>
      </c>
      <c r="L78" s="71" t="s">
        <v>33</v>
      </c>
      <c r="M78" s="71" t="s">
        <v>1003</v>
      </c>
      <c r="N78" s="71" t="str">
        <f t="shared" si="16"/>
        <v>-4A6</v>
      </c>
      <c r="O78" s="63">
        <v>12</v>
      </c>
      <c r="P78" s="72" t="str">
        <f t="shared" si="14"/>
        <v>I35.3</v>
      </c>
      <c r="Q78" s="71" t="str">
        <f t="shared" si="17"/>
        <v>2104_3¶Cut off door¶Opened</v>
      </c>
    </row>
    <row r="79" spans="2:17" ht="14.25">
      <c r="B79" s="65">
        <v>77</v>
      </c>
      <c r="C79" s="65" t="s">
        <v>1026</v>
      </c>
      <c r="D79" s="65"/>
      <c r="E79" s="67" t="s">
        <v>1027</v>
      </c>
      <c r="F79" s="77" t="s">
        <v>1028</v>
      </c>
      <c r="G79" s="67" t="s">
        <v>81</v>
      </c>
      <c r="H79" s="67" t="s">
        <v>1019</v>
      </c>
      <c r="I79" s="67" t="s">
        <v>83</v>
      </c>
      <c r="J79" s="70"/>
      <c r="K79" s="71" t="s">
        <v>32</v>
      </c>
      <c r="L79" s="71" t="s">
        <v>33</v>
      </c>
      <c r="M79" s="71" t="s">
        <v>1003</v>
      </c>
      <c r="N79" s="71" t="str">
        <f t="shared" si="16"/>
        <v>-4A6</v>
      </c>
      <c r="O79" s="63">
        <v>13</v>
      </c>
      <c r="P79" s="72" t="str">
        <f t="shared" si="14"/>
        <v>I35.4</v>
      </c>
      <c r="Q79" s="71" t="str">
        <f t="shared" si="17"/>
        <v>2104_4¶Cut off door¶Opened</v>
      </c>
    </row>
    <row r="80" spans="2:17" ht="14.25">
      <c r="B80" s="65">
        <v>78</v>
      </c>
      <c r="C80" s="65" t="s">
        <v>1029</v>
      </c>
      <c r="D80" s="65"/>
      <c r="E80" s="67" t="s">
        <v>1030</v>
      </c>
      <c r="F80" s="77" t="s">
        <v>1031</v>
      </c>
      <c r="G80" s="67" t="s">
        <v>81</v>
      </c>
      <c r="H80" s="67" t="s">
        <v>1019</v>
      </c>
      <c r="I80" s="67" t="s">
        <v>83</v>
      </c>
      <c r="J80" s="70"/>
      <c r="K80" s="71" t="s">
        <v>32</v>
      </c>
      <c r="L80" s="71" t="s">
        <v>33</v>
      </c>
      <c r="M80" s="71" t="s">
        <v>1003</v>
      </c>
      <c r="N80" s="71" t="str">
        <f t="shared" si="16"/>
        <v>-4A6</v>
      </c>
      <c r="O80" s="63">
        <v>14</v>
      </c>
      <c r="P80" s="72" t="str">
        <f t="shared" ref="P80" si="18">C80</f>
        <v>I35.5</v>
      </c>
      <c r="Q80" s="71" t="str">
        <f t="shared" si="17"/>
        <v>2104_5¶Cut off door¶Opened</v>
      </c>
    </row>
    <row r="81" spans="2:17" ht="14.25">
      <c r="B81" s="65">
        <v>79</v>
      </c>
      <c r="C81" s="65" t="s">
        <v>1032</v>
      </c>
      <c r="D81" s="65"/>
      <c r="E81" s="67" t="s">
        <v>1033</v>
      </c>
      <c r="F81" s="77" t="s">
        <v>1034</v>
      </c>
      <c r="G81" s="67" t="s">
        <v>81</v>
      </c>
      <c r="H81" s="67" t="s">
        <v>1019</v>
      </c>
      <c r="I81" s="67" t="s">
        <v>83</v>
      </c>
      <c r="J81" s="70"/>
      <c r="K81" s="71" t="s">
        <v>32</v>
      </c>
      <c r="L81" s="71" t="s">
        <v>33</v>
      </c>
      <c r="M81" s="71" t="s">
        <v>1003</v>
      </c>
      <c r="N81" s="71" t="str">
        <f t="shared" si="16"/>
        <v>-4A6</v>
      </c>
      <c r="O81" s="63">
        <v>15</v>
      </c>
      <c r="P81" s="72" t="str">
        <f t="shared" ref="P81:P112" si="19">C81</f>
        <v>I35.6</v>
      </c>
      <c r="Q81" s="71" t="str">
        <f t="shared" si="17"/>
        <v>2104_6¶Cut off door¶Opened</v>
      </c>
    </row>
    <row r="82" spans="2:17" ht="14.25">
      <c r="B82" s="65">
        <v>80</v>
      </c>
      <c r="C82" s="65" t="s">
        <v>1035</v>
      </c>
      <c r="D82" s="65"/>
      <c r="E82" s="67" t="s">
        <v>1036</v>
      </c>
      <c r="F82" s="77" t="s">
        <v>1037</v>
      </c>
      <c r="G82" s="67" t="s">
        <v>81</v>
      </c>
      <c r="H82" s="67" t="s">
        <v>1019</v>
      </c>
      <c r="I82" s="67" t="s">
        <v>83</v>
      </c>
      <c r="J82" s="70"/>
      <c r="K82" s="71" t="s">
        <v>32</v>
      </c>
      <c r="L82" s="71" t="s">
        <v>33</v>
      </c>
      <c r="M82" s="71" t="s">
        <v>1003</v>
      </c>
      <c r="N82" s="71" t="str">
        <f t="shared" si="16"/>
        <v>-4A6</v>
      </c>
      <c r="O82" s="63">
        <v>16</v>
      </c>
      <c r="P82" s="72" t="str">
        <f t="shared" si="19"/>
        <v>I35.7</v>
      </c>
      <c r="Q82" s="71" t="str">
        <f t="shared" si="17"/>
        <v>2104_7¶Cut off door¶Opened</v>
      </c>
    </row>
    <row r="83" spans="2:17" ht="14.25">
      <c r="B83" s="65">
        <v>1</v>
      </c>
      <c r="C83" s="65" t="s">
        <v>1038</v>
      </c>
      <c r="D83" s="65"/>
      <c r="E83" s="67" t="s">
        <v>1039</v>
      </c>
      <c r="F83" s="77" t="s">
        <v>1040</v>
      </c>
      <c r="G83" s="67" t="s">
        <v>81</v>
      </c>
      <c r="H83" s="67" t="s">
        <v>1019</v>
      </c>
      <c r="I83" s="67" t="s">
        <v>83</v>
      </c>
      <c r="J83" s="70"/>
      <c r="K83" s="71" t="s">
        <v>32</v>
      </c>
      <c r="L83" s="71" t="s">
        <v>33</v>
      </c>
      <c r="M83" s="71" t="s">
        <v>1041</v>
      </c>
      <c r="N83" s="71" t="str">
        <f t="shared" si="16"/>
        <v>-4A7</v>
      </c>
      <c r="O83" s="63">
        <v>1</v>
      </c>
      <c r="P83" s="72" t="str">
        <f t="shared" si="19"/>
        <v>I36.0</v>
      </c>
      <c r="Q83" s="71" t="str">
        <f t="shared" si="17"/>
        <v>2104_8¶Cut off door¶Opened</v>
      </c>
    </row>
    <row r="84" spans="2:17" ht="14.25">
      <c r="B84" s="65">
        <v>2</v>
      </c>
      <c r="C84" s="65" t="s">
        <v>1042</v>
      </c>
      <c r="D84" s="65"/>
      <c r="E84" s="67" t="s">
        <v>1043</v>
      </c>
      <c r="F84" s="77" t="s">
        <v>1044</v>
      </c>
      <c r="G84" s="67" t="s">
        <v>81</v>
      </c>
      <c r="H84" s="67" t="s">
        <v>1019</v>
      </c>
      <c r="I84" s="67" t="s">
        <v>83</v>
      </c>
      <c r="J84" s="70"/>
      <c r="K84" s="71" t="s">
        <v>32</v>
      </c>
      <c r="L84" s="71" t="s">
        <v>33</v>
      </c>
      <c r="M84" s="71" t="s">
        <v>1041</v>
      </c>
      <c r="N84" s="71" t="str">
        <f t="shared" si="16"/>
        <v>-4A7</v>
      </c>
      <c r="O84" s="63">
        <v>2</v>
      </c>
      <c r="P84" s="72" t="str">
        <f t="shared" si="19"/>
        <v>I36.1</v>
      </c>
      <c r="Q84" s="71" t="str">
        <f t="shared" si="17"/>
        <v>2104_9¶Cut off door¶Opened</v>
      </c>
    </row>
    <row r="85" spans="2:17" ht="14.25">
      <c r="B85" s="65">
        <v>3</v>
      </c>
      <c r="C85" s="65" t="s">
        <v>1045</v>
      </c>
      <c r="D85" s="65"/>
      <c r="E85" s="67" t="s">
        <v>1046</v>
      </c>
      <c r="F85" s="77" t="s">
        <v>1047</v>
      </c>
      <c r="G85" s="67" t="s">
        <v>81</v>
      </c>
      <c r="H85" s="67" t="s">
        <v>1019</v>
      </c>
      <c r="I85" s="67" t="s">
        <v>83</v>
      </c>
      <c r="J85" s="70"/>
      <c r="K85" s="71" t="s">
        <v>32</v>
      </c>
      <c r="L85" s="71" t="s">
        <v>33</v>
      </c>
      <c r="M85" s="71" t="s">
        <v>1041</v>
      </c>
      <c r="N85" s="71" t="str">
        <f t="shared" si="16"/>
        <v>-4A7</v>
      </c>
      <c r="O85" s="63">
        <v>3</v>
      </c>
      <c r="P85" s="72" t="str">
        <f t="shared" si="19"/>
        <v>I36.2</v>
      </c>
      <c r="Q85" s="71" t="str">
        <f t="shared" si="17"/>
        <v>2104_10¶Cut off door¶Opened</v>
      </c>
    </row>
    <row r="86" spans="2:17" ht="14.25">
      <c r="B86" s="65">
        <v>4</v>
      </c>
      <c r="C86" s="65" t="s">
        <v>1048</v>
      </c>
      <c r="D86" s="65"/>
      <c r="E86" s="67" t="s">
        <v>1049</v>
      </c>
      <c r="F86" s="77" t="s">
        <v>1050</v>
      </c>
      <c r="G86" s="67" t="s">
        <v>81</v>
      </c>
      <c r="H86" s="67" t="s">
        <v>1019</v>
      </c>
      <c r="I86" s="67" t="s">
        <v>83</v>
      </c>
      <c r="J86" s="70"/>
      <c r="K86" s="71" t="s">
        <v>32</v>
      </c>
      <c r="L86" s="71" t="s">
        <v>33</v>
      </c>
      <c r="M86" s="71" t="s">
        <v>1041</v>
      </c>
      <c r="N86" s="71" t="str">
        <f t="shared" si="16"/>
        <v>-4A7</v>
      </c>
      <c r="O86" s="63">
        <v>4</v>
      </c>
      <c r="P86" s="72" t="str">
        <f t="shared" si="19"/>
        <v>I36.3</v>
      </c>
      <c r="Q86" s="71" t="str">
        <f t="shared" si="17"/>
        <v>2104_11¶Cut off door¶Opened</v>
      </c>
    </row>
    <row r="87" spans="2:17" ht="14.25">
      <c r="B87" s="65">
        <v>5</v>
      </c>
      <c r="C87" s="65" t="s">
        <v>1051</v>
      </c>
      <c r="D87" s="65"/>
      <c r="E87" s="67" t="s">
        <v>1052</v>
      </c>
      <c r="F87" s="77" t="s">
        <v>1053</v>
      </c>
      <c r="G87" s="67" t="s">
        <v>81</v>
      </c>
      <c r="H87" s="67" t="s">
        <v>1019</v>
      </c>
      <c r="I87" s="67" t="s">
        <v>83</v>
      </c>
      <c r="J87" s="70"/>
      <c r="K87" s="71" t="s">
        <v>32</v>
      </c>
      <c r="L87" s="71" t="s">
        <v>33</v>
      </c>
      <c r="M87" s="71" t="s">
        <v>1041</v>
      </c>
      <c r="N87" s="71" t="str">
        <f t="shared" si="16"/>
        <v>-4A7</v>
      </c>
      <c r="O87" s="63">
        <v>5</v>
      </c>
      <c r="P87" s="72" t="str">
        <f t="shared" si="19"/>
        <v>I36.4</v>
      </c>
      <c r="Q87" s="71" t="str">
        <f t="shared" si="17"/>
        <v>2104_12¶Cut off door¶Opened</v>
      </c>
    </row>
    <row r="88" spans="2:17" ht="14.25">
      <c r="B88" s="65">
        <v>6</v>
      </c>
      <c r="C88" s="65" t="s">
        <v>1054</v>
      </c>
      <c r="D88" s="65"/>
      <c r="E88" s="67" t="s">
        <v>1055</v>
      </c>
      <c r="F88" s="77" t="s">
        <v>1056</v>
      </c>
      <c r="G88" s="67" t="s">
        <v>81</v>
      </c>
      <c r="H88" s="67" t="s">
        <v>1019</v>
      </c>
      <c r="I88" s="67" t="s">
        <v>83</v>
      </c>
      <c r="J88" s="70"/>
      <c r="K88" s="71" t="s">
        <v>32</v>
      </c>
      <c r="L88" s="71" t="s">
        <v>33</v>
      </c>
      <c r="M88" s="71" t="s">
        <v>1041</v>
      </c>
      <c r="N88" s="71" t="str">
        <f t="shared" si="16"/>
        <v>-4A7</v>
      </c>
      <c r="O88" s="63">
        <v>6</v>
      </c>
      <c r="P88" s="72" t="str">
        <f t="shared" si="19"/>
        <v>I36.5</v>
      </c>
      <c r="Q88" s="71" t="str">
        <f t="shared" si="17"/>
        <v>2104_13¶Cut off door¶Opened</v>
      </c>
    </row>
    <row r="89" spans="2:17" ht="14.25">
      <c r="B89" s="65">
        <v>7</v>
      </c>
      <c r="C89" s="65" t="s">
        <v>1057</v>
      </c>
      <c r="D89" s="65"/>
      <c r="E89" s="67" t="s">
        <v>1058</v>
      </c>
      <c r="F89" s="77" t="s">
        <v>1059</v>
      </c>
      <c r="G89" s="67" t="s">
        <v>81</v>
      </c>
      <c r="H89" s="67" t="s">
        <v>1019</v>
      </c>
      <c r="I89" s="67" t="s">
        <v>83</v>
      </c>
      <c r="J89" s="70"/>
      <c r="K89" s="71" t="s">
        <v>32</v>
      </c>
      <c r="L89" s="71" t="s">
        <v>33</v>
      </c>
      <c r="M89" s="71" t="s">
        <v>1041</v>
      </c>
      <c r="N89" s="71" t="str">
        <f t="shared" si="16"/>
        <v>-4A7</v>
      </c>
      <c r="O89" s="63">
        <v>7</v>
      </c>
      <c r="P89" s="72" t="str">
        <f t="shared" si="19"/>
        <v>I36.6</v>
      </c>
      <c r="Q89" s="71" t="str">
        <f>E89&amp;K89&amp;H89&amp;K89&amp;I91</f>
        <v>2104_14¶Cut off door¶Opened</v>
      </c>
    </row>
    <row r="90" spans="2:17" ht="14.25">
      <c r="B90" s="65">
        <v>8</v>
      </c>
      <c r="C90" s="65" t="s">
        <v>1060</v>
      </c>
      <c r="D90" s="65"/>
      <c r="E90" s="67" t="s">
        <v>1061</v>
      </c>
      <c r="F90" s="77" t="s">
        <v>1062</v>
      </c>
      <c r="G90" s="67" t="s">
        <v>81</v>
      </c>
      <c r="H90" s="67" t="s">
        <v>1019</v>
      </c>
      <c r="I90" s="67" t="s">
        <v>83</v>
      </c>
      <c r="J90" s="70"/>
      <c r="K90" s="71" t="s">
        <v>32</v>
      </c>
      <c r="L90" s="71" t="s">
        <v>33</v>
      </c>
      <c r="M90" s="71" t="s">
        <v>1041</v>
      </c>
      <c r="N90" s="71" t="str">
        <f t="shared" si="16"/>
        <v>-4A7</v>
      </c>
      <c r="O90" s="63">
        <v>8</v>
      </c>
      <c r="P90" s="72" t="str">
        <f t="shared" si="19"/>
        <v>I36.7</v>
      </c>
      <c r="Q90" s="71" t="str">
        <f>E90&amp;K90&amp;H90&amp;K90&amp;I91</f>
        <v>2104_15¶Cut off door¶Opened</v>
      </c>
    </row>
    <row r="91" spans="2:17" ht="14.25">
      <c r="B91" s="65">
        <v>9</v>
      </c>
      <c r="C91" s="65" t="s">
        <v>1063</v>
      </c>
      <c r="D91" s="65"/>
      <c r="E91" s="67" t="s">
        <v>1064</v>
      </c>
      <c r="F91" s="77" t="s">
        <v>1065</v>
      </c>
      <c r="G91" s="67" t="s">
        <v>81</v>
      </c>
      <c r="H91" s="67" t="s">
        <v>1019</v>
      </c>
      <c r="I91" s="67" t="s">
        <v>83</v>
      </c>
      <c r="J91" s="70"/>
      <c r="K91" s="71" t="s">
        <v>32</v>
      </c>
      <c r="L91" s="71" t="s">
        <v>33</v>
      </c>
      <c r="M91" s="71" t="s">
        <v>1041</v>
      </c>
      <c r="N91" s="71" t="str">
        <f t="shared" si="16"/>
        <v>-4A7</v>
      </c>
      <c r="O91" s="63">
        <v>9</v>
      </c>
      <c r="P91" s="72" t="str">
        <f t="shared" si="19"/>
        <v>I37.0</v>
      </c>
      <c r="Q91" s="71" t="str">
        <f>E91&amp;K91&amp;H91&amp;K91&amp;I91</f>
        <v>2104_16¶Cut off door¶Opened</v>
      </c>
    </row>
    <row r="92" spans="2:17" ht="14.25">
      <c r="B92" s="65">
        <v>10</v>
      </c>
      <c r="C92" s="65" t="s">
        <v>1066</v>
      </c>
      <c r="D92" s="65"/>
      <c r="E92" s="67" t="s">
        <v>1067</v>
      </c>
      <c r="F92" s="77" t="s">
        <v>1068</v>
      </c>
      <c r="G92" s="67" t="s">
        <v>81</v>
      </c>
      <c r="H92" s="67" t="s">
        <v>1019</v>
      </c>
      <c r="I92" s="67" t="s">
        <v>83</v>
      </c>
      <c r="J92" s="70"/>
      <c r="K92" s="71" t="s">
        <v>32</v>
      </c>
      <c r="L92" s="71" t="s">
        <v>33</v>
      </c>
      <c r="M92" s="71" t="s">
        <v>1041</v>
      </c>
      <c r="N92" s="71" t="str">
        <f t="shared" si="16"/>
        <v>-4A7</v>
      </c>
      <c r="O92" s="63">
        <v>10</v>
      </c>
      <c r="P92" s="72" t="str">
        <f t="shared" si="19"/>
        <v>I37.1</v>
      </c>
      <c r="Q92" s="71" t="str">
        <f>E92&amp;K92&amp;H92&amp;K92&amp;I94</f>
        <v>2104_17¶Cut off door¶Opened</v>
      </c>
    </row>
    <row r="93" spans="2:17" ht="14.25">
      <c r="B93" s="65">
        <v>11</v>
      </c>
      <c r="C93" s="65" t="s">
        <v>1069</v>
      </c>
      <c r="D93" s="65"/>
      <c r="E93" s="67" t="s">
        <v>1070</v>
      </c>
      <c r="F93" s="77" t="s">
        <v>1071</v>
      </c>
      <c r="G93" s="67" t="s">
        <v>81</v>
      </c>
      <c r="H93" s="67" t="s">
        <v>1019</v>
      </c>
      <c r="I93" s="67" t="s">
        <v>83</v>
      </c>
      <c r="J93" s="70"/>
      <c r="K93" s="71" t="s">
        <v>32</v>
      </c>
      <c r="L93" s="71" t="s">
        <v>33</v>
      </c>
      <c r="M93" s="71" t="s">
        <v>1041</v>
      </c>
      <c r="N93" s="71" t="str">
        <f t="shared" si="16"/>
        <v>-4A7</v>
      </c>
      <c r="O93" s="63">
        <v>11</v>
      </c>
      <c r="P93" s="72" t="str">
        <f t="shared" si="19"/>
        <v>I37.2</v>
      </c>
      <c r="Q93" s="71" t="str">
        <f>E93&amp;K93&amp;H93&amp;K93&amp;I94</f>
        <v>2104_18¶Cut off door¶Opened</v>
      </c>
    </row>
    <row r="94" spans="2:17" ht="14.25">
      <c r="B94" s="65">
        <v>12</v>
      </c>
      <c r="C94" s="65" t="s">
        <v>1072</v>
      </c>
      <c r="D94" s="68"/>
      <c r="E94" s="67" t="s">
        <v>1073</v>
      </c>
      <c r="F94" s="77" t="s">
        <v>1074</v>
      </c>
      <c r="G94" s="67" t="s">
        <v>81</v>
      </c>
      <c r="H94" s="67" t="s">
        <v>1019</v>
      </c>
      <c r="I94" s="67" t="s">
        <v>83</v>
      </c>
      <c r="J94" s="70"/>
      <c r="K94" s="71" t="s">
        <v>32</v>
      </c>
      <c r="L94" s="71" t="s">
        <v>33</v>
      </c>
      <c r="M94" s="71" t="s">
        <v>1041</v>
      </c>
      <c r="N94" s="71" t="str">
        <f t="shared" si="16"/>
        <v>-4A7</v>
      </c>
      <c r="O94" s="63">
        <v>12</v>
      </c>
      <c r="P94" s="72" t="str">
        <f t="shared" si="19"/>
        <v>I37.3</v>
      </c>
      <c r="Q94" s="71" t="str">
        <f t="shared" ref="Q94" si="20">E94&amp;K94&amp;H94&amp;K94&amp;I94</f>
        <v>2104_19¶Cut off door¶Opened</v>
      </c>
    </row>
    <row r="95" spans="2:17" ht="14.25">
      <c r="B95" s="65">
        <v>13</v>
      </c>
      <c r="C95" s="65" t="s">
        <v>1075</v>
      </c>
      <c r="D95" s="68"/>
      <c r="E95" s="67" t="s">
        <v>1076</v>
      </c>
      <c r="F95" s="77" t="s">
        <v>1077</v>
      </c>
      <c r="G95" s="67" t="s">
        <v>81</v>
      </c>
      <c r="H95" s="67" t="s">
        <v>1019</v>
      </c>
      <c r="I95" s="67" t="s">
        <v>83</v>
      </c>
      <c r="J95" s="70"/>
      <c r="K95" s="71" t="s">
        <v>32</v>
      </c>
      <c r="L95" s="71" t="s">
        <v>33</v>
      </c>
      <c r="M95" s="71" t="s">
        <v>1041</v>
      </c>
      <c r="N95" s="71" t="str">
        <f t="shared" si="16"/>
        <v>-4A7</v>
      </c>
      <c r="O95" s="63">
        <v>13</v>
      </c>
      <c r="P95" s="72" t="str">
        <f t="shared" si="19"/>
        <v>I37.4</v>
      </c>
      <c r="Q95" s="71" t="str">
        <f t="shared" ref="Q95:Q129" si="21">E95&amp;K95&amp;H95&amp;K95&amp;I95</f>
        <v>2104_20¶Cut off door¶Opened</v>
      </c>
    </row>
    <row r="96" spans="2:17" ht="14.25">
      <c r="B96" s="65">
        <v>14</v>
      </c>
      <c r="C96" s="65" t="s">
        <v>1078</v>
      </c>
      <c r="D96" s="68"/>
      <c r="E96" s="67" t="s">
        <v>1079</v>
      </c>
      <c r="F96" s="77" t="s">
        <v>1080</v>
      </c>
      <c r="G96" s="67" t="s">
        <v>81</v>
      </c>
      <c r="H96" s="67" t="s">
        <v>1019</v>
      </c>
      <c r="I96" s="67" t="s">
        <v>83</v>
      </c>
      <c r="J96" s="70"/>
      <c r="K96" s="71" t="s">
        <v>32</v>
      </c>
      <c r="L96" s="71" t="s">
        <v>33</v>
      </c>
      <c r="M96" s="71" t="s">
        <v>1041</v>
      </c>
      <c r="N96" s="71" t="str">
        <f t="shared" si="16"/>
        <v>-4A7</v>
      </c>
      <c r="O96" s="63">
        <v>14</v>
      </c>
      <c r="P96" s="72" t="str">
        <f t="shared" si="19"/>
        <v>I37.5</v>
      </c>
      <c r="Q96" s="71" t="str">
        <f t="shared" si="21"/>
        <v>2104_21¶Cut off door¶Opened</v>
      </c>
    </row>
    <row r="97" spans="2:17" ht="14.25">
      <c r="B97" s="65">
        <v>15</v>
      </c>
      <c r="C97" s="65" t="s">
        <v>1081</v>
      </c>
      <c r="D97" s="68"/>
      <c r="E97" s="67" t="s">
        <v>1082</v>
      </c>
      <c r="F97" s="77" t="s">
        <v>1083</v>
      </c>
      <c r="G97" s="67" t="s">
        <v>81</v>
      </c>
      <c r="H97" s="67" t="s">
        <v>1019</v>
      </c>
      <c r="I97" s="67" t="s">
        <v>83</v>
      </c>
      <c r="J97" s="70"/>
      <c r="K97" s="71" t="s">
        <v>32</v>
      </c>
      <c r="L97" s="71" t="s">
        <v>33</v>
      </c>
      <c r="M97" s="71" t="s">
        <v>1041</v>
      </c>
      <c r="N97" s="71" t="str">
        <f t="shared" si="16"/>
        <v>-4A7</v>
      </c>
      <c r="O97" s="63">
        <v>15</v>
      </c>
      <c r="P97" s="72" t="str">
        <f t="shared" si="19"/>
        <v>I37.6</v>
      </c>
      <c r="Q97" s="71" t="str">
        <f t="shared" si="21"/>
        <v>2104_22¶Cut off door¶Opened</v>
      </c>
    </row>
    <row r="98" spans="2:17" ht="14.25">
      <c r="B98" s="65">
        <v>16</v>
      </c>
      <c r="C98" s="65" t="s">
        <v>1084</v>
      </c>
      <c r="D98" s="65"/>
      <c r="E98" s="67" t="s">
        <v>1085</v>
      </c>
      <c r="F98" s="77" t="s">
        <v>1086</v>
      </c>
      <c r="G98" s="67" t="s">
        <v>81</v>
      </c>
      <c r="H98" s="67" t="s">
        <v>1019</v>
      </c>
      <c r="I98" s="67" t="s">
        <v>83</v>
      </c>
      <c r="J98" s="70"/>
      <c r="K98" s="71" t="s">
        <v>32</v>
      </c>
      <c r="L98" s="71" t="s">
        <v>33</v>
      </c>
      <c r="M98" s="71" t="s">
        <v>1041</v>
      </c>
      <c r="N98" s="71" t="str">
        <f t="shared" si="16"/>
        <v>-4A7</v>
      </c>
      <c r="O98" s="63">
        <v>16</v>
      </c>
      <c r="P98" s="72" t="str">
        <f t="shared" si="19"/>
        <v>I37.7</v>
      </c>
      <c r="Q98" s="71" t="str">
        <f t="shared" si="21"/>
        <v>2104_23¶Cut off door¶Opened</v>
      </c>
    </row>
    <row r="99" spans="2:17" ht="14.25">
      <c r="B99" s="65">
        <v>17</v>
      </c>
      <c r="C99" s="65" t="s">
        <v>1087</v>
      </c>
      <c r="D99" s="65"/>
      <c r="E99" s="67" t="s">
        <v>1088</v>
      </c>
      <c r="F99" s="77" t="s">
        <v>1089</v>
      </c>
      <c r="G99" s="67" t="s">
        <v>81</v>
      </c>
      <c r="H99" s="67" t="s">
        <v>1019</v>
      </c>
      <c r="I99" s="67" t="s">
        <v>83</v>
      </c>
      <c r="J99" s="70"/>
      <c r="K99" s="71" t="s">
        <v>32</v>
      </c>
      <c r="L99" s="71" t="s">
        <v>33</v>
      </c>
      <c r="M99" s="71" t="s">
        <v>1090</v>
      </c>
      <c r="N99" s="71" t="str">
        <f t="shared" si="16"/>
        <v>-4A8</v>
      </c>
      <c r="O99" s="63">
        <v>1</v>
      </c>
      <c r="P99" s="72" t="str">
        <f t="shared" si="19"/>
        <v>I38.0</v>
      </c>
      <c r="Q99" s="71" t="str">
        <f t="shared" si="21"/>
        <v>2104_24¶Cut off door¶Opened</v>
      </c>
    </row>
    <row r="100" spans="2:17" ht="14.25">
      <c r="B100" s="65">
        <v>18</v>
      </c>
      <c r="C100" s="65" t="s">
        <v>1091</v>
      </c>
      <c r="D100" s="65"/>
      <c r="E100" s="67" t="s">
        <v>1092</v>
      </c>
      <c r="F100" s="77" t="s">
        <v>1093</v>
      </c>
      <c r="G100" s="67" t="s">
        <v>81</v>
      </c>
      <c r="H100" s="67" t="s">
        <v>1019</v>
      </c>
      <c r="I100" s="67" t="s">
        <v>83</v>
      </c>
      <c r="J100" s="70"/>
      <c r="K100" s="71" t="s">
        <v>32</v>
      </c>
      <c r="L100" s="71" t="s">
        <v>33</v>
      </c>
      <c r="M100" s="71" t="s">
        <v>1090</v>
      </c>
      <c r="N100" s="71" t="str">
        <f t="shared" si="16"/>
        <v>-4A8</v>
      </c>
      <c r="O100" s="63">
        <v>2</v>
      </c>
      <c r="P100" s="72" t="str">
        <f t="shared" si="19"/>
        <v>I38.1</v>
      </c>
      <c r="Q100" s="71" t="str">
        <f t="shared" si="21"/>
        <v>2104_25¶Cut off door¶Opened</v>
      </c>
    </row>
    <row r="101" spans="2:17" ht="14.25">
      <c r="B101" s="65">
        <v>19</v>
      </c>
      <c r="C101" s="65" t="s">
        <v>1094</v>
      </c>
      <c r="D101" s="65"/>
      <c r="E101" s="67" t="s">
        <v>1095</v>
      </c>
      <c r="F101" s="77" t="s">
        <v>1096</v>
      </c>
      <c r="G101" s="67" t="s">
        <v>81</v>
      </c>
      <c r="H101" s="67" t="s">
        <v>1019</v>
      </c>
      <c r="I101" s="67" t="s">
        <v>83</v>
      </c>
      <c r="J101" s="70"/>
      <c r="K101" s="71" t="s">
        <v>32</v>
      </c>
      <c r="L101" s="71" t="s">
        <v>33</v>
      </c>
      <c r="M101" s="71" t="s">
        <v>1090</v>
      </c>
      <c r="N101" s="71" t="str">
        <f t="shared" ref="N101:N132" si="22">L101&amp;M101</f>
        <v>-4A8</v>
      </c>
      <c r="O101" s="63">
        <v>3</v>
      </c>
      <c r="P101" s="72" t="str">
        <f t="shared" si="19"/>
        <v>I38.2</v>
      </c>
      <c r="Q101" s="71" t="str">
        <f t="shared" si="21"/>
        <v>2104_26¶Cut off door¶Opened</v>
      </c>
    </row>
    <row r="102" spans="2:17" ht="14.25">
      <c r="B102" s="65">
        <v>20</v>
      </c>
      <c r="C102" s="65" t="s">
        <v>1097</v>
      </c>
      <c r="D102" s="68"/>
      <c r="E102" s="67" t="s">
        <v>1098</v>
      </c>
      <c r="F102" s="77" t="s">
        <v>1099</v>
      </c>
      <c r="G102" s="67" t="s">
        <v>81</v>
      </c>
      <c r="H102" s="67" t="s">
        <v>1019</v>
      </c>
      <c r="I102" s="67" t="s">
        <v>83</v>
      </c>
      <c r="J102" s="70"/>
      <c r="K102" s="71" t="s">
        <v>32</v>
      </c>
      <c r="L102" s="71" t="s">
        <v>33</v>
      </c>
      <c r="M102" s="71" t="s">
        <v>1090</v>
      </c>
      <c r="N102" s="71" t="str">
        <f t="shared" si="22"/>
        <v>-4A8</v>
      </c>
      <c r="O102" s="63">
        <v>4</v>
      </c>
      <c r="P102" s="72" t="str">
        <f t="shared" si="19"/>
        <v>I38.3</v>
      </c>
      <c r="Q102" s="71" t="str">
        <f t="shared" si="21"/>
        <v>2104_27¶Cut off door¶Opened</v>
      </c>
    </row>
    <row r="103" spans="2:17" ht="14.25">
      <c r="B103" s="65">
        <v>21</v>
      </c>
      <c r="C103" s="65" t="s">
        <v>1100</v>
      </c>
      <c r="D103" s="68"/>
      <c r="E103" s="67" t="s">
        <v>1101</v>
      </c>
      <c r="F103" s="77" t="s">
        <v>1102</v>
      </c>
      <c r="G103" s="67" t="s">
        <v>81</v>
      </c>
      <c r="H103" s="67" t="s">
        <v>1019</v>
      </c>
      <c r="I103" s="67" t="s">
        <v>83</v>
      </c>
      <c r="J103" s="70"/>
      <c r="K103" s="71" t="s">
        <v>32</v>
      </c>
      <c r="L103" s="71" t="s">
        <v>33</v>
      </c>
      <c r="M103" s="71" t="s">
        <v>1090</v>
      </c>
      <c r="N103" s="71" t="str">
        <f t="shared" si="22"/>
        <v>-4A8</v>
      </c>
      <c r="O103" s="63">
        <v>5</v>
      </c>
      <c r="P103" s="72" t="str">
        <f t="shared" si="19"/>
        <v>I38.4</v>
      </c>
      <c r="Q103" s="71" t="str">
        <f t="shared" si="21"/>
        <v>2104_28¶Cut off door¶Opened</v>
      </c>
    </row>
    <row r="104" spans="2:17" ht="14.25">
      <c r="B104" s="65">
        <v>22</v>
      </c>
      <c r="C104" s="65" t="s">
        <v>1103</v>
      </c>
      <c r="D104" s="68"/>
      <c r="E104" s="67" t="s">
        <v>1104</v>
      </c>
      <c r="F104" s="77" t="s">
        <v>1105</v>
      </c>
      <c r="G104" s="67" t="s">
        <v>81</v>
      </c>
      <c r="H104" s="67" t="s">
        <v>1019</v>
      </c>
      <c r="I104" s="67" t="s">
        <v>83</v>
      </c>
      <c r="J104" s="70"/>
      <c r="K104" s="71" t="s">
        <v>32</v>
      </c>
      <c r="L104" s="71" t="s">
        <v>33</v>
      </c>
      <c r="M104" s="71" t="s">
        <v>1090</v>
      </c>
      <c r="N104" s="71" t="str">
        <f t="shared" si="22"/>
        <v>-4A8</v>
      </c>
      <c r="O104" s="63">
        <v>6</v>
      </c>
      <c r="P104" s="72" t="str">
        <f t="shared" si="19"/>
        <v>I38.5</v>
      </c>
      <c r="Q104" s="71" t="str">
        <f t="shared" si="21"/>
        <v>2104_29¶Cut off door¶Opened</v>
      </c>
    </row>
    <row r="105" spans="2:17" ht="14.25">
      <c r="B105" s="65">
        <v>23</v>
      </c>
      <c r="C105" s="65" t="s">
        <v>1106</v>
      </c>
      <c r="D105" s="68"/>
      <c r="E105" s="78">
        <v>1007</v>
      </c>
      <c r="F105" s="78" t="s">
        <v>43</v>
      </c>
      <c r="G105" s="67" t="s">
        <v>1107</v>
      </c>
      <c r="H105" s="67" t="s">
        <v>44</v>
      </c>
      <c r="I105" s="67" t="s">
        <v>1108</v>
      </c>
      <c r="J105" s="70"/>
      <c r="K105" s="71" t="s">
        <v>32</v>
      </c>
      <c r="L105" s="71" t="s">
        <v>33</v>
      </c>
      <c r="M105" s="71" t="s">
        <v>1090</v>
      </c>
      <c r="N105" s="71" t="str">
        <f t="shared" si="22"/>
        <v>-4A8</v>
      </c>
      <c r="O105" s="63">
        <v>7</v>
      </c>
      <c r="P105" s="72" t="str">
        <f t="shared" si="19"/>
        <v>I38.6</v>
      </c>
      <c r="Q105" s="71" t="str">
        <f t="shared" si="21"/>
        <v>1007¶Elevator¶Speed</v>
      </c>
    </row>
    <row r="106" spans="2:17" ht="14.25">
      <c r="B106" s="65">
        <v>24</v>
      </c>
      <c r="C106" s="65" t="s">
        <v>1109</v>
      </c>
      <c r="D106" s="68"/>
      <c r="E106" s="78">
        <v>2020</v>
      </c>
      <c r="F106" s="78" t="s">
        <v>43</v>
      </c>
      <c r="G106" s="67" t="s">
        <v>1107</v>
      </c>
      <c r="H106" s="67" t="s">
        <v>44</v>
      </c>
      <c r="I106" s="67" t="s">
        <v>1108</v>
      </c>
      <c r="J106" s="70"/>
      <c r="K106" s="71" t="s">
        <v>32</v>
      </c>
      <c r="L106" s="71" t="s">
        <v>33</v>
      </c>
      <c r="M106" s="71" t="s">
        <v>1090</v>
      </c>
      <c r="N106" s="71" t="str">
        <f t="shared" si="22"/>
        <v>-4A8</v>
      </c>
      <c r="O106" s="63">
        <v>8</v>
      </c>
      <c r="P106" s="72" t="str">
        <f t="shared" si="19"/>
        <v>I38.7</v>
      </c>
      <c r="Q106" s="71" t="str">
        <f t="shared" si="21"/>
        <v>2020¶Elevator¶Speed</v>
      </c>
    </row>
    <row r="107" spans="2:17" ht="14.25">
      <c r="B107" s="65">
        <v>25</v>
      </c>
      <c r="C107" s="65" t="s">
        <v>1110</v>
      </c>
      <c r="D107" s="68"/>
      <c r="E107" s="78">
        <v>1006</v>
      </c>
      <c r="F107" s="78" t="s">
        <v>36</v>
      </c>
      <c r="G107" s="67" t="s">
        <v>1111</v>
      </c>
      <c r="H107" s="67" t="s">
        <v>65</v>
      </c>
      <c r="I107" s="67" t="s">
        <v>1112</v>
      </c>
      <c r="J107" s="70"/>
      <c r="K107" s="71" t="s">
        <v>32</v>
      </c>
      <c r="L107" s="71" t="s">
        <v>33</v>
      </c>
      <c r="M107" s="71" t="s">
        <v>1090</v>
      </c>
      <c r="N107" s="71" t="str">
        <f t="shared" si="22"/>
        <v>-4A8</v>
      </c>
      <c r="O107" s="63">
        <v>9</v>
      </c>
      <c r="P107" s="72" t="str">
        <f t="shared" si="19"/>
        <v>I39.0</v>
      </c>
      <c r="Q107" s="71" t="str">
        <f t="shared" si="21"/>
        <v>1006¶conveyor¶Plug-up sensor</v>
      </c>
    </row>
    <row r="108" spans="2:17" ht="14.25">
      <c r="B108" s="65">
        <v>26</v>
      </c>
      <c r="C108" s="65" t="s">
        <v>1113</v>
      </c>
      <c r="D108" s="68"/>
      <c r="E108" s="78">
        <v>1007</v>
      </c>
      <c r="F108" s="78" t="s">
        <v>43</v>
      </c>
      <c r="G108" s="67" t="s">
        <v>1114</v>
      </c>
      <c r="H108" s="67" t="s">
        <v>44</v>
      </c>
      <c r="I108" s="67" t="s">
        <v>1115</v>
      </c>
      <c r="J108" s="70"/>
      <c r="K108" s="71" t="s">
        <v>32</v>
      </c>
      <c r="L108" s="71" t="s">
        <v>33</v>
      </c>
      <c r="M108" s="71" t="s">
        <v>1090</v>
      </c>
      <c r="N108" s="71" t="str">
        <f t="shared" si="22"/>
        <v>-4A8</v>
      </c>
      <c r="O108" s="63">
        <v>10</v>
      </c>
      <c r="P108" s="72" t="str">
        <f t="shared" si="19"/>
        <v>I39.1</v>
      </c>
      <c r="Q108" s="71" t="str">
        <f t="shared" si="21"/>
        <v>1007¶Elevator¶High Belt alignment</v>
      </c>
    </row>
    <row r="109" spans="2:17" ht="14.25">
      <c r="B109" s="65">
        <v>27</v>
      </c>
      <c r="C109" s="65" t="s">
        <v>1116</v>
      </c>
      <c r="D109" s="65"/>
      <c r="E109" s="78">
        <v>1007</v>
      </c>
      <c r="F109" s="78" t="s">
        <v>43</v>
      </c>
      <c r="G109" s="67" t="s">
        <v>1117</v>
      </c>
      <c r="H109" s="67" t="s">
        <v>44</v>
      </c>
      <c r="I109" s="67" t="s">
        <v>1118</v>
      </c>
      <c r="J109" s="70"/>
      <c r="K109" s="71" t="s">
        <v>32</v>
      </c>
      <c r="L109" s="71" t="s">
        <v>33</v>
      </c>
      <c r="M109" s="71" t="s">
        <v>1090</v>
      </c>
      <c r="N109" s="71" t="str">
        <f t="shared" si="22"/>
        <v>-4A8</v>
      </c>
      <c r="O109" s="63">
        <v>11</v>
      </c>
      <c r="P109" s="72" t="str">
        <f t="shared" si="19"/>
        <v>I39.2</v>
      </c>
      <c r="Q109" s="71" t="str">
        <f t="shared" si="21"/>
        <v>1007¶Elevator¶Low Belt alignment</v>
      </c>
    </row>
    <row r="110" spans="2:17" ht="14.25">
      <c r="B110" s="65">
        <v>28</v>
      </c>
      <c r="C110" s="65" t="s">
        <v>1119</v>
      </c>
      <c r="D110" s="65"/>
      <c r="E110" s="78">
        <v>2020</v>
      </c>
      <c r="F110" s="78" t="s">
        <v>43</v>
      </c>
      <c r="G110" s="67" t="s">
        <v>1114</v>
      </c>
      <c r="H110" s="67" t="s">
        <v>44</v>
      </c>
      <c r="I110" s="67" t="s">
        <v>1115</v>
      </c>
      <c r="J110" s="70"/>
      <c r="K110" s="71" t="s">
        <v>32</v>
      </c>
      <c r="L110" s="71" t="s">
        <v>33</v>
      </c>
      <c r="M110" s="71" t="s">
        <v>1090</v>
      </c>
      <c r="N110" s="71" t="str">
        <f t="shared" si="22"/>
        <v>-4A8</v>
      </c>
      <c r="O110" s="63">
        <v>12</v>
      </c>
      <c r="P110" s="72" t="str">
        <f t="shared" si="19"/>
        <v>I39.3</v>
      </c>
      <c r="Q110" s="71" t="str">
        <f t="shared" si="21"/>
        <v>2020¶Elevator¶High Belt alignment</v>
      </c>
    </row>
    <row r="111" spans="2:17" ht="14.25">
      <c r="B111" s="65">
        <v>29</v>
      </c>
      <c r="C111" s="65" t="s">
        <v>1120</v>
      </c>
      <c r="D111" s="65"/>
      <c r="E111" s="78">
        <v>2020</v>
      </c>
      <c r="F111" s="78" t="s">
        <v>43</v>
      </c>
      <c r="G111" s="67" t="s">
        <v>1117</v>
      </c>
      <c r="H111" s="67" t="s">
        <v>44</v>
      </c>
      <c r="I111" s="67" t="s">
        <v>1118</v>
      </c>
      <c r="J111" s="70"/>
      <c r="K111" s="71" t="s">
        <v>32</v>
      </c>
      <c r="L111" s="71" t="s">
        <v>33</v>
      </c>
      <c r="M111" s="71" t="s">
        <v>1090</v>
      </c>
      <c r="N111" s="71" t="str">
        <f t="shared" si="22"/>
        <v>-4A8</v>
      </c>
      <c r="O111" s="63">
        <v>13</v>
      </c>
      <c r="P111" s="72" t="str">
        <f t="shared" si="19"/>
        <v>I39.4</v>
      </c>
      <c r="Q111" s="71" t="str">
        <f t="shared" si="21"/>
        <v>2020¶Elevator¶Low Belt alignment</v>
      </c>
    </row>
    <row r="112" spans="2:17" ht="14.25">
      <c r="B112" s="65">
        <v>30</v>
      </c>
      <c r="C112" s="65" t="s">
        <v>1121</v>
      </c>
      <c r="D112" s="65"/>
      <c r="E112" s="67" t="s">
        <v>1122</v>
      </c>
      <c r="F112" s="67" t="s">
        <v>1123</v>
      </c>
      <c r="G112" s="67" t="s">
        <v>1124</v>
      </c>
      <c r="H112" s="67" t="s">
        <v>1125</v>
      </c>
      <c r="I112" s="67"/>
      <c r="J112" s="70"/>
      <c r="K112" s="71" t="s">
        <v>32</v>
      </c>
      <c r="L112" s="71" t="s">
        <v>33</v>
      </c>
      <c r="M112" s="71" t="s">
        <v>1090</v>
      </c>
      <c r="N112" s="71" t="str">
        <f t="shared" si="22"/>
        <v>-4A8</v>
      </c>
      <c r="O112" s="63">
        <v>14</v>
      </c>
      <c r="P112" s="72" t="str">
        <f t="shared" si="19"/>
        <v>I39.5</v>
      </c>
      <c r="Q112" s="71" t="str">
        <f t="shared" si="21"/>
        <v>YDPB1¶Add response¶</v>
      </c>
    </row>
    <row r="113" spans="2:17" ht="14.25">
      <c r="B113" s="65">
        <v>31</v>
      </c>
      <c r="C113" s="65" t="s">
        <v>1126</v>
      </c>
      <c r="D113" s="65"/>
      <c r="E113" s="67" t="s">
        <v>1122</v>
      </c>
      <c r="F113" s="67" t="s">
        <v>1123</v>
      </c>
      <c r="G113" s="67" t="s">
        <v>1127</v>
      </c>
      <c r="H113" s="67" t="s">
        <v>1128</v>
      </c>
      <c r="I113" s="67"/>
      <c r="J113" s="70"/>
      <c r="K113" s="71" t="s">
        <v>32</v>
      </c>
      <c r="L113" s="71" t="s">
        <v>33</v>
      </c>
      <c r="M113" s="71" t="s">
        <v>1090</v>
      </c>
      <c r="N113" s="71" t="str">
        <f t="shared" si="22"/>
        <v>-4A8</v>
      </c>
      <c r="O113" s="63">
        <v>15</v>
      </c>
      <c r="P113" s="72" t="str">
        <f t="shared" ref="P113:P143" si="23">C113</f>
        <v>I39.6</v>
      </c>
      <c r="Q113" s="71" t="str">
        <f t="shared" si="21"/>
        <v>YDPB1¶Add finish¶</v>
      </c>
    </row>
    <row r="114" spans="2:17" ht="14.25">
      <c r="B114" s="65">
        <v>32</v>
      </c>
      <c r="C114" s="65" t="s">
        <v>1129</v>
      </c>
      <c r="D114" s="65"/>
      <c r="E114" s="67" t="s">
        <v>1130</v>
      </c>
      <c r="F114" s="67" t="s">
        <v>1131</v>
      </c>
      <c r="G114" s="67" t="s">
        <v>1127</v>
      </c>
      <c r="H114" s="67" t="s">
        <v>1128</v>
      </c>
      <c r="I114" s="67"/>
      <c r="J114" s="70"/>
      <c r="K114" s="71" t="s">
        <v>32</v>
      </c>
      <c r="L114" s="71" t="s">
        <v>33</v>
      </c>
      <c r="M114" s="71" t="s">
        <v>1090</v>
      </c>
      <c r="N114" s="71" t="str">
        <f t="shared" si="22"/>
        <v>-4A8</v>
      </c>
      <c r="O114" s="63">
        <v>16</v>
      </c>
      <c r="P114" s="72" t="str">
        <f t="shared" si="23"/>
        <v>I39.7</v>
      </c>
      <c r="Q114" s="71" t="str">
        <f t="shared" si="21"/>
        <v>YMIB1¶Add finish¶</v>
      </c>
    </row>
    <row r="115" spans="2:17" ht="14.25">
      <c r="B115" s="65">
        <v>33</v>
      </c>
      <c r="C115" s="65" t="s">
        <v>1132</v>
      </c>
      <c r="D115" s="65"/>
      <c r="E115" s="67" t="s">
        <v>1133</v>
      </c>
      <c r="F115" s="67" t="s">
        <v>1131</v>
      </c>
      <c r="G115" s="67" t="s">
        <v>1127</v>
      </c>
      <c r="H115" s="67" t="s">
        <v>1128</v>
      </c>
      <c r="I115" s="67"/>
      <c r="J115" s="70"/>
      <c r="K115" s="71" t="s">
        <v>32</v>
      </c>
      <c r="L115" s="71" t="s">
        <v>33</v>
      </c>
      <c r="M115" s="71" t="s">
        <v>1134</v>
      </c>
      <c r="N115" s="71" t="str">
        <f t="shared" si="22"/>
        <v>-4A9</v>
      </c>
      <c r="O115" s="63">
        <v>1</v>
      </c>
      <c r="P115" s="72" t="str">
        <f t="shared" si="23"/>
        <v>I40.0</v>
      </c>
      <c r="Q115" s="71" t="str">
        <f t="shared" si="21"/>
        <v>YMIB2¶Add finish¶</v>
      </c>
    </row>
    <row r="116" spans="2:17" ht="14.25">
      <c r="B116" s="65">
        <v>34</v>
      </c>
      <c r="C116" s="65" t="s">
        <v>1135</v>
      </c>
      <c r="D116" s="65"/>
      <c r="E116" s="67" t="s">
        <v>1136</v>
      </c>
      <c r="F116" s="67" t="s">
        <v>1131</v>
      </c>
      <c r="G116" s="67" t="s">
        <v>1127</v>
      </c>
      <c r="H116" s="67" t="s">
        <v>1128</v>
      </c>
      <c r="I116" s="67"/>
      <c r="J116" s="70"/>
      <c r="K116" s="71" t="s">
        <v>32</v>
      </c>
      <c r="L116" s="71" t="s">
        <v>33</v>
      </c>
      <c r="M116" s="71" t="s">
        <v>1134</v>
      </c>
      <c r="N116" s="71" t="str">
        <f t="shared" si="22"/>
        <v>-4A9</v>
      </c>
      <c r="O116" s="63">
        <v>2</v>
      </c>
      <c r="P116" s="72" t="str">
        <f t="shared" si="23"/>
        <v>I40.1</v>
      </c>
      <c r="Q116" s="71" t="str">
        <f t="shared" si="21"/>
        <v>YMIB3¶Add finish¶</v>
      </c>
    </row>
    <row r="117" spans="2:17" ht="14.25">
      <c r="B117" s="65">
        <v>35</v>
      </c>
      <c r="C117" s="65" t="s">
        <v>1137</v>
      </c>
      <c r="D117" s="65"/>
      <c r="E117" s="67">
        <v>1013</v>
      </c>
      <c r="F117" s="67" t="s">
        <v>52</v>
      </c>
      <c r="G117" s="67" t="s">
        <v>1138</v>
      </c>
      <c r="H117" s="67" t="s">
        <v>53</v>
      </c>
      <c r="I117" s="67" t="s">
        <v>1139</v>
      </c>
      <c r="J117" s="70"/>
      <c r="K117" s="71" t="s">
        <v>32</v>
      </c>
      <c r="L117" s="71" t="s">
        <v>33</v>
      </c>
      <c r="M117" s="71" t="s">
        <v>1134</v>
      </c>
      <c r="N117" s="71" t="str">
        <f t="shared" si="22"/>
        <v>-4A9</v>
      </c>
      <c r="O117" s="63">
        <v>3</v>
      </c>
      <c r="P117" s="72" t="str">
        <f t="shared" si="23"/>
        <v>I40.2</v>
      </c>
      <c r="Q117" s="71" t="str">
        <f t="shared" si="21"/>
        <v>1013¶distributor¶TO P01</v>
      </c>
    </row>
    <row r="118" spans="2:17" ht="14.25">
      <c r="B118" s="65">
        <v>36</v>
      </c>
      <c r="C118" s="65" t="s">
        <v>1140</v>
      </c>
      <c r="D118" s="68"/>
      <c r="E118" s="67">
        <v>1013</v>
      </c>
      <c r="F118" s="67" t="s">
        <v>52</v>
      </c>
      <c r="G118" s="67" t="s">
        <v>1141</v>
      </c>
      <c r="H118" s="67" t="s">
        <v>53</v>
      </c>
      <c r="I118" s="67" t="s">
        <v>1142</v>
      </c>
      <c r="J118" s="70"/>
      <c r="K118" s="71" t="s">
        <v>32</v>
      </c>
      <c r="L118" s="71" t="s">
        <v>33</v>
      </c>
      <c r="M118" s="71" t="s">
        <v>1134</v>
      </c>
      <c r="N118" s="71" t="str">
        <f t="shared" si="22"/>
        <v>-4A9</v>
      </c>
      <c r="O118" s="63">
        <v>4</v>
      </c>
      <c r="P118" s="72" t="str">
        <f t="shared" si="23"/>
        <v>I40.3</v>
      </c>
      <c r="Q118" s="71" t="str">
        <f t="shared" si="21"/>
        <v>1013¶distributor¶TO P02</v>
      </c>
    </row>
    <row r="119" spans="2:17" ht="14.25">
      <c r="B119" s="65">
        <v>37</v>
      </c>
      <c r="C119" s="65" t="s">
        <v>1143</v>
      </c>
      <c r="D119" s="68"/>
      <c r="E119" s="67">
        <v>1013</v>
      </c>
      <c r="F119" s="67" t="s">
        <v>52</v>
      </c>
      <c r="G119" s="67" t="s">
        <v>1144</v>
      </c>
      <c r="H119" s="67" t="s">
        <v>53</v>
      </c>
      <c r="I119" s="67" t="s">
        <v>1145</v>
      </c>
      <c r="J119" s="70"/>
      <c r="K119" s="71" t="s">
        <v>32</v>
      </c>
      <c r="L119" s="71" t="s">
        <v>33</v>
      </c>
      <c r="M119" s="71" t="s">
        <v>1134</v>
      </c>
      <c r="N119" s="71" t="str">
        <f t="shared" si="22"/>
        <v>-4A9</v>
      </c>
      <c r="O119" s="63">
        <v>5</v>
      </c>
      <c r="P119" s="72" t="str">
        <f t="shared" si="23"/>
        <v>I40.4</v>
      </c>
      <c r="Q119" s="71" t="str">
        <f t="shared" si="21"/>
        <v>1013¶distributor¶TO P03</v>
      </c>
    </row>
    <row r="120" spans="2:17" ht="14.25">
      <c r="B120" s="65">
        <v>38</v>
      </c>
      <c r="C120" s="65" t="s">
        <v>1146</v>
      </c>
      <c r="D120" s="68"/>
      <c r="E120" s="67">
        <v>1013</v>
      </c>
      <c r="F120" s="67" t="s">
        <v>52</v>
      </c>
      <c r="G120" s="67" t="s">
        <v>1147</v>
      </c>
      <c r="H120" s="67" t="s">
        <v>53</v>
      </c>
      <c r="I120" s="67" t="s">
        <v>1148</v>
      </c>
      <c r="J120" s="70"/>
      <c r="K120" s="71" t="s">
        <v>32</v>
      </c>
      <c r="L120" s="71" t="s">
        <v>33</v>
      </c>
      <c r="M120" s="71" t="s">
        <v>1134</v>
      </c>
      <c r="N120" s="71" t="str">
        <f t="shared" si="22"/>
        <v>-4A9</v>
      </c>
      <c r="O120" s="63">
        <v>6</v>
      </c>
      <c r="P120" s="72" t="str">
        <f t="shared" si="23"/>
        <v>I40.5</v>
      </c>
      <c r="Q120" s="71" t="str">
        <f t="shared" si="21"/>
        <v>1013¶distributor¶TO P04</v>
      </c>
    </row>
    <row r="121" spans="2:17" ht="14.25">
      <c r="B121" s="65">
        <v>39</v>
      </c>
      <c r="C121" s="65" t="s">
        <v>1149</v>
      </c>
      <c r="D121" s="68"/>
      <c r="E121" s="67">
        <v>2033</v>
      </c>
      <c r="F121" s="67" t="s">
        <v>52</v>
      </c>
      <c r="G121" s="67" t="s">
        <v>1150</v>
      </c>
      <c r="H121" s="67" t="s">
        <v>53</v>
      </c>
      <c r="I121" s="67" t="s">
        <v>1151</v>
      </c>
      <c r="J121" s="70"/>
      <c r="K121" s="71" t="s">
        <v>32</v>
      </c>
      <c r="L121" s="71" t="s">
        <v>33</v>
      </c>
      <c r="M121" s="71" t="s">
        <v>1134</v>
      </c>
      <c r="N121" s="71" t="str">
        <f t="shared" si="22"/>
        <v>-4A9</v>
      </c>
      <c r="O121" s="63">
        <v>7</v>
      </c>
      <c r="P121" s="72" t="str">
        <f t="shared" si="23"/>
        <v>I40.6</v>
      </c>
      <c r="Q121" s="71" t="str">
        <f t="shared" si="21"/>
        <v>2033¶distributor¶TO M05</v>
      </c>
    </row>
    <row r="122" spans="2:17" ht="14.25">
      <c r="B122" s="65">
        <v>40</v>
      </c>
      <c r="C122" s="65" t="s">
        <v>1152</v>
      </c>
      <c r="D122" s="68"/>
      <c r="E122" s="67">
        <v>2033</v>
      </c>
      <c r="F122" s="67" t="s">
        <v>52</v>
      </c>
      <c r="G122" s="67" t="s">
        <v>1153</v>
      </c>
      <c r="H122" s="67" t="s">
        <v>53</v>
      </c>
      <c r="I122" s="67" t="s">
        <v>1154</v>
      </c>
      <c r="J122" s="70"/>
      <c r="K122" s="71" t="s">
        <v>32</v>
      </c>
      <c r="L122" s="71" t="s">
        <v>33</v>
      </c>
      <c r="M122" s="71" t="s">
        <v>1134</v>
      </c>
      <c r="N122" s="71" t="str">
        <f t="shared" si="22"/>
        <v>-4A9</v>
      </c>
      <c r="O122" s="63">
        <v>8</v>
      </c>
      <c r="P122" s="72" t="str">
        <f t="shared" si="23"/>
        <v>I40.7</v>
      </c>
      <c r="Q122" s="71" t="str">
        <f t="shared" si="21"/>
        <v>2033¶distributor¶TO M06</v>
      </c>
    </row>
    <row r="123" spans="2:17" ht="14.25">
      <c r="B123" s="65">
        <v>41</v>
      </c>
      <c r="C123" s="65" t="s">
        <v>1155</v>
      </c>
      <c r="D123" s="68"/>
      <c r="E123" s="67">
        <v>2033</v>
      </c>
      <c r="F123" s="67" t="s">
        <v>52</v>
      </c>
      <c r="G123" s="67" t="s">
        <v>1156</v>
      </c>
      <c r="H123" s="67" t="s">
        <v>53</v>
      </c>
      <c r="I123" s="67" t="s">
        <v>1157</v>
      </c>
      <c r="J123" s="70"/>
      <c r="K123" s="71" t="s">
        <v>32</v>
      </c>
      <c r="L123" s="71" t="s">
        <v>33</v>
      </c>
      <c r="M123" s="71" t="s">
        <v>1134</v>
      </c>
      <c r="N123" s="71" t="str">
        <f t="shared" si="22"/>
        <v>-4A9</v>
      </c>
      <c r="O123" s="63">
        <v>9</v>
      </c>
      <c r="P123" s="72" t="str">
        <f t="shared" si="23"/>
        <v>I41.0</v>
      </c>
      <c r="Q123" s="71" t="str">
        <f t="shared" si="21"/>
        <v>2033¶distributor¶TO M07</v>
      </c>
    </row>
    <row r="124" spans="2:17" ht="14.25">
      <c r="B124" s="65">
        <v>42</v>
      </c>
      <c r="C124" s="65" t="s">
        <v>1158</v>
      </c>
      <c r="D124" s="68"/>
      <c r="E124" s="67">
        <v>2033</v>
      </c>
      <c r="F124" s="67" t="s">
        <v>52</v>
      </c>
      <c r="G124" s="67" t="s">
        <v>1159</v>
      </c>
      <c r="H124" s="67" t="s">
        <v>53</v>
      </c>
      <c r="I124" s="67" t="s">
        <v>1160</v>
      </c>
      <c r="J124" s="70"/>
      <c r="K124" s="71" t="s">
        <v>32</v>
      </c>
      <c r="L124" s="71" t="s">
        <v>33</v>
      </c>
      <c r="M124" s="71" t="s">
        <v>1134</v>
      </c>
      <c r="N124" s="71" t="str">
        <f t="shared" si="22"/>
        <v>-4A9</v>
      </c>
      <c r="O124" s="63">
        <v>10</v>
      </c>
      <c r="P124" s="72" t="str">
        <f t="shared" si="23"/>
        <v>I41.1</v>
      </c>
      <c r="Q124" s="71" t="str">
        <f t="shared" si="21"/>
        <v>2033¶distributor¶TO M08</v>
      </c>
    </row>
    <row r="125" spans="2:17" ht="14.25">
      <c r="B125" s="65">
        <v>43</v>
      </c>
      <c r="C125" s="65" t="s">
        <v>1161</v>
      </c>
      <c r="D125" s="68"/>
      <c r="E125" s="67">
        <v>2033</v>
      </c>
      <c r="F125" s="67" t="s">
        <v>52</v>
      </c>
      <c r="G125" s="67" t="s">
        <v>1162</v>
      </c>
      <c r="H125" s="67" t="s">
        <v>53</v>
      </c>
      <c r="I125" s="67" t="s">
        <v>1163</v>
      </c>
      <c r="J125" s="70"/>
      <c r="K125" s="71" t="s">
        <v>32</v>
      </c>
      <c r="L125" s="71" t="s">
        <v>33</v>
      </c>
      <c r="M125" s="71" t="s">
        <v>1134</v>
      </c>
      <c r="N125" s="71" t="str">
        <f t="shared" si="22"/>
        <v>-4A9</v>
      </c>
      <c r="O125" s="63">
        <v>11</v>
      </c>
      <c r="P125" s="72" t="str">
        <f t="shared" si="23"/>
        <v>I41.2</v>
      </c>
      <c r="Q125" s="71" t="str">
        <f t="shared" si="21"/>
        <v>2033¶distributor¶TO M09</v>
      </c>
    </row>
    <row r="126" spans="2:17" ht="14.25">
      <c r="B126" s="65">
        <v>44</v>
      </c>
      <c r="C126" s="65" t="s">
        <v>1164</v>
      </c>
      <c r="D126" s="68"/>
      <c r="E126" s="67">
        <v>2033</v>
      </c>
      <c r="F126" s="67" t="s">
        <v>52</v>
      </c>
      <c r="G126" s="67" t="s">
        <v>1165</v>
      </c>
      <c r="H126" s="67" t="s">
        <v>53</v>
      </c>
      <c r="I126" s="67" t="s">
        <v>1166</v>
      </c>
      <c r="J126" s="70"/>
      <c r="K126" s="71" t="s">
        <v>32</v>
      </c>
      <c r="L126" s="71" t="s">
        <v>33</v>
      </c>
      <c r="M126" s="71" t="s">
        <v>1134</v>
      </c>
      <c r="N126" s="71" t="str">
        <f t="shared" si="22"/>
        <v>-4A9</v>
      </c>
      <c r="O126" s="63">
        <v>12</v>
      </c>
      <c r="P126" s="72" t="str">
        <f t="shared" si="23"/>
        <v>I41.3</v>
      </c>
      <c r="Q126" s="71" t="str">
        <f t="shared" si="21"/>
        <v>2033¶distributor¶TO M10</v>
      </c>
    </row>
    <row r="127" spans="2:17" ht="14.25">
      <c r="B127" s="65">
        <v>45</v>
      </c>
      <c r="C127" s="65" t="s">
        <v>1167</v>
      </c>
      <c r="D127" s="68"/>
      <c r="E127" s="67">
        <v>2033</v>
      </c>
      <c r="F127" s="67" t="s">
        <v>52</v>
      </c>
      <c r="G127" s="67" t="s">
        <v>1168</v>
      </c>
      <c r="H127" s="67" t="s">
        <v>53</v>
      </c>
      <c r="I127" s="67" t="s">
        <v>1169</v>
      </c>
      <c r="J127" s="70"/>
      <c r="K127" s="71" t="s">
        <v>32</v>
      </c>
      <c r="L127" s="71" t="s">
        <v>33</v>
      </c>
      <c r="M127" s="71" t="s">
        <v>1134</v>
      </c>
      <c r="N127" s="71" t="str">
        <f t="shared" si="22"/>
        <v>-4A9</v>
      </c>
      <c r="O127" s="63">
        <v>13</v>
      </c>
      <c r="P127" s="72" t="str">
        <f t="shared" si="23"/>
        <v>I41.4</v>
      </c>
      <c r="Q127" s="71" t="str">
        <f t="shared" si="21"/>
        <v>2033¶distributor¶TO M18</v>
      </c>
    </row>
    <row r="128" spans="2:17" ht="14.25">
      <c r="B128" s="65">
        <v>46</v>
      </c>
      <c r="C128" s="65" t="s">
        <v>1170</v>
      </c>
      <c r="D128" s="65"/>
      <c r="E128" s="67">
        <v>2033</v>
      </c>
      <c r="F128" s="67" t="s">
        <v>52</v>
      </c>
      <c r="G128" s="67" t="s">
        <v>1171</v>
      </c>
      <c r="H128" s="67" t="s">
        <v>53</v>
      </c>
      <c r="I128" s="67" t="s">
        <v>1172</v>
      </c>
      <c r="J128" s="70"/>
      <c r="K128" s="71" t="s">
        <v>32</v>
      </c>
      <c r="L128" s="71" t="s">
        <v>33</v>
      </c>
      <c r="M128" s="71" t="s">
        <v>1134</v>
      </c>
      <c r="N128" s="71" t="str">
        <f t="shared" si="22"/>
        <v>-4A9</v>
      </c>
      <c r="O128" s="63">
        <v>14</v>
      </c>
      <c r="P128" s="72" t="str">
        <f t="shared" si="23"/>
        <v>I41.5</v>
      </c>
      <c r="Q128" s="71" t="str">
        <f t="shared" si="21"/>
        <v>2033¶distributor¶TO M19</v>
      </c>
    </row>
    <row r="129" spans="2:17" ht="14.25">
      <c r="B129" s="65">
        <v>47</v>
      </c>
      <c r="C129" s="65" t="s">
        <v>1173</v>
      </c>
      <c r="D129" s="65"/>
      <c r="E129" s="79" t="s">
        <v>1130</v>
      </c>
      <c r="F129" s="79" t="s">
        <v>1174</v>
      </c>
      <c r="G129" s="80" t="s">
        <v>1175</v>
      </c>
      <c r="H129" s="80" t="s">
        <v>1176</v>
      </c>
      <c r="I129" s="80" t="s">
        <v>1177</v>
      </c>
      <c r="J129" s="86">
        <v>20211111</v>
      </c>
      <c r="K129" s="71" t="s">
        <v>32</v>
      </c>
      <c r="L129" s="71" t="s">
        <v>33</v>
      </c>
      <c r="M129" s="71" t="s">
        <v>1134</v>
      </c>
      <c r="N129" s="71" t="str">
        <f t="shared" si="22"/>
        <v>-4A9</v>
      </c>
      <c r="O129" s="63">
        <v>15</v>
      </c>
      <c r="P129" s="72" t="str">
        <f t="shared" si="23"/>
        <v>I41.6</v>
      </c>
      <c r="Q129" s="71" t="str">
        <f t="shared" si="21"/>
        <v>YMIB1¶投料口门锁到位信号¶5层</v>
      </c>
    </row>
    <row r="130" spans="2:17" ht="14.25">
      <c r="B130" s="65">
        <v>48</v>
      </c>
      <c r="C130" s="65" t="s">
        <v>1178</v>
      </c>
      <c r="D130" s="65"/>
      <c r="E130" s="79" t="s">
        <v>1136</v>
      </c>
      <c r="F130" s="79" t="s">
        <v>1179</v>
      </c>
      <c r="G130" s="80" t="s">
        <v>1175</v>
      </c>
      <c r="H130" s="80" t="s">
        <v>1176</v>
      </c>
      <c r="I130" s="80" t="s">
        <v>1180</v>
      </c>
      <c r="J130" s="87">
        <v>20211111</v>
      </c>
      <c r="K130" s="71" t="s">
        <v>32</v>
      </c>
      <c r="L130" s="71" t="s">
        <v>33</v>
      </c>
      <c r="M130" s="71" t="s">
        <v>1134</v>
      </c>
      <c r="N130" s="71" t="str">
        <f t="shared" si="22"/>
        <v>-4A9</v>
      </c>
      <c r="O130" s="63">
        <v>16</v>
      </c>
      <c r="P130" s="72" t="str">
        <f t="shared" si="23"/>
        <v>I41.7</v>
      </c>
      <c r="Q130" s="71" t="e">
        <f>#REF!&amp;K130&amp;#REF!&amp;K130&amp;#REF!</f>
        <v>#REF!</v>
      </c>
    </row>
    <row r="131" spans="2:17" ht="14.25">
      <c r="B131" s="65">
        <v>49</v>
      </c>
      <c r="C131" s="65" t="s">
        <v>1181</v>
      </c>
      <c r="D131" s="65"/>
      <c r="E131" s="79"/>
      <c r="F131" s="79"/>
      <c r="G131" s="80"/>
      <c r="H131" s="80"/>
      <c r="I131" s="80"/>
      <c r="J131" s="87"/>
      <c r="K131" s="71" t="s">
        <v>32</v>
      </c>
      <c r="L131" s="71" t="s">
        <v>33</v>
      </c>
      <c r="M131" s="71" t="s">
        <v>1182</v>
      </c>
      <c r="N131" s="71" t="str">
        <f t="shared" si="22"/>
        <v>-4A10</v>
      </c>
      <c r="O131" s="63">
        <v>1</v>
      </c>
      <c r="P131" s="72" t="str">
        <f t="shared" si="23"/>
        <v>I42.0</v>
      </c>
      <c r="Q131" s="71" t="str">
        <f t="shared" ref="Q131" si="24">E131&amp;K131&amp;H131&amp;K131&amp;I131</f>
        <v>¶¶</v>
      </c>
    </row>
    <row r="132" spans="2:17" s="61" customFormat="1">
      <c r="B132" s="69">
        <v>50</v>
      </c>
      <c r="C132" s="69" t="s">
        <v>1183</v>
      </c>
      <c r="D132" s="69"/>
      <c r="K132" s="74" t="s">
        <v>32</v>
      </c>
      <c r="L132" s="74" t="s">
        <v>33</v>
      </c>
      <c r="M132" s="71" t="s">
        <v>1182</v>
      </c>
      <c r="N132" s="74" t="str">
        <f t="shared" ref="N132" si="25">L132&amp;M132</f>
        <v>-4A10</v>
      </c>
      <c r="O132" s="75">
        <v>2</v>
      </c>
      <c r="P132" s="76" t="str">
        <f t="shared" si="23"/>
        <v>I42.1</v>
      </c>
      <c r="Q132" s="74" t="e">
        <f>#REF!&amp;K132&amp;#REF!&amp;K132&amp;#REF!</f>
        <v>#REF!</v>
      </c>
    </row>
    <row r="133" spans="2:17" ht="14.25">
      <c r="B133" s="65">
        <v>51</v>
      </c>
      <c r="C133" s="65" t="s">
        <v>1184</v>
      </c>
      <c r="D133" s="65"/>
      <c r="E133" s="67"/>
      <c r="F133" s="67"/>
      <c r="G133" s="67"/>
      <c r="H133" s="67"/>
      <c r="I133" s="67"/>
      <c r="J133" s="70"/>
      <c r="K133" s="71" t="s">
        <v>32</v>
      </c>
      <c r="L133" s="71" t="s">
        <v>33</v>
      </c>
      <c r="M133" s="71" t="s">
        <v>1182</v>
      </c>
      <c r="N133" s="71" t="str">
        <f t="shared" ref="N133:N146" si="26">L133&amp;M133</f>
        <v>-4A10</v>
      </c>
      <c r="O133" s="63">
        <v>3</v>
      </c>
      <c r="P133" s="72" t="str">
        <f t="shared" si="23"/>
        <v>I42.2</v>
      </c>
      <c r="Q133" s="71" t="str">
        <f t="shared" ref="Q133" si="27">E133&amp;K133&amp;H133&amp;K133&amp;I133</f>
        <v>¶¶</v>
      </c>
    </row>
    <row r="134" spans="2:17" ht="14.25">
      <c r="B134" s="65">
        <v>52</v>
      </c>
      <c r="C134" s="65" t="s">
        <v>1185</v>
      </c>
      <c r="D134" s="65"/>
      <c r="E134" s="67"/>
      <c r="F134" s="67"/>
      <c r="G134" s="67"/>
      <c r="H134" s="67"/>
      <c r="I134" s="67"/>
      <c r="J134" s="70"/>
      <c r="K134" s="71" t="s">
        <v>32</v>
      </c>
      <c r="L134" s="71" t="s">
        <v>33</v>
      </c>
      <c r="M134" s="71" t="s">
        <v>1182</v>
      </c>
      <c r="N134" s="71" t="str">
        <f t="shared" si="26"/>
        <v>-4A10</v>
      </c>
      <c r="O134" s="63">
        <v>4</v>
      </c>
      <c r="P134" s="72" t="str">
        <f t="shared" si="23"/>
        <v>I42.3</v>
      </c>
      <c r="Q134" s="71" t="str">
        <f t="shared" ref="Q134:Q146" si="28">E134&amp;K134&amp;H134&amp;K134&amp;I134</f>
        <v>¶¶</v>
      </c>
    </row>
    <row r="135" spans="2:17" ht="14.25">
      <c r="B135" s="65">
        <v>53</v>
      </c>
      <c r="C135" s="65" t="s">
        <v>1186</v>
      </c>
      <c r="D135" s="65"/>
      <c r="E135" s="67"/>
      <c r="F135" s="67"/>
      <c r="G135" s="67"/>
      <c r="H135" s="67"/>
      <c r="I135" s="67"/>
      <c r="J135" s="70"/>
      <c r="K135" s="71" t="s">
        <v>32</v>
      </c>
      <c r="L135" s="71" t="s">
        <v>33</v>
      </c>
      <c r="M135" s="71" t="s">
        <v>1182</v>
      </c>
      <c r="N135" s="71" t="str">
        <f t="shared" si="26"/>
        <v>-4A10</v>
      </c>
      <c r="O135" s="63">
        <v>5</v>
      </c>
      <c r="P135" s="72" t="str">
        <f t="shared" si="23"/>
        <v>I42.4</v>
      </c>
      <c r="Q135" s="71" t="str">
        <f t="shared" si="28"/>
        <v>¶¶</v>
      </c>
    </row>
    <row r="136" spans="2:17" ht="14.25">
      <c r="B136" s="65">
        <v>54</v>
      </c>
      <c r="C136" s="65" t="s">
        <v>1187</v>
      </c>
      <c r="D136" s="68"/>
      <c r="E136" s="67"/>
      <c r="F136" s="67"/>
      <c r="G136" s="67"/>
      <c r="H136" s="67"/>
      <c r="I136" s="67"/>
      <c r="J136" s="70"/>
      <c r="K136" s="71" t="s">
        <v>32</v>
      </c>
      <c r="L136" s="71" t="s">
        <v>33</v>
      </c>
      <c r="M136" s="71" t="s">
        <v>1182</v>
      </c>
      <c r="N136" s="71" t="str">
        <f t="shared" si="26"/>
        <v>-4A10</v>
      </c>
      <c r="O136" s="63">
        <v>6</v>
      </c>
      <c r="P136" s="72" t="str">
        <f t="shared" si="23"/>
        <v>I42.5</v>
      </c>
      <c r="Q136" s="71" t="str">
        <f t="shared" si="28"/>
        <v>¶¶</v>
      </c>
    </row>
    <row r="137" spans="2:17" ht="14.25">
      <c r="B137" s="65">
        <v>55</v>
      </c>
      <c r="C137" s="65" t="s">
        <v>1188</v>
      </c>
      <c r="D137" s="68"/>
      <c r="E137" s="67"/>
      <c r="F137" s="67"/>
      <c r="G137" s="67"/>
      <c r="H137" s="67"/>
      <c r="I137" s="67"/>
      <c r="J137" s="70"/>
      <c r="K137" s="71" t="s">
        <v>32</v>
      </c>
      <c r="L137" s="71" t="s">
        <v>33</v>
      </c>
      <c r="M137" s="71" t="s">
        <v>1182</v>
      </c>
      <c r="N137" s="71" t="str">
        <f t="shared" si="26"/>
        <v>-4A10</v>
      </c>
      <c r="O137" s="63">
        <v>7</v>
      </c>
      <c r="P137" s="72" t="str">
        <f t="shared" si="23"/>
        <v>I42.6</v>
      </c>
      <c r="Q137" s="71" t="str">
        <f t="shared" si="28"/>
        <v>¶¶</v>
      </c>
    </row>
    <row r="138" spans="2:17" ht="14.25">
      <c r="B138" s="65">
        <v>56</v>
      </c>
      <c r="C138" s="65" t="s">
        <v>1189</v>
      </c>
      <c r="D138" s="68"/>
      <c r="E138" s="67"/>
      <c r="F138" s="67"/>
      <c r="G138" s="67"/>
      <c r="H138" s="67"/>
      <c r="I138" s="67"/>
      <c r="J138" s="70"/>
      <c r="K138" s="71" t="s">
        <v>32</v>
      </c>
      <c r="L138" s="71" t="s">
        <v>33</v>
      </c>
      <c r="M138" s="71" t="s">
        <v>1182</v>
      </c>
      <c r="N138" s="71" t="str">
        <f t="shared" si="26"/>
        <v>-4A10</v>
      </c>
      <c r="O138" s="63">
        <v>8</v>
      </c>
      <c r="P138" s="72" t="str">
        <f t="shared" si="23"/>
        <v>I42.7</v>
      </c>
      <c r="Q138" s="71" t="str">
        <f t="shared" si="28"/>
        <v>¶¶</v>
      </c>
    </row>
    <row r="139" spans="2:17" ht="14.25">
      <c r="B139" s="65">
        <v>57</v>
      </c>
      <c r="C139" s="65" t="s">
        <v>1190</v>
      </c>
      <c r="D139" s="68"/>
      <c r="E139" s="67"/>
      <c r="F139" s="67"/>
      <c r="G139" s="67"/>
      <c r="H139" s="67"/>
      <c r="I139" s="67"/>
      <c r="J139" s="70"/>
      <c r="K139" s="71" t="s">
        <v>32</v>
      </c>
      <c r="L139" s="71" t="s">
        <v>33</v>
      </c>
      <c r="M139" s="71" t="s">
        <v>1182</v>
      </c>
      <c r="N139" s="71" t="str">
        <f t="shared" si="26"/>
        <v>-4A10</v>
      </c>
      <c r="O139" s="63">
        <v>9</v>
      </c>
      <c r="P139" s="72" t="str">
        <f t="shared" si="23"/>
        <v>I43.0</v>
      </c>
      <c r="Q139" s="71" t="str">
        <f t="shared" si="28"/>
        <v>¶¶</v>
      </c>
    </row>
    <row r="140" spans="2:17" ht="14.25">
      <c r="B140" s="65">
        <v>58</v>
      </c>
      <c r="C140" s="65" t="s">
        <v>1191</v>
      </c>
      <c r="D140" s="65"/>
      <c r="E140" s="67"/>
      <c r="F140" s="67"/>
      <c r="G140" s="67"/>
      <c r="H140" s="67"/>
      <c r="I140" s="67"/>
      <c r="J140" s="70"/>
      <c r="K140" s="71" t="s">
        <v>32</v>
      </c>
      <c r="L140" s="71" t="s">
        <v>33</v>
      </c>
      <c r="M140" s="71" t="s">
        <v>1182</v>
      </c>
      <c r="N140" s="71" t="str">
        <f t="shared" si="26"/>
        <v>-4A10</v>
      </c>
      <c r="O140" s="63">
        <v>10</v>
      </c>
      <c r="P140" s="72" t="str">
        <f t="shared" si="23"/>
        <v>I43.1</v>
      </c>
      <c r="Q140" s="71" t="str">
        <f t="shared" si="28"/>
        <v>¶¶</v>
      </c>
    </row>
    <row r="141" spans="2:17" ht="14.25">
      <c r="B141" s="65">
        <v>59</v>
      </c>
      <c r="C141" s="65" t="s">
        <v>1192</v>
      </c>
      <c r="D141" s="65"/>
      <c r="E141" s="67"/>
      <c r="F141" s="67"/>
      <c r="G141" s="67"/>
      <c r="H141" s="67"/>
      <c r="I141" s="67"/>
      <c r="J141" s="70"/>
      <c r="K141" s="71" t="s">
        <v>32</v>
      </c>
      <c r="L141" s="71" t="s">
        <v>33</v>
      </c>
      <c r="M141" s="71" t="s">
        <v>1182</v>
      </c>
      <c r="N141" s="71" t="str">
        <f t="shared" si="26"/>
        <v>-4A10</v>
      </c>
      <c r="O141" s="63">
        <v>11</v>
      </c>
      <c r="P141" s="72" t="str">
        <f t="shared" si="23"/>
        <v>I43.2</v>
      </c>
      <c r="Q141" s="71" t="str">
        <f t="shared" si="28"/>
        <v>¶¶</v>
      </c>
    </row>
    <row r="142" spans="2:17" ht="14.25">
      <c r="B142" s="65">
        <v>60</v>
      </c>
      <c r="C142" s="65" t="s">
        <v>1193</v>
      </c>
      <c r="D142" s="65"/>
      <c r="E142" s="67"/>
      <c r="F142" s="67"/>
      <c r="G142" s="67"/>
      <c r="H142" s="67"/>
      <c r="I142" s="67"/>
      <c r="J142" s="70"/>
      <c r="K142" s="71" t="s">
        <v>32</v>
      </c>
      <c r="L142" s="71" t="s">
        <v>33</v>
      </c>
      <c r="M142" s="71" t="s">
        <v>1182</v>
      </c>
      <c r="N142" s="71" t="str">
        <f t="shared" si="26"/>
        <v>-4A10</v>
      </c>
      <c r="O142" s="63">
        <v>12</v>
      </c>
      <c r="P142" s="72" t="str">
        <f t="shared" si="23"/>
        <v>I43.3</v>
      </c>
      <c r="Q142" s="71" t="str">
        <f t="shared" si="28"/>
        <v>¶¶</v>
      </c>
    </row>
    <row r="143" spans="2:17" ht="14.25">
      <c r="B143" s="65">
        <v>61</v>
      </c>
      <c r="C143" s="65" t="s">
        <v>1194</v>
      </c>
      <c r="D143" s="65"/>
      <c r="E143" s="67"/>
      <c r="F143" s="67"/>
      <c r="G143" s="67"/>
      <c r="H143" s="67"/>
      <c r="I143" s="67"/>
      <c r="J143" s="70"/>
      <c r="K143" s="71" t="s">
        <v>32</v>
      </c>
      <c r="L143" s="71" t="s">
        <v>33</v>
      </c>
      <c r="M143" s="71" t="s">
        <v>1182</v>
      </c>
      <c r="N143" s="71" t="str">
        <f t="shared" si="26"/>
        <v>-4A10</v>
      </c>
      <c r="O143" s="63">
        <v>13</v>
      </c>
      <c r="P143" s="72" t="str">
        <f t="shared" si="23"/>
        <v>I43.4</v>
      </c>
      <c r="Q143" s="71" t="str">
        <f t="shared" si="28"/>
        <v>¶¶</v>
      </c>
    </row>
    <row r="144" spans="2:17" ht="14.25">
      <c r="B144" s="65">
        <v>62</v>
      </c>
      <c r="C144" s="65" t="s">
        <v>1195</v>
      </c>
      <c r="D144" s="65"/>
      <c r="E144" s="67"/>
      <c r="F144" s="67"/>
      <c r="G144" s="67"/>
      <c r="H144" s="67"/>
      <c r="I144" s="67"/>
      <c r="J144" s="70"/>
      <c r="K144" s="71" t="s">
        <v>32</v>
      </c>
      <c r="L144" s="71" t="s">
        <v>33</v>
      </c>
      <c r="M144" s="71" t="s">
        <v>1182</v>
      </c>
      <c r="N144" s="71" t="str">
        <f t="shared" si="26"/>
        <v>-4A10</v>
      </c>
      <c r="O144" s="63">
        <v>14</v>
      </c>
      <c r="P144" s="72" t="str">
        <f t="shared" ref="P144" si="29">C144</f>
        <v>I43.5</v>
      </c>
      <c r="Q144" s="71" t="str">
        <f t="shared" si="28"/>
        <v>¶¶</v>
      </c>
    </row>
    <row r="145" spans="2:17" ht="14.25">
      <c r="B145" s="65">
        <v>63</v>
      </c>
      <c r="C145" s="65" t="s">
        <v>1196</v>
      </c>
      <c r="D145" s="65"/>
      <c r="E145" s="67"/>
      <c r="F145" s="67"/>
      <c r="G145" s="67"/>
      <c r="H145" s="67"/>
      <c r="I145" s="67"/>
      <c r="J145" s="70"/>
      <c r="K145" s="71" t="s">
        <v>32</v>
      </c>
      <c r="L145" s="71" t="s">
        <v>33</v>
      </c>
      <c r="M145" s="71" t="s">
        <v>1182</v>
      </c>
      <c r="N145" s="71" t="str">
        <f t="shared" si="26"/>
        <v>-4A10</v>
      </c>
      <c r="O145" s="63">
        <v>15</v>
      </c>
      <c r="P145" s="72" t="str">
        <f>C145</f>
        <v>I43.6</v>
      </c>
      <c r="Q145" s="71" t="str">
        <f t="shared" si="28"/>
        <v>¶¶</v>
      </c>
    </row>
    <row r="146" spans="2:17" ht="14.25">
      <c r="B146" s="65">
        <v>64</v>
      </c>
      <c r="C146" s="65" t="s">
        <v>1197</v>
      </c>
      <c r="D146" s="65"/>
      <c r="E146" s="67"/>
      <c r="F146" s="67"/>
      <c r="G146" s="67"/>
      <c r="H146" s="67"/>
      <c r="I146" s="67"/>
      <c r="J146" s="70"/>
      <c r="K146" s="71" t="s">
        <v>32</v>
      </c>
      <c r="L146" s="71" t="s">
        <v>33</v>
      </c>
      <c r="M146" s="71" t="s">
        <v>1182</v>
      </c>
      <c r="N146" s="71" t="str">
        <f t="shared" si="26"/>
        <v>-4A10</v>
      </c>
      <c r="O146" s="63">
        <v>16</v>
      </c>
      <c r="P146" s="72" t="str">
        <f>C146</f>
        <v>I43.7</v>
      </c>
      <c r="Q146" s="71" t="str">
        <f t="shared" si="28"/>
        <v>¶¶</v>
      </c>
    </row>
    <row r="147" spans="2:17">
      <c r="B147" s="64" t="s">
        <v>268</v>
      </c>
      <c r="C147" s="81"/>
      <c r="D147" s="81"/>
      <c r="E147" s="65"/>
      <c r="F147" s="65"/>
      <c r="G147" s="65"/>
      <c r="H147" s="65"/>
      <c r="I147" s="65"/>
      <c r="J147" s="81"/>
    </row>
    <row r="148" spans="2:17">
      <c r="B148" s="64" t="s">
        <v>19</v>
      </c>
      <c r="C148" s="64" t="s">
        <v>20</v>
      </c>
      <c r="D148" s="64" t="s">
        <v>21</v>
      </c>
      <c r="E148" s="64" t="s">
        <v>22</v>
      </c>
      <c r="F148" s="64" t="s">
        <v>23</v>
      </c>
      <c r="G148" s="64" t="s">
        <v>24</v>
      </c>
      <c r="H148" s="64" t="s">
        <v>259</v>
      </c>
      <c r="I148" s="64" t="s">
        <v>260</v>
      </c>
      <c r="J148" s="64" t="s">
        <v>25</v>
      </c>
    </row>
    <row r="149" spans="2:17" ht="14.25">
      <c r="B149" s="65">
        <v>1</v>
      </c>
      <c r="C149" s="65" t="s">
        <v>1198</v>
      </c>
      <c r="D149" s="65"/>
      <c r="E149" s="67" t="s">
        <v>897</v>
      </c>
      <c r="F149" s="67" t="s">
        <v>898</v>
      </c>
      <c r="G149" s="65" t="s">
        <v>1199</v>
      </c>
      <c r="H149" s="65" t="s">
        <v>900</v>
      </c>
      <c r="I149" s="65" t="s">
        <v>901</v>
      </c>
      <c r="J149" s="70"/>
      <c r="K149" s="71" t="s">
        <v>32</v>
      </c>
      <c r="L149" s="71" t="s">
        <v>33</v>
      </c>
      <c r="M149" s="71" t="s">
        <v>1200</v>
      </c>
      <c r="N149" s="71" t="str">
        <f t="shared" ref="N149" si="30">L149&amp;M149</f>
        <v>-4A11</v>
      </c>
      <c r="O149" s="63">
        <v>1</v>
      </c>
      <c r="P149" s="72" t="str">
        <f t="shared" ref="P149" si="31">C149</f>
        <v>Q26.0</v>
      </c>
      <c r="Q149" s="71" t="str">
        <f>E149&amp;K149&amp;H149&amp;K149&amp;I169</f>
        <v>Y2015¶2-Way pneumatic¶Open</v>
      </c>
    </row>
    <row r="150" spans="2:17" ht="14.25">
      <c r="B150" s="65">
        <v>2</v>
      </c>
      <c r="C150" s="65" t="s">
        <v>1201</v>
      </c>
      <c r="D150" s="65"/>
      <c r="E150" s="67" t="s">
        <v>897</v>
      </c>
      <c r="F150" s="67" t="s">
        <v>898</v>
      </c>
      <c r="G150" s="65" t="s">
        <v>1202</v>
      </c>
      <c r="H150" s="65" t="s">
        <v>900</v>
      </c>
      <c r="I150" s="65" t="s">
        <v>904</v>
      </c>
      <c r="J150" s="70"/>
      <c r="K150" s="71" t="s">
        <v>32</v>
      </c>
      <c r="L150" s="71" t="s">
        <v>33</v>
      </c>
      <c r="M150" s="71" t="s">
        <v>1200</v>
      </c>
      <c r="N150" s="71" t="str">
        <f t="shared" ref="N150:N196" si="32">L150&amp;M150</f>
        <v>-4A11</v>
      </c>
      <c r="O150" s="63">
        <v>2</v>
      </c>
      <c r="P150" s="72" t="str">
        <f t="shared" ref="P150:P196" si="33">C150</f>
        <v>Q26.1</v>
      </c>
      <c r="Q150" s="71" t="str">
        <f>E150&amp;K150&amp;H150&amp;K150&amp;I170</f>
        <v>Y2015¶2-Way pneumatic¶Open</v>
      </c>
    </row>
    <row r="151" spans="2:17" ht="14.25">
      <c r="B151" s="65">
        <v>3</v>
      </c>
      <c r="C151" s="65" t="s">
        <v>1203</v>
      </c>
      <c r="D151" s="65"/>
      <c r="E151" s="67" t="s">
        <v>906</v>
      </c>
      <c r="F151" s="67" t="s">
        <v>898</v>
      </c>
      <c r="G151" s="65" t="s">
        <v>1199</v>
      </c>
      <c r="H151" s="65" t="s">
        <v>900</v>
      </c>
      <c r="I151" s="65" t="s">
        <v>901</v>
      </c>
      <c r="J151" s="70"/>
      <c r="K151" s="71" t="s">
        <v>32</v>
      </c>
      <c r="L151" s="71" t="s">
        <v>33</v>
      </c>
      <c r="M151" s="71" t="s">
        <v>1200</v>
      </c>
      <c r="N151" s="71" t="str">
        <f t="shared" si="32"/>
        <v>-4A11</v>
      </c>
      <c r="O151" s="63">
        <v>3</v>
      </c>
      <c r="P151" s="72" t="str">
        <f t="shared" si="33"/>
        <v>Q26.2</v>
      </c>
      <c r="Q151" s="71" t="str">
        <f t="shared" ref="Q151" si="34">E151&amp;K151&amp;H151&amp;K151&amp;I161</f>
        <v>Y3013¶2-Way pneumatic¶Open</v>
      </c>
    </row>
    <row r="152" spans="2:17" ht="14.25">
      <c r="B152" s="65">
        <v>4</v>
      </c>
      <c r="C152" s="65" t="s">
        <v>1204</v>
      </c>
      <c r="D152" s="65"/>
      <c r="E152" s="67" t="s">
        <v>906</v>
      </c>
      <c r="F152" s="67" t="s">
        <v>898</v>
      </c>
      <c r="G152" s="65" t="s">
        <v>1202</v>
      </c>
      <c r="H152" s="65" t="s">
        <v>900</v>
      </c>
      <c r="I152" s="65" t="s">
        <v>904</v>
      </c>
      <c r="J152" s="70"/>
      <c r="K152" s="71" t="s">
        <v>32</v>
      </c>
      <c r="L152" s="71" t="s">
        <v>33</v>
      </c>
      <c r="M152" s="71" t="s">
        <v>1200</v>
      </c>
      <c r="N152" s="71" t="str">
        <f t="shared" si="32"/>
        <v>-4A11</v>
      </c>
      <c r="O152" s="63">
        <v>4</v>
      </c>
      <c r="P152" s="72" t="str">
        <f t="shared" si="33"/>
        <v>Q26.3</v>
      </c>
      <c r="Q152" s="71" t="str">
        <f t="shared" ref="Q152:Q160" si="35">E152&amp;K152&amp;H152&amp;K152&amp;I162</f>
        <v>Y3013¶2-Way pneumatic¶Open</v>
      </c>
    </row>
    <row r="153" spans="2:17" ht="14.25">
      <c r="B153" s="65">
        <v>5</v>
      </c>
      <c r="C153" s="65" t="s">
        <v>1205</v>
      </c>
      <c r="D153" s="65"/>
      <c r="E153" s="67" t="s">
        <v>909</v>
      </c>
      <c r="F153" s="67" t="s">
        <v>898</v>
      </c>
      <c r="G153" s="65" t="s">
        <v>1199</v>
      </c>
      <c r="H153" s="65" t="s">
        <v>900</v>
      </c>
      <c r="I153" s="65" t="s">
        <v>901</v>
      </c>
      <c r="J153" s="70"/>
      <c r="K153" s="71" t="s">
        <v>32</v>
      </c>
      <c r="L153" s="71" t="s">
        <v>33</v>
      </c>
      <c r="M153" s="71" t="s">
        <v>1200</v>
      </c>
      <c r="N153" s="71" t="str">
        <f t="shared" si="32"/>
        <v>-4A11</v>
      </c>
      <c r="O153" s="63">
        <v>5</v>
      </c>
      <c r="P153" s="72" t="str">
        <f t="shared" si="33"/>
        <v>Q26.4</v>
      </c>
      <c r="Q153" s="71" t="str">
        <f t="shared" si="35"/>
        <v>Y3107¶2-Way pneumatic¶Open</v>
      </c>
    </row>
    <row r="154" spans="2:17" ht="14.25">
      <c r="B154" s="65">
        <v>6</v>
      </c>
      <c r="C154" s="65" t="s">
        <v>1206</v>
      </c>
      <c r="D154" s="65"/>
      <c r="E154" s="67" t="s">
        <v>909</v>
      </c>
      <c r="F154" s="67" t="s">
        <v>898</v>
      </c>
      <c r="G154" s="65" t="s">
        <v>1202</v>
      </c>
      <c r="H154" s="65" t="s">
        <v>900</v>
      </c>
      <c r="I154" s="65" t="s">
        <v>904</v>
      </c>
      <c r="J154" s="70"/>
      <c r="K154" s="71" t="s">
        <v>32</v>
      </c>
      <c r="L154" s="71" t="s">
        <v>33</v>
      </c>
      <c r="M154" s="71" t="s">
        <v>1200</v>
      </c>
      <c r="N154" s="71" t="str">
        <f t="shared" si="32"/>
        <v>-4A11</v>
      </c>
      <c r="O154" s="63">
        <v>6</v>
      </c>
      <c r="P154" s="72" t="str">
        <f t="shared" si="33"/>
        <v>Q26.5</v>
      </c>
      <c r="Q154" s="71" t="str">
        <f t="shared" si="35"/>
        <v>Y3107¶2-Way pneumatic¶Open</v>
      </c>
    </row>
    <row r="155" spans="2:17" ht="14.25">
      <c r="B155" s="65">
        <v>7</v>
      </c>
      <c r="C155" s="65" t="s">
        <v>1207</v>
      </c>
      <c r="D155" s="65"/>
      <c r="E155" s="82" t="s">
        <v>912</v>
      </c>
      <c r="F155" s="77" t="s">
        <v>913</v>
      </c>
      <c r="G155" s="67" t="s">
        <v>303</v>
      </c>
      <c r="H155" s="67" t="s">
        <v>914</v>
      </c>
      <c r="I155" s="67" t="s">
        <v>1208</v>
      </c>
      <c r="J155" s="70"/>
      <c r="K155" s="71" t="s">
        <v>32</v>
      </c>
      <c r="L155" s="71" t="s">
        <v>33</v>
      </c>
      <c r="M155" s="71" t="s">
        <v>1200</v>
      </c>
      <c r="N155" s="71" t="str">
        <f t="shared" si="32"/>
        <v>-4A11</v>
      </c>
      <c r="O155" s="63">
        <v>7</v>
      </c>
      <c r="P155" s="72" t="str">
        <f t="shared" si="33"/>
        <v>Q26.6</v>
      </c>
      <c r="Q155" s="71" t="str">
        <f t="shared" si="35"/>
        <v>V2008_1¶Pneumatic Gate¶Open</v>
      </c>
    </row>
    <row r="156" spans="2:17" ht="14.25">
      <c r="B156" s="65">
        <v>8</v>
      </c>
      <c r="C156" s="65" t="s">
        <v>1209</v>
      </c>
      <c r="D156" s="65"/>
      <c r="E156" s="82" t="s">
        <v>917</v>
      </c>
      <c r="F156" s="77" t="s">
        <v>913</v>
      </c>
      <c r="G156" s="67" t="s">
        <v>303</v>
      </c>
      <c r="H156" s="67" t="s">
        <v>914</v>
      </c>
      <c r="I156" s="67" t="s">
        <v>1208</v>
      </c>
      <c r="J156" s="70"/>
      <c r="K156" s="71" t="s">
        <v>32</v>
      </c>
      <c r="L156" s="71" t="s">
        <v>33</v>
      </c>
      <c r="M156" s="71" t="s">
        <v>1200</v>
      </c>
      <c r="N156" s="71" t="str">
        <f t="shared" si="32"/>
        <v>-4A11</v>
      </c>
      <c r="O156" s="63">
        <v>8</v>
      </c>
      <c r="P156" s="72" t="str">
        <f t="shared" si="33"/>
        <v>Q26.7</v>
      </c>
      <c r="Q156" s="71" t="str">
        <f t="shared" si="35"/>
        <v>V2008_2¶Pneumatic Gate¶Open</v>
      </c>
    </row>
    <row r="157" spans="2:17" ht="14.25">
      <c r="B157" s="65">
        <v>9</v>
      </c>
      <c r="C157" s="65" t="s">
        <v>1210</v>
      </c>
      <c r="D157" s="65"/>
      <c r="E157" s="82" t="s">
        <v>920</v>
      </c>
      <c r="F157" s="77" t="s">
        <v>913</v>
      </c>
      <c r="G157" s="67" t="s">
        <v>303</v>
      </c>
      <c r="H157" s="67" t="s">
        <v>914</v>
      </c>
      <c r="I157" s="67" t="s">
        <v>1208</v>
      </c>
      <c r="J157" s="70"/>
      <c r="K157" s="71" t="s">
        <v>32</v>
      </c>
      <c r="L157" s="71" t="s">
        <v>33</v>
      </c>
      <c r="M157" s="71" t="s">
        <v>1200</v>
      </c>
      <c r="N157" s="71" t="str">
        <f t="shared" si="32"/>
        <v>-4A11</v>
      </c>
      <c r="O157" s="63">
        <v>9</v>
      </c>
      <c r="P157" s="72" t="str">
        <f t="shared" si="33"/>
        <v>Q27.0</v>
      </c>
      <c r="Q157" s="71" t="str">
        <f t="shared" si="35"/>
        <v>V2010¶Pneumatic Gate¶Open</v>
      </c>
    </row>
    <row r="158" spans="2:17" ht="14.25">
      <c r="B158" s="65">
        <v>10</v>
      </c>
      <c r="C158" s="65" t="s">
        <v>1211</v>
      </c>
      <c r="D158" s="65"/>
      <c r="E158" s="82" t="s">
        <v>923</v>
      </c>
      <c r="F158" s="77" t="s">
        <v>913</v>
      </c>
      <c r="G158" s="67" t="s">
        <v>303</v>
      </c>
      <c r="H158" s="67" t="s">
        <v>914</v>
      </c>
      <c r="I158" s="67" t="s">
        <v>1208</v>
      </c>
      <c r="J158" s="70"/>
      <c r="K158" s="71" t="s">
        <v>32</v>
      </c>
      <c r="L158" s="71" t="s">
        <v>33</v>
      </c>
      <c r="M158" s="71" t="s">
        <v>1200</v>
      </c>
      <c r="N158" s="71" t="str">
        <f t="shared" si="32"/>
        <v>-4A11</v>
      </c>
      <c r="O158" s="63">
        <v>10</v>
      </c>
      <c r="P158" s="72" t="str">
        <f t="shared" si="33"/>
        <v>Q27.1</v>
      </c>
      <c r="Q158" s="71" t="str">
        <f t="shared" si="35"/>
        <v>V2013¶Pneumatic Gate¶Open</v>
      </c>
    </row>
    <row r="159" spans="2:17" ht="14.25">
      <c r="B159" s="65">
        <v>11</v>
      </c>
      <c r="C159" s="65" t="s">
        <v>1212</v>
      </c>
      <c r="D159" s="65"/>
      <c r="E159" s="82" t="s">
        <v>926</v>
      </c>
      <c r="F159" s="77" t="s">
        <v>913</v>
      </c>
      <c r="G159" s="67" t="s">
        <v>303</v>
      </c>
      <c r="H159" s="67" t="s">
        <v>914</v>
      </c>
      <c r="I159" s="67" t="s">
        <v>1208</v>
      </c>
      <c r="J159" s="70"/>
      <c r="K159" s="71" t="s">
        <v>32</v>
      </c>
      <c r="L159" s="71" t="s">
        <v>33</v>
      </c>
      <c r="M159" s="71" t="s">
        <v>1200</v>
      </c>
      <c r="N159" s="71" t="str">
        <f t="shared" si="32"/>
        <v>-4A11</v>
      </c>
      <c r="O159" s="63">
        <v>11</v>
      </c>
      <c r="P159" s="72" t="str">
        <f t="shared" si="33"/>
        <v>Q27.2</v>
      </c>
      <c r="Q159" s="71" t="str">
        <f t="shared" si="35"/>
        <v>V2014¶Pneumatic Gate¶Open</v>
      </c>
    </row>
    <row r="160" spans="2:17" ht="14.25">
      <c r="B160" s="65">
        <v>12</v>
      </c>
      <c r="C160" s="65" t="s">
        <v>1213</v>
      </c>
      <c r="D160" s="65"/>
      <c r="E160" s="82" t="s">
        <v>930</v>
      </c>
      <c r="F160" s="77" t="s">
        <v>913</v>
      </c>
      <c r="G160" s="67" t="s">
        <v>303</v>
      </c>
      <c r="H160" s="67" t="s">
        <v>914</v>
      </c>
      <c r="I160" s="67" t="s">
        <v>1208</v>
      </c>
      <c r="J160" s="70"/>
      <c r="K160" s="71" t="s">
        <v>32</v>
      </c>
      <c r="L160" s="71" t="s">
        <v>33</v>
      </c>
      <c r="M160" s="71" t="s">
        <v>1200</v>
      </c>
      <c r="N160" s="71" t="str">
        <f t="shared" si="32"/>
        <v>-4A11</v>
      </c>
      <c r="O160" s="63">
        <v>12</v>
      </c>
      <c r="P160" s="72" t="str">
        <f t="shared" si="33"/>
        <v>Q27.3</v>
      </c>
      <c r="Q160" s="71" t="str">
        <f t="shared" si="35"/>
        <v>V2027¶Pneumatic Gate¶Open</v>
      </c>
    </row>
    <row r="161" spans="2:17" ht="14.25">
      <c r="B161" s="65">
        <v>13</v>
      </c>
      <c r="C161" s="65" t="s">
        <v>1214</v>
      </c>
      <c r="D161" s="65"/>
      <c r="E161" s="82" t="s">
        <v>933</v>
      </c>
      <c r="F161" s="77" t="s">
        <v>913</v>
      </c>
      <c r="G161" s="67" t="s">
        <v>303</v>
      </c>
      <c r="H161" s="67" t="s">
        <v>914</v>
      </c>
      <c r="I161" s="67" t="s">
        <v>1208</v>
      </c>
      <c r="J161" s="70"/>
      <c r="K161" s="71" t="s">
        <v>32</v>
      </c>
      <c r="L161" s="71" t="s">
        <v>33</v>
      </c>
      <c r="M161" s="71" t="s">
        <v>1200</v>
      </c>
      <c r="N161" s="71" t="str">
        <f t="shared" si="32"/>
        <v>-4A11</v>
      </c>
      <c r="O161" s="63">
        <v>13</v>
      </c>
      <c r="P161" s="72" t="str">
        <f t="shared" si="33"/>
        <v>Q27.4</v>
      </c>
      <c r="Q161" s="71" t="str">
        <f t="shared" ref="Q161" si="36">E161&amp;K161&amp;H161&amp;K161&amp;I161</f>
        <v>V2104_1¶Pneumatic Gate¶Open</v>
      </c>
    </row>
    <row r="162" spans="2:17" ht="14.25">
      <c r="B162" s="65">
        <v>14</v>
      </c>
      <c r="C162" s="65" t="s">
        <v>1215</v>
      </c>
      <c r="D162" s="65"/>
      <c r="E162" s="82" t="s">
        <v>936</v>
      </c>
      <c r="F162" s="77" t="s">
        <v>913</v>
      </c>
      <c r="G162" s="67" t="s">
        <v>303</v>
      </c>
      <c r="H162" s="67" t="s">
        <v>914</v>
      </c>
      <c r="I162" s="67" t="s">
        <v>1208</v>
      </c>
      <c r="J162" s="70"/>
      <c r="K162" s="71" t="s">
        <v>32</v>
      </c>
      <c r="L162" s="71" t="s">
        <v>33</v>
      </c>
      <c r="M162" s="71" t="s">
        <v>1200</v>
      </c>
      <c r="N162" s="71" t="str">
        <f t="shared" si="32"/>
        <v>-4A11</v>
      </c>
      <c r="O162" s="63">
        <v>14</v>
      </c>
      <c r="P162" s="72" t="str">
        <f t="shared" si="33"/>
        <v>Q27.5</v>
      </c>
      <c r="Q162" s="71" t="str">
        <f t="shared" ref="Q162:Q170" si="37">E162&amp;K162&amp;H162&amp;K162&amp;I162</f>
        <v>V2104_2¶Pneumatic Gate¶Open</v>
      </c>
    </row>
    <row r="163" spans="2:17" ht="14.25">
      <c r="B163" s="65">
        <v>15</v>
      </c>
      <c r="C163" s="65" t="s">
        <v>1216</v>
      </c>
      <c r="D163" s="65"/>
      <c r="E163" s="82" t="s">
        <v>939</v>
      </c>
      <c r="F163" s="77" t="s">
        <v>913</v>
      </c>
      <c r="G163" s="67" t="s">
        <v>303</v>
      </c>
      <c r="H163" s="67" t="s">
        <v>914</v>
      </c>
      <c r="I163" s="67" t="s">
        <v>1208</v>
      </c>
      <c r="J163" s="70"/>
      <c r="K163" s="71" t="s">
        <v>32</v>
      </c>
      <c r="L163" s="71" t="s">
        <v>33</v>
      </c>
      <c r="M163" s="71" t="s">
        <v>1200</v>
      </c>
      <c r="N163" s="71" t="str">
        <f t="shared" si="32"/>
        <v>-4A11</v>
      </c>
      <c r="O163" s="63">
        <v>15</v>
      </c>
      <c r="P163" s="72" t="str">
        <f t="shared" si="33"/>
        <v>Q27.6</v>
      </c>
      <c r="Q163" s="71" t="str">
        <f t="shared" si="37"/>
        <v>V2104_3¶Pneumatic Gate¶Open</v>
      </c>
    </row>
    <row r="164" spans="2:17" ht="14.25">
      <c r="B164" s="65">
        <v>16</v>
      </c>
      <c r="C164" s="65" t="s">
        <v>1217</v>
      </c>
      <c r="D164" s="65"/>
      <c r="E164" s="82" t="s">
        <v>942</v>
      </c>
      <c r="F164" s="77" t="s">
        <v>913</v>
      </c>
      <c r="G164" s="67" t="s">
        <v>303</v>
      </c>
      <c r="H164" s="67" t="s">
        <v>914</v>
      </c>
      <c r="I164" s="67" t="s">
        <v>1208</v>
      </c>
      <c r="J164" s="70"/>
      <c r="K164" s="71" t="s">
        <v>32</v>
      </c>
      <c r="L164" s="71" t="s">
        <v>33</v>
      </c>
      <c r="M164" s="71" t="s">
        <v>1200</v>
      </c>
      <c r="N164" s="71" t="str">
        <f t="shared" si="32"/>
        <v>-4A11</v>
      </c>
      <c r="O164" s="63">
        <v>16</v>
      </c>
      <c r="P164" s="72" t="str">
        <f t="shared" si="33"/>
        <v>Q27.7</v>
      </c>
      <c r="Q164" s="71" t="str">
        <f t="shared" si="37"/>
        <v>V2104_4¶Pneumatic Gate¶Open</v>
      </c>
    </row>
    <row r="165" spans="2:17" ht="14.25">
      <c r="B165" s="65">
        <v>17</v>
      </c>
      <c r="C165" s="65" t="s">
        <v>1218</v>
      </c>
      <c r="D165" s="65"/>
      <c r="E165" s="82" t="s">
        <v>945</v>
      </c>
      <c r="F165" s="77" t="s">
        <v>913</v>
      </c>
      <c r="G165" s="67" t="s">
        <v>303</v>
      </c>
      <c r="H165" s="67" t="s">
        <v>914</v>
      </c>
      <c r="I165" s="67" t="s">
        <v>1208</v>
      </c>
      <c r="J165" s="70"/>
      <c r="K165" s="71" t="s">
        <v>32</v>
      </c>
      <c r="L165" s="71" t="s">
        <v>33</v>
      </c>
      <c r="M165" s="71" t="s">
        <v>1219</v>
      </c>
      <c r="N165" s="71" t="str">
        <f t="shared" si="32"/>
        <v>-4A12</v>
      </c>
      <c r="O165" s="63">
        <v>1</v>
      </c>
      <c r="P165" s="72" t="str">
        <f t="shared" si="33"/>
        <v>Q28.0</v>
      </c>
      <c r="Q165" s="71" t="str">
        <f t="shared" si="37"/>
        <v>V2104_5¶Pneumatic Gate¶Open</v>
      </c>
    </row>
    <row r="166" spans="2:17" ht="14.25">
      <c r="B166" s="65">
        <v>18</v>
      </c>
      <c r="C166" s="65" t="s">
        <v>1220</v>
      </c>
      <c r="D166" s="65"/>
      <c r="E166" s="82" t="s">
        <v>948</v>
      </c>
      <c r="F166" s="77" t="s">
        <v>913</v>
      </c>
      <c r="G166" s="67" t="s">
        <v>303</v>
      </c>
      <c r="H166" s="67" t="s">
        <v>914</v>
      </c>
      <c r="I166" s="67" t="s">
        <v>1208</v>
      </c>
      <c r="J166" s="70"/>
      <c r="K166" s="71" t="s">
        <v>32</v>
      </c>
      <c r="L166" s="71" t="s">
        <v>33</v>
      </c>
      <c r="M166" s="71" t="s">
        <v>1219</v>
      </c>
      <c r="N166" s="71" t="str">
        <f t="shared" si="32"/>
        <v>-4A12</v>
      </c>
      <c r="O166" s="63">
        <v>2</v>
      </c>
      <c r="P166" s="72" t="str">
        <f t="shared" si="33"/>
        <v>Q28.1</v>
      </c>
      <c r="Q166" s="71" t="str">
        <f t="shared" si="37"/>
        <v>V2104_6¶Pneumatic Gate¶Open</v>
      </c>
    </row>
    <row r="167" spans="2:17" ht="14.25">
      <c r="B167" s="65">
        <v>19</v>
      </c>
      <c r="C167" s="65" t="s">
        <v>1221</v>
      </c>
      <c r="D167" s="65"/>
      <c r="E167" s="82" t="s">
        <v>951</v>
      </c>
      <c r="F167" s="77" t="s">
        <v>913</v>
      </c>
      <c r="G167" s="67" t="s">
        <v>303</v>
      </c>
      <c r="H167" s="67" t="s">
        <v>914</v>
      </c>
      <c r="I167" s="67" t="s">
        <v>1208</v>
      </c>
      <c r="J167" s="70"/>
      <c r="K167" s="71" t="s">
        <v>32</v>
      </c>
      <c r="L167" s="71" t="s">
        <v>33</v>
      </c>
      <c r="M167" s="71" t="s">
        <v>1219</v>
      </c>
      <c r="N167" s="71" t="str">
        <f t="shared" si="32"/>
        <v>-4A12</v>
      </c>
      <c r="O167" s="63">
        <v>3</v>
      </c>
      <c r="P167" s="72" t="str">
        <f t="shared" si="33"/>
        <v>Q28.2</v>
      </c>
      <c r="Q167" s="71" t="str">
        <f t="shared" si="37"/>
        <v>V2104_7¶Pneumatic Gate¶Open</v>
      </c>
    </row>
    <row r="168" spans="2:17" ht="14.25">
      <c r="B168" s="65">
        <v>20</v>
      </c>
      <c r="C168" s="65" t="s">
        <v>1222</v>
      </c>
      <c r="D168" s="65"/>
      <c r="E168" s="82" t="s">
        <v>955</v>
      </c>
      <c r="F168" s="77" t="s">
        <v>913</v>
      </c>
      <c r="G168" s="67" t="s">
        <v>303</v>
      </c>
      <c r="H168" s="67" t="s">
        <v>914</v>
      </c>
      <c r="I168" s="67" t="s">
        <v>1208</v>
      </c>
      <c r="J168" s="70"/>
      <c r="K168" s="71" t="s">
        <v>32</v>
      </c>
      <c r="L168" s="71" t="s">
        <v>33</v>
      </c>
      <c r="M168" s="71" t="s">
        <v>1219</v>
      </c>
      <c r="N168" s="71" t="str">
        <f t="shared" si="32"/>
        <v>-4A12</v>
      </c>
      <c r="O168" s="63">
        <v>4</v>
      </c>
      <c r="P168" s="72" t="str">
        <f t="shared" si="33"/>
        <v>Q28.3</v>
      </c>
      <c r="Q168" s="71" t="str">
        <f t="shared" si="37"/>
        <v>V2202¶Pneumatic Gate¶Open</v>
      </c>
    </row>
    <row r="169" spans="2:17" ht="14.25">
      <c r="B169" s="65">
        <v>21</v>
      </c>
      <c r="C169" s="65" t="s">
        <v>1223</v>
      </c>
      <c r="D169" s="65"/>
      <c r="E169" s="82" t="s">
        <v>958</v>
      </c>
      <c r="F169" s="77" t="s">
        <v>913</v>
      </c>
      <c r="G169" s="67" t="s">
        <v>303</v>
      </c>
      <c r="H169" s="67" t="s">
        <v>914</v>
      </c>
      <c r="I169" s="67" t="s">
        <v>1208</v>
      </c>
      <c r="J169" s="70"/>
      <c r="K169" s="71" t="s">
        <v>32</v>
      </c>
      <c r="L169" s="71" t="s">
        <v>33</v>
      </c>
      <c r="M169" s="71" t="s">
        <v>1219</v>
      </c>
      <c r="N169" s="71" t="str">
        <f t="shared" si="32"/>
        <v>-4A12</v>
      </c>
      <c r="O169" s="63">
        <v>5</v>
      </c>
      <c r="P169" s="72" t="str">
        <f t="shared" si="33"/>
        <v>Q28.4</v>
      </c>
      <c r="Q169" s="71" t="str">
        <f t="shared" si="37"/>
        <v>V2203¶Pneumatic Gate¶Open</v>
      </c>
    </row>
    <row r="170" spans="2:17" ht="14.25">
      <c r="B170" s="65">
        <v>22</v>
      </c>
      <c r="C170" s="65" t="s">
        <v>1224</v>
      </c>
      <c r="D170" s="65"/>
      <c r="E170" s="82" t="s">
        <v>961</v>
      </c>
      <c r="F170" s="77" t="s">
        <v>913</v>
      </c>
      <c r="G170" s="67" t="s">
        <v>303</v>
      </c>
      <c r="H170" s="67" t="s">
        <v>914</v>
      </c>
      <c r="I170" s="67" t="s">
        <v>1208</v>
      </c>
      <c r="J170" s="70"/>
      <c r="K170" s="71" t="s">
        <v>32</v>
      </c>
      <c r="L170" s="71" t="s">
        <v>33</v>
      </c>
      <c r="M170" s="71" t="s">
        <v>1219</v>
      </c>
      <c r="N170" s="71" t="str">
        <f t="shared" si="32"/>
        <v>-4A12</v>
      </c>
      <c r="O170" s="63">
        <v>6</v>
      </c>
      <c r="P170" s="72" t="str">
        <f t="shared" si="33"/>
        <v>Q28.5</v>
      </c>
      <c r="Q170" s="71" t="str">
        <f t="shared" si="37"/>
        <v>V2204¶Pneumatic Gate¶Open</v>
      </c>
    </row>
    <row r="171" spans="2:17" ht="14.25">
      <c r="B171" s="65">
        <v>23</v>
      </c>
      <c r="C171" s="65" t="s">
        <v>1225</v>
      </c>
      <c r="D171" s="65"/>
      <c r="E171" s="82" t="s">
        <v>964</v>
      </c>
      <c r="F171" s="77" t="s">
        <v>913</v>
      </c>
      <c r="G171" s="67" t="s">
        <v>303</v>
      </c>
      <c r="H171" s="67" t="s">
        <v>914</v>
      </c>
      <c r="I171" s="67" t="s">
        <v>1208</v>
      </c>
      <c r="J171" s="70"/>
      <c r="K171" s="71" t="s">
        <v>32</v>
      </c>
      <c r="L171" s="71" t="s">
        <v>33</v>
      </c>
      <c r="M171" s="71" t="s">
        <v>1219</v>
      </c>
      <c r="N171" s="71" t="str">
        <f t="shared" si="32"/>
        <v>-4A12</v>
      </c>
      <c r="O171" s="63">
        <v>7</v>
      </c>
      <c r="P171" s="72" t="str">
        <f t="shared" si="33"/>
        <v>Q28.6</v>
      </c>
      <c r="Q171" s="71" t="str">
        <f t="shared" ref="Q171" si="38">E171&amp;K171&amp;H171&amp;K171&amp;I191</f>
        <v>V2302¶Pneumatic Gate¶Open</v>
      </c>
    </row>
    <row r="172" spans="2:17" ht="14.25">
      <c r="B172" s="65">
        <v>24</v>
      </c>
      <c r="C172" s="65" t="s">
        <v>1226</v>
      </c>
      <c r="D172" s="65"/>
      <c r="E172" s="82" t="s">
        <v>967</v>
      </c>
      <c r="F172" s="77" t="s">
        <v>913</v>
      </c>
      <c r="G172" s="67" t="s">
        <v>303</v>
      </c>
      <c r="H172" s="67" t="s">
        <v>914</v>
      </c>
      <c r="I172" s="67" t="s">
        <v>1208</v>
      </c>
      <c r="J172" s="70"/>
      <c r="K172" s="71" t="s">
        <v>32</v>
      </c>
      <c r="L172" s="71" t="s">
        <v>33</v>
      </c>
      <c r="M172" s="71" t="s">
        <v>1219</v>
      </c>
      <c r="N172" s="71" t="str">
        <f t="shared" si="32"/>
        <v>-4A12</v>
      </c>
      <c r="O172" s="63">
        <v>8</v>
      </c>
      <c r="P172" s="72" t="str">
        <f t="shared" si="33"/>
        <v>Q28.7</v>
      </c>
      <c r="Q172" s="71" t="str">
        <f t="shared" ref="Q172:Q180" si="39">E172&amp;K172&amp;H172&amp;K172&amp;I192</f>
        <v>V2302A¶Pneumatic Gate¶Open</v>
      </c>
    </row>
    <row r="173" spans="2:17" ht="14.25">
      <c r="B173" s="65">
        <v>25</v>
      </c>
      <c r="C173" s="65" t="s">
        <v>1227</v>
      </c>
      <c r="D173" s="65"/>
      <c r="E173" s="82" t="s">
        <v>970</v>
      </c>
      <c r="F173" s="77" t="s">
        <v>913</v>
      </c>
      <c r="G173" s="67" t="s">
        <v>303</v>
      </c>
      <c r="H173" s="67" t="s">
        <v>914</v>
      </c>
      <c r="I173" s="67" t="s">
        <v>1208</v>
      </c>
      <c r="J173" s="70"/>
      <c r="K173" s="71" t="s">
        <v>32</v>
      </c>
      <c r="L173" s="71" t="s">
        <v>33</v>
      </c>
      <c r="M173" s="71" t="s">
        <v>1219</v>
      </c>
      <c r="N173" s="71" t="str">
        <f t="shared" si="32"/>
        <v>-4A12</v>
      </c>
      <c r="O173" s="63">
        <v>9</v>
      </c>
      <c r="P173" s="72" t="str">
        <f t="shared" si="33"/>
        <v>Q29.0</v>
      </c>
      <c r="Q173" s="71" t="str">
        <f t="shared" si="39"/>
        <v>V2303¶Pneumatic Gate¶Open</v>
      </c>
    </row>
    <row r="174" spans="2:17" ht="14.25">
      <c r="B174" s="65">
        <v>26</v>
      </c>
      <c r="C174" s="65" t="s">
        <v>1228</v>
      </c>
      <c r="D174" s="65"/>
      <c r="E174" s="82" t="s">
        <v>973</v>
      </c>
      <c r="F174" s="77" t="s">
        <v>913</v>
      </c>
      <c r="G174" s="67" t="s">
        <v>303</v>
      </c>
      <c r="H174" s="67" t="s">
        <v>914</v>
      </c>
      <c r="I174" s="67" t="s">
        <v>1208</v>
      </c>
      <c r="J174" s="70"/>
      <c r="K174" s="71" t="s">
        <v>32</v>
      </c>
      <c r="L174" s="71" t="s">
        <v>33</v>
      </c>
      <c r="M174" s="71" t="s">
        <v>1219</v>
      </c>
      <c r="N174" s="71" t="str">
        <f t="shared" si="32"/>
        <v>-4A12</v>
      </c>
      <c r="O174" s="63">
        <v>10</v>
      </c>
      <c r="P174" s="72" t="str">
        <f t="shared" si="33"/>
        <v>Q29.1</v>
      </c>
      <c r="Q174" s="71" t="str">
        <f t="shared" si="39"/>
        <v>V2304¶Pneumatic Gate¶Open</v>
      </c>
    </row>
    <row r="175" spans="2:17" ht="14.25">
      <c r="B175" s="65">
        <v>27</v>
      </c>
      <c r="C175" s="65" t="s">
        <v>1229</v>
      </c>
      <c r="D175" s="65"/>
      <c r="E175" s="82" t="s">
        <v>976</v>
      </c>
      <c r="F175" s="77" t="s">
        <v>913</v>
      </c>
      <c r="G175" s="67" t="s">
        <v>303</v>
      </c>
      <c r="H175" s="67" t="s">
        <v>914</v>
      </c>
      <c r="I175" s="67" t="s">
        <v>1208</v>
      </c>
      <c r="J175" s="70"/>
      <c r="K175" s="71" t="s">
        <v>32</v>
      </c>
      <c r="L175" s="71" t="s">
        <v>33</v>
      </c>
      <c r="M175" s="71" t="s">
        <v>1219</v>
      </c>
      <c r="N175" s="71" t="str">
        <f t="shared" si="32"/>
        <v>-4A12</v>
      </c>
      <c r="O175" s="63">
        <v>11</v>
      </c>
      <c r="P175" s="72" t="str">
        <f t="shared" si="33"/>
        <v>Q29.2</v>
      </c>
      <c r="Q175" s="71" t="str">
        <f t="shared" si="39"/>
        <v>V2402¶Pneumatic Gate¶Open</v>
      </c>
    </row>
    <row r="176" spans="2:17" ht="14.25">
      <c r="B176" s="65">
        <v>28</v>
      </c>
      <c r="C176" s="65" t="s">
        <v>1230</v>
      </c>
      <c r="D176" s="65"/>
      <c r="E176" s="82" t="s">
        <v>980</v>
      </c>
      <c r="F176" s="77" t="s">
        <v>913</v>
      </c>
      <c r="G176" s="67" t="s">
        <v>303</v>
      </c>
      <c r="H176" s="67" t="s">
        <v>914</v>
      </c>
      <c r="I176" s="67" t="s">
        <v>1208</v>
      </c>
      <c r="J176" s="70"/>
      <c r="K176" s="71" t="s">
        <v>32</v>
      </c>
      <c r="L176" s="71" t="s">
        <v>33</v>
      </c>
      <c r="M176" s="71" t="s">
        <v>1219</v>
      </c>
      <c r="N176" s="71" t="str">
        <f t="shared" si="32"/>
        <v>-4A12</v>
      </c>
      <c r="O176" s="63">
        <v>12</v>
      </c>
      <c r="P176" s="72" t="str">
        <f t="shared" si="33"/>
        <v>Q29.3</v>
      </c>
      <c r="Q176" s="71" t="str">
        <f t="shared" si="39"/>
        <v>V2403¶Pneumatic Gate¶Open</v>
      </c>
    </row>
    <row r="177" spans="2:17" ht="14.25">
      <c r="B177" s="65">
        <v>29</v>
      </c>
      <c r="C177" s="65" t="s">
        <v>1231</v>
      </c>
      <c r="D177" s="65"/>
      <c r="E177" s="82" t="s">
        <v>983</v>
      </c>
      <c r="F177" s="77" t="s">
        <v>913</v>
      </c>
      <c r="G177" s="67" t="s">
        <v>303</v>
      </c>
      <c r="H177" s="67" t="s">
        <v>914</v>
      </c>
      <c r="I177" s="67" t="s">
        <v>1208</v>
      </c>
      <c r="J177" s="70"/>
      <c r="K177" s="71" t="s">
        <v>32</v>
      </c>
      <c r="L177" s="71" t="s">
        <v>33</v>
      </c>
      <c r="M177" s="71" t="s">
        <v>1219</v>
      </c>
      <c r="N177" s="71" t="str">
        <f t="shared" si="32"/>
        <v>-4A12</v>
      </c>
      <c r="O177" s="63">
        <v>13</v>
      </c>
      <c r="P177" s="72" t="str">
        <f t="shared" si="33"/>
        <v>Q29.4</v>
      </c>
      <c r="Q177" s="71" t="str">
        <f t="shared" si="39"/>
        <v>V2404¶Pneumatic Gate¶Open</v>
      </c>
    </row>
    <row r="178" spans="2:17" ht="14.25">
      <c r="B178" s="65">
        <v>30</v>
      </c>
      <c r="C178" s="65" t="s">
        <v>1232</v>
      </c>
      <c r="D178" s="65"/>
      <c r="E178" s="82" t="s">
        <v>986</v>
      </c>
      <c r="F178" s="77" t="s">
        <v>913</v>
      </c>
      <c r="G178" s="67" t="s">
        <v>303</v>
      </c>
      <c r="H178" s="67" t="s">
        <v>914</v>
      </c>
      <c r="I178" s="67" t="s">
        <v>1208</v>
      </c>
      <c r="J178" s="70"/>
      <c r="K178" s="71" t="s">
        <v>32</v>
      </c>
      <c r="L178" s="71" t="s">
        <v>33</v>
      </c>
      <c r="M178" s="71" t="s">
        <v>1219</v>
      </c>
      <c r="N178" s="71" t="str">
        <f t="shared" si="32"/>
        <v>-4A12</v>
      </c>
      <c r="O178" s="63">
        <v>14</v>
      </c>
      <c r="P178" s="72" t="str">
        <f t="shared" si="33"/>
        <v>Q29.5</v>
      </c>
      <c r="Q178" s="71" t="str">
        <f t="shared" si="39"/>
        <v>V2502¶Pneumatic Gate¶Open</v>
      </c>
    </row>
    <row r="179" spans="2:17" ht="14.25">
      <c r="B179" s="65">
        <v>31</v>
      </c>
      <c r="C179" s="65" t="s">
        <v>1233</v>
      </c>
      <c r="D179" s="65"/>
      <c r="E179" s="82" t="s">
        <v>989</v>
      </c>
      <c r="F179" s="77" t="s">
        <v>913</v>
      </c>
      <c r="G179" s="67" t="s">
        <v>303</v>
      </c>
      <c r="H179" s="67" t="s">
        <v>914</v>
      </c>
      <c r="I179" s="67" t="s">
        <v>1208</v>
      </c>
      <c r="J179" s="70"/>
      <c r="K179" s="71" t="s">
        <v>32</v>
      </c>
      <c r="L179" s="71" t="s">
        <v>33</v>
      </c>
      <c r="M179" s="71" t="s">
        <v>1219</v>
      </c>
      <c r="N179" s="71" t="str">
        <f t="shared" si="32"/>
        <v>-4A12</v>
      </c>
      <c r="O179" s="63">
        <v>15</v>
      </c>
      <c r="P179" s="72" t="str">
        <f t="shared" si="33"/>
        <v>Q29.6</v>
      </c>
      <c r="Q179" s="71" t="str">
        <f t="shared" si="39"/>
        <v>V2503¶Pneumatic Gate¶Open</v>
      </c>
    </row>
    <row r="180" spans="2:17" ht="14.25">
      <c r="B180" s="65">
        <v>32</v>
      </c>
      <c r="C180" s="65" t="s">
        <v>1234</v>
      </c>
      <c r="D180" s="65"/>
      <c r="E180" s="82" t="s">
        <v>992</v>
      </c>
      <c r="F180" s="77" t="s">
        <v>913</v>
      </c>
      <c r="G180" s="67" t="s">
        <v>303</v>
      </c>
      <c r="H180" s="67" t="s">
        <v>914</v>
      </c>
      <c r="I180" s="67" t="s">
        <v>1208</v>
      </c>
      <c r="J180" s="70"/>
      <c r="K180" s="71" t="s">
        <v>32</v>
      </c>
      <c r="L180" s="71" t="s">
        <v>33</v>
      </c>
      <c r="M180" s="71" t="s">
        <v>1219</v>
      </c>
      <c r="N180" s="71" t="str">
        <f t="shared" si="32"/>
        <v>-4A12</v>
      </c>
      <c r="O180" s="63">
        <v>16</v>
      </c>
      <c r="P180" s="72" t="str">
        <f t="shared" si="33"/>
        <v>Q29.7</v>
      </c>
      <c r="Q180" s="71" t="str">
        <f t="shared" si="39"/>
        <v>V2504¶Pneumatic Gate¶Open</v>
      </c>
    </row>
    <row r="181" spans="2:17" ht="14.25">
      <c r="B181" s="65">
        <v>33</v>
      </c>
      <c r="C181" s="65" t="s">
        <v>1235</v>
      </c>
      <c r="D181" s="65"/>
      <c r="E181" s="82" t="s">
        <v>995</v>
      </c>
      <c r="F181" s="77" t="s">
        <v>913</v>
      </c>
      <c r="G181" s="67" t="s">
        <v>303</v>
      </c>
      <c r="H181" s="67" t="s">
        <v>914</v>
      </c>
      <c r="I181" s="67" t="s">
        <v>1208</v>
      </c>
      <c r="J181" s="70"/>
      <c r="K181" s="71" t="s">
        <v>32</v>
      </c>
      <c r="L181" s="71" t="s">
        <v>33</v>
      </c>
      <c r="M181" s="71" t="s">
        <v>1236</v>
      </c>
      <c r="N181" s="71" t="str">
        <f t="shared" si="32"/>
        <v>-4A13</v>
      </c>
      <c r="O181" s="63">
        <v>1</v>
      </c>
      <c r="P181" s="72" t="str">
        <f t="shared" si="33"/>
        <v>Q30.0</v>
      </c>
      <c r="Q181" s="71" t="str">
        <f t="shared" ref="Q181" si="40">E181&amp;K181&amp;H181&amp;K181&amp;I191</f>
        <v>V2602¶Pneumatic Gate¶Open</v>
      </c>
    </row>
    <row r="182" spans="2:17" ht="14.25">
      <c r="B182" s="65">
        <v>34</v>
      </c>
      <c r="C182" s="65" t="s">
        <v>1237</v>
      </c>
      <c r="D182" s="65"/>
      <c r="E182" s="82" t="s">
        <v>998</v>
      </c>
      <c r="F182" s="77" t="s">
        <v>913</v>
      </c>
      <c r="G182" s="67" t="s">
        <v>303</v>
      </c>
      <c r="H182" s="67" t="s">
        <v>914</v>
      </c>
      <c r="I182" s="67" t="s">
        <v>1208</v>
      </c>
      <c r="J182" s="70"/>
      <c r="K182" s="71" t="s">
        <v>32</v>
      </c>
      <c r="L182" s="71" t="s">
        <v>33</v>
      </c>
      <c r="M182" s="71" t="s">
        <v>1236</v>
      </c>
      <c r="N182" s="71" t="str">
        <f t="shared" si="32"/>
        <v>-4A13</v>
      </c>
      <c r="O182" s="63">
        <v>2</v>
      </c>
      <c r="P182" s="72" t="str">
        <f t="shared" si="33"/>
        <v>Q30.1</v>
      </c>
      <c r="Q182" s="71" t="str">
        <f t="shared" ref="Q182:Q190" si="41">E182&amp;K182&amp;H182&amp;K182&amp;I192</f>
        <v>V2603¶Pneumatic Gate¶Open</v>
      </c>
    </row>
    <row r="183" spans="2:17" ht="14.25">
      <c r="B183" s="65">
        <v>35</v>
      </c>
      <c r="C183" s="65" t="s">
        <v>1238</v>
      </c>
      <c r="D183" s="65"/>
      <c r="E183" s="82" t="s">
        <v>1001</v>
      </c>
      <c r="F183" s="77" t="s">
        <v>913</v>
      </c>
      <c r="G183" s="67" t="s">
        <v>303</v>
      </c>
      <c r="H183" s="67" t="s">
        <v>914</v>
      </c>
      <c r="I183" s="67" t="s">
        <v>1208</v>
      </c>
      <c r="J183" s="70"/>
      <c r="K183" s="71" t="s">
        <v>32</v>
      </c>
      <c r="L183" s="71" t="s">
        <v>33</v>
      </c>
      <c r="M183" s="71" t="s">
        <v>1236</v>
      </c>
      <c r="N183" s="71" t="str">
        <f t="shared" si="32"/>
        <v>-4A13</v>
      </c>
      <c r="O183" s="63">
        <v>3</v>
      </c>
      <c r="P183" s="72" t="str">
        <f t="shared" si="33"/>
        <v>Q30.2</v>
      </c>
      <c r="Q183" s="71" t="str">
        <f t="shared" si="41"/>
        <v>V2604¶Pneumatic Gate¶Open</v>
      </c>
    </row>
    <row r="184" spans="2:17" ht="14.25">
      <c r="B184" s="65">
        <v>36</v>
      </c>
      <c r="C184" s="65" t="s">
        <v>1239</v>
      </c>
      <c r="D184" s="65"/>
      <c r="E184" s="82" t="s">
        <v>1005</v>
      </c>
      <c r="F184" s="77" t="s">
        <v>913</v>
      </c>
      <c r="G184" s="67" t="s">
        <v>303</v>
      </c>
      <c r="H184" s="67" t="s">
        <v>914</v>
      </c>
      <c r="I184" s="67" t="s">
        <v>1208</v>
      </c>
      <c r="J184" s="70"/>
      <c r="K184" s="71" t="s">
        <v>32</v>
      </c>
      <c r="L184" s="71" t="s">
        <v>33</v>
      </c>
      <c r="M184" s="71" t="s">
        <v>1236</v>
      </c>
      <c r="N184" s="71" t="str">
        <f t="shared" si="32"/>
        <v>-4A13</v>
      </c>
      <c r="O184" s="63">
        <v>4</v>
      </c>
      <c r="P184" s="72" t="str">
        <f t="shared" si="33"/>
        <v>Q30.3</v>
      </c>
      <c r="Q184" s="71" t="str">
        <f t="shared" si="41"/>
        <v>V3106¶Pneumatic Gate¶Open</v>
      </c>
    </row>
    <row r="185" spans="2:17" ht="14.25">
      <c r="B185" s="65">
        <v>37</v>
      </c>
      <c r="C185" s="65" t="s">
        <v>1240</v>
      </c>
      <c r="D185" s="65"/>
      <c r="E185" s="82" t="s">
        <v>1008</v>
      </c>
      <c r="F185" s="77" t="s">
        <v>913</v>
      </c>
      <c r="G185" s="67" t="s">
        <v>303</v>
      </c>
      <c r="H185" s="67" t="s">
        <v>914</v>
      </c>
      <c r="I185" s="67" t="s">
        <v>1208</v>
      </c>
      <c r="J185" s="70"/>
      <c r="K185" s="71" t="s">
        <v>32</v>
      </c>
      <c r="L185" s="71" t="s">
        <v>33</v>
      </c>
      <c r="M185" s="71" t="s">
        <v>1236</v>
      </c>
      <c r="N185" s="71" t="str">
        <f t="shared" si="32"/>
        <v>-4A13</v>
      </c>
      <c r="O185" s="63">
        <v>5</v>
      </c>
      <c r="P185" s="72" t="str">
        <f t="shared" si="33"/>
        <v>Q30.4</v>
      </c>
      <c r="Q185" s="71" t="str">
        <f t="shared" si="41"/>
        <v>V3108¶Pneumatic Gate¶Open</v>
      </c>
    </row>
    <row r="186" spans="2:17" ht="14.25">
      <c r="B186" s="65">
        <v>38</v>
      </c>
      <c r="C186" s="65" t="s">
        <v>1241</v>
      </c>
      <c r="D186" s="65"/>
      <c r="E186" s="83" t="s">
        <v>1011</v>
      </c>
      <c r="F186" s="84" t="s">
        <v>913</v>
      </c>
      <c r="G186" s="67" t="s">
        <v>303</v>
      </c>
      <c r="H186" s="67" t="s">
        <v>914</v>
      </c>
      <c r="I186" s="67" t="s">
        <v>1208</v>
      </c>
      <c r="J186" s="70"/>
      <c r="K186" s="71" t="s">
        <v>32</v>
      </c>
      <c r="L186" s="71" t="s">
        <v>33</v>
      </c>
      <c r="M186" s="71" t="s">
        <v>1236</v>
      </c>
      <c r="N186" s="71" t="str">
        <f t="shared" si="32"/>
        <v>-4A13</v>
      </c>
      <c r="O186" s="63">
        <v>6</v>
      </c>
      <c r="P186" s="72" t="str">
        <f t="shared" si="33"/>
        <v>Q30.5</v>
      </c>
      <c r="Q186" s="71" t="str">
        <f t="shared" si="41"/>
        <v>V3006¶Pneumatic Gate¶Open</v>
      </c>
    </row>
    <row r="187" spans="2:17" ht="14.25">
      <c r="B187" s="65">
        <v>39</v>
      </c>
      <c r="C187" s="65" t="s">
        <v>1242</v>
      </c>
      <c r="D187" s="65"/>
      <c r="E187" s="83" t="s">
        <v>1014</v>
      </c>
      <c r="F187" s="84" t="s">
        <v>913</v>
      </c>
      <c r="G187" s="67" t="s">
        <v>303</v>
      </c>
      <c r="H187" s="67" t="s">
        <v>914</v>
      </c>
      <c r="I187" s="67" t="s">
        <v>1208</v>
      </c>
      <c r="J187" s="70"/>
      <c r="K187" s="71" t="s">
        <v>32</v>
      </c>
      <c r="L187" s="71" t="s">
        <v>33</v>
      </c>
      <c r="M187" s="71" t="s">
        <v>1236</v>
      </c>
      <c r="N187" s="71" t="str">
        <f t="shared" si="32"/>
        <v>-4A13</v>
      </c>
      <c r="O187" s="63">
        <v>7</v>
      </c>
      <c r="P187" s="72" t="str">
        <f t="shared" si="33"/>
        <v>Q30.6</v>
      </c>
      <c r="Q187" s="71" t="str">
        <f t="shared" si="41"/>
        <v>V3007¶Pneumatic Gate¶Open</v>
      </c>
    </row>
    <row r="188" spans="2:17" ht="14.25">
      <c r="B188" s="65">
        <v>40</v>
      </c>
      <c r="C188" s="65" t="s">
        <v>1243</v>
      </c>
      <c r="D188" s="65"/>
      <c r="E188" s="85" t="s">
        <v>1244</v>
      </c>
      <c r="F188" s="67" t="s">
        <v>1245</v>
      </c>
      <c r="G188" s="67" t="s">
        <v>303</v>
      </c>
      <c r="H188" s="70" t="s">
        <v>1246</v>
      </c>
      <c r="I188" s="67" t="s">
        <v>1208</v>
      </c>
      <c r="J188" s="70"/>
      <c r="K188" s="71" t="s">
        <v>32</v>
      </c>
      <c r="L188" s="71" t="s">
        <v>33</v>
      </c>
      <c r="M188" s="71" t="s">
        <v>1236</v>
      </c>
      <c r="N188" s="71" t="str">
        <f t="shared" si="32"/>
        <v>-4A13</v>
      </c>
      <c r="O188" s="63">
        <v>8</v>
      </c>
      <c r="P188" s="72" t="str">
        <f t="shared" si="33"/>
        <v>Q30.7</v>
      </c>
      <c r="Q188" s="71" t="str">
        <f t="shared" si="41"/>
        <v>2101_1_MQ¶Pulse valve¶Open</v>
      </c>
    </row>
    <row r="189" spans="2:17" ht="14.25">
      <c r="B189" s="65">
        <v>41</v>
      </c>
      <c r="C189" s="65" t="s">
        <v>1247</v>
      </c>
      <c r="D189" s="65"/>
      <c r="E189" s="85" t="s">
        <v>1248</v>
      </c>
      <c r="F189" s="67" t="s">
        <v>1249</v>
      </c>
      <c r="G189" s="67" t="s">
        <v>303</v>
      </c>
      <c r="H189" s="70" t="s">
        <v>1246</v>
      </c>
      <c r="I189" s="67" t="s">
        <v>1208</v>
      </c>
      <c r="J189" s="70"/>
      <c r="K189" s="71" t="s">
        <v>32</v>
      </c>
      <c r="L189" s="71" t="s">
        <v>33</v>
      </c>
      <c r="M189" s="71" t="s">
        <v>1236</v>
      </c>
      <c r="N189" s="71" t="str">
        <f t="shared" si="32"/>
        <v>-4A13</v>
      </c>
      <c r="O189" s="63">
        <v>9</v>
      </c>
      <c r="P189" s="72" t="str">
        <f t="shared" si="33"/>
        <v>Q31.0</v>
      </c>
      <c r="Q189" s="71" t="str">
        <f t="shared" si="41"/>
        <v>2101_2_MQ¶Pulse valve¶Open</v>
      </c>
    </row>
    <row r="190" spans="2:17" ht="14.25">
      <c r="B190" s="65">
        <v>42</v>
      </c>
      <c r="C190" s="65" t="s">
        <v>1250</v>
      </c>
      <c r="D190" s="65"/>
      <c r="E190" s="85" t="s">
        <v>1251</v>
      </c>
      <c r="F190" s="67" t="s">
        <v>1252</v>
      </c>
      <c r="G190" s="67" t="s">
        <v>303</v>
      </c>
      <c r="H190" s="70" t="s">
        <v>1246</v>
      </c>
      <c r="I190" s="67" t="s">
        <v>1208</v>
      </c>
      <c r="J190" s="70"/>
      <c r="K190" s="71" t="s">
        <v>32</v>
      </c>
      <c r="L190" s="71" t="s">
        <v>33</v>
      </c>
      <c r="M190" s="71" t="s">
        <v>1236</v>
      </c>
      <c r="N190" s="71" t="str">
        <f t="shared" si="32"/>
        <v>-4A13</v>
      </c>
      <c r="O190" s="63">
        <v>10</v>
      </c>
      <c r="P190" s="72" t="str">
        <f t="shared" si="33"/>
        <v>Q31.1</v>
      </c>
      <c r="Q190" s="71" t="str">
        <f t="shared" si="41"/>
        <v>2101_3_MQ¶Pulse valve¶Open</v>
      </c>
    </row>
    <row r="191" spans="2:17" ht="14.25">
      <c r="B191" s="65">
        <v>43</v>
      </c>
      <c r="C191" s="65" t="s">
        <v>1253</v>
      </c>
      <c r="D191" s="65"/>
      <c r="E191" s="85" t="s">
        <v>1254</v>
      </c>
      <c r="F191" s="67" t="s">
        <v>1255</v>
      </c>
      <c r="G191" s="67" t="s">
        <v>303</v>
      </c>
      <c r="H191" s="70" t="s">
        <v>1246</v>
      </c>
      <c r="I191" s="67" t="s">
        <v>1208</v>
      </c>
      <c r="J191" s="70"/>
      <c r="K191" s="71" t="s">
        <v>32</v>
      </c>
      <c r="L191" s="71" t="s">
        <v>33</v>
      </c>
      <c r="M191" s="71" t="s">
        <v>1236</v>
      </c>
      <c r="N191" s="71" t="str">
        <f t="shared" si="32"/>
        <v>-4A13</v>
      </c>
      <c r="O191" s="63">
        <v>11</v>
      </c>
      <c r="P191" s="72" t="str">
        <f t="shared" si="33"/>
        <v>Q31.2</v>
      </c>
      <c r="Q191" s="71" t="str">
        <f t="shared" ref="Q191" si="42">E191&amp;K191&amp;H191&amp;K191&amp;I191</f>
        <v>2101_4_MQ¶Pulse valve¶Open</v>
      </c>
    </row>
    <row r="192" spans="2:17" ht="14.25">
      <c r="B192" s="65">
        <v>44</v>
      </c>
      <c r="C192" s="65" t="s">
        <v>1256</v>
      </c>
      <c r="D192" s="65"/>
      <c r="E192" s="85" t="s">
        <v>1257</v>
      </c>
      <c r="F192" s="67" t="s">
        <v>1258</v>
      </c>
      <c r="G192" s="67" t="s">
        <v>303</v>
      </c>
      <c r="H192" s="70" t="s">
        <v>1246</v>
      </c>
      <c r="I192" s="67" t="s">
        <v>1208</v>
      </c>
      <c r="J192" s="70"/>
      <c r="K192" s="71" t="s">
        <v>32</v>
      </c>
      <c r="L192" s="71" t="s">
        <v>33</v>
      </c>
      <c r="M192" s="71" t="s">
        <v>1236</v>
      </c>
      <c r="N192" s="71" t="str">
        <f t="shared" si="32"/>
        <v>-4A13</v>
      </c>
      <c r="O192" s="63">
        <v>12</v>
      </c>
      <c r="P192" s="72" t="str">
        <f t="shared" si="33"/>
        <v>Q31.3</v>
      </c>
      <c r="Q192" s="71" t="str">
        <f t="shared" ref="Q192:Q212" si="43">E192&amp;K192&amp;H192&amp;K192&amp;I192</f>
        <v>2101_5_MQ¶Pulse valve¶Open</v>
      </c>
    </row>
    <row r="193" spans="2:17" ht="14.25">
      <c r="B193" s="65">
        <v>45</v>
      </c>
      <c r="C193" s="65" t="s">
        <v>1259</v>
      </c>
      <c r="D193" s="65"/>
      <c r="E193" s="85" t="s">
        <v>1260</v>
      </c>
      <c r="F193" s="67" t="s">
        <v>1261</v>
      </c>
      <c r="G193" s="67" t="s">
        <v>303</v>
      </c>
      <c r="H193" s="70" t="s">
        <v>1246</v>
      </c>
      <c r="I193" s="67" t="s">
        <v>1208</v>
      </c>
      <c r="J193" s="70"/>
      <c r="K193" s="71" t="s">
        <v>32</v>
      </c>
      <c r="L193" s="71" t="s">
        <v>33</v>
      </c>
      <c r="M193" s="71" t="s">
        <v>1236</v>
      </c>
      <c r="N193" s="71" t="str">
        <f t="shared" si="32"/>
        <v>-4A13</v>
      </c>
      <c r="O193" s="63">
        <v>13</v>
      </c>
      <c r="P193" s="72" t="str">
        <f t="shared" si="33"/>
        <v>Q31.4</v>
      </c>
      <c r="Q193" s="71" t="str">
        <f t="shared" si="43"/>
        <v>2101_6_MQ¶Pulse valve¶Open</v>
      </c>
    </row>
    <row r="194" spans="2:17" ht="14.25">
      <c r="B194" s="65">
        <v>46</v>
      </c>
      <c r="C194" s="65" t="s">
        <v>1262</v>
      </c>
      <c r="D194" s="65"/>
      <c r="E194" s="85" t="s">
        <v>1263</v>
      </c>
      <c r="F194" s="67" t="s">
        <v>1264</v>
      </c>
      <c r="G194" s="67" t="s">
        <v>303</v>
      </c>
      <c r="H194" s="70" t="s">
        <v>1246</v>
      </c>
      <c r="I194" s="67" t="s">
        <v>1208</v>
      </c>
      <c r="J194" s="70"/>
      <c r="K194" s="71" t="s">
        <v>32</v>
      </c>
      <c r="L194" s="71" t="s">
        <v>33</v>
      </c>
      <c r="M194" s="71" t="s">
        <v>1236</v>
      </c>
      <c r="N194" s="71" t="str">
        <f t="shared" si="32"/>
        <v>-4A13</v>
      </c>
      <c r="O194" s="63">
        <v>14</v>
      </c>
      <c r="P194" s="72" t="str">
        <f t="shared" si="33"/>
        <v>Q31.5</v>
      </c>
      <c r="Q194" s="71" t="str">
        <f t="shared" si="43"/>
        <v>2101_7_MQ¶Pulse valve¶Open</v>
      </c>
    </row>
    <row r="195" spans="2:17" ht="14.25">
      <c r="B195" s="65">
        <v>47</v>
      </c>
      <c r="C195" s="65" t="s">
        <v>1265</v>
      </c>
      <c r="D195" s="65"/>
      <c r="E195" s="85" t="s">
        <v>1266</v>
      </c>
      <c r="F195" s="67" t="s">
        <v>1267</v>
      </c>
      <c r="G195" s="67" t="s">
        <v>303</v>
      </c>
      <c r="H195" s="70" t="s">
        <v>1246</v>
      </c>
      <c r="I195" s="67" t="s">
        <v>1208</v>
      </c>
      <c r="J195" s="70"/>
      <c r="K195" s="71" t="s">
        <v>32</v>
      </c>
      <c r="L195" s="71" t="s">
        <v>33</v>
      </c>
      <c r="M195" s="71" t="s">
        <v>1236</v>
      </c>
      <c r="N195" s="71" t="str">
        <f t="shared" si="32"/>
        <v>-4A13</v>
      </c>
      <c r="O195" s="63">
        <v>15</v>
      </c>
      <c r="P195" s="72" t="str">
        <f t="shared" si="33"/>
        <v>Q31.6</v>
      </c>
      <c r="Q195" s="71" t="str">
        <f t="shared" si="43"/>
        <v>2101_8_MQ¶Pulse valve¶Open</v>
      </c>
    </row>
    <row r="196" spans="2:17" ht="14.25">
      <c r="B196" s="65">
        <v>48</v>
      </c>
      <c r="C196" s="65" t="s">
        <v>1268</v>
      </c>
      <c r="D196" s="65"/>
      <c r="E196" s="85" t="s">
        <v>1269</v>
      </c>
      <c r="F196" s="67" t="s">
        <v>1270</v>
      </c>
      <c r="G196" s="67" t="s">
        <v>303</v>
      </c>
      <c r="H196" s="70" t="s">
        <v>1271</v>
      </c>
      <c r="I196" s="67" t="s">
        <v>1208</v>
      </c>
      <c r="J196" s="70"/>
      <c r="K196" s="71" t="s">
        <v>32</v>
      </c>
      <c r="L196" s="71" t="s">
        <v>33</v>
      </c>
      <c r="M196" s="71" t="s">
        <v>1236</v>
      </c>
      <c r="N196" s="71" t="str">
        <f t="shared" si="32"/>
        <v>-4A13</v>
      </c>
      <c r="O196" s="63">
        <v>16</v>
      </c>
      <c r="P196" s="72" t="str">
        <f t="shared" si="33"/>
        <v>Q31.7</v>
      </c>
      <c r="Q196" s="71" t="str">
        <f t="shared" si="43"/>
        <v>2101_1_FM¶Air valve¶Open</v>
      </c>
    </row>
    <row r="197" spans="2:17" ht="14.25">
      <c r="B197" s="65">
        <v>49</v>
      </c>
      <c r="C197" s="65" t="s">
        <v>1272</v>
      </c>
      <c r="D197" s="65"/>
      <c r="E197" s="85" t="s">
        <v>1273</v>
      </c>
      <c r="F197" s="67" t="s">
        <v>1274</v>
      </c>
      <c r="G197" s="67" t="s">
        <v>303</v>
      </c>
      <c r="H197" s="88" t="s">
        <v>1271</v>
      </c>
      <c r="I197" s="67" t="s">
        <v>1208</v>
      </c>
      <c r="J197" s="70"/>
      <c r="K197" s="71" t="s">
        <v>32</v>
      </c>
      <c r="L197" s="71" t="s">
        <v>33</v>
      </c>
      <c r="M197" s="71" t="s">
        <v>1275</v>
      </c>
      <c r="N197" s="71" t="str">
        <f t="shared" ref="N197" si="44">L197&amp;M197</f>
        <v>-4A14</v>
      </c>
      <c r="O197" s="63">
        <v>1</v>
      </c>
      <c r="P197" s="72" t="str">
        <f t="shared" ref="P197" si="45">C197</f>
        <v>Q32.0</v>
      </c>
      <c r="Q197" s="71" t="str">
        <f t="shared" si="43"/>
        <v>2101_2_FM¶Air valve¶Open</v>
      </c>
    </row>
    <row r="198" spans="2:17" ht="14.25">
      <c r="B198" s="65">
        <v>50</v>
      </c>
      <c r="C198" s="65" t="s">
        <v>1276</v>
      </c>
      <c r="D198" s="65"/>
      <c r="E198" s="85" t="s">
        <v>1277</v>
      </c>
      <c r="F198" s="67" t="s">
        <v>1278</v>
      </c>
      <c r="G198" s="67" t="s">
        <v>303</v>
      </c>
      <c r="H198" s="70" t="s">
        <v>1271</v>
      </c>
      <c r="I198" s="67" t="s">
        <v>1208</v>
      </c>
      <c r="J198" s="70"/>
      <c r="K198" s="71" t="s">
        <v>32</v>
      </c>
      <c r="L198" s="71" t="s">
        <v>33</v>
      </c>
      <c r="M198" s="71" t="s">
        <v>1275</v>
      </c>
      <c r="N198" s="71" t="str">
        <f t="shared" ref="N198:N229" si="46">L198&amp;M198</f>
        <v>-4A14</v>
      </c>
      <c r="O198" s="63">
        <v>2</v>
      </c>
      <c r="P198" s="72" t="str">
        <f t="shared" ref="P198:P229" si="47">C198</f>
        <v>Q32.1</v>
      </c>
      <c r="Q198" s="71" t="str">
        <f t="shared" si="43"/>
        <v>2101_3_FM¶Air valve¶Open</v>
      </c>
    </row>
    <row r="199" spans="2:17" ht="14.25">
      <c r="B199" s="65">
        <v>51</v>
      </c>
      <c r="C199" s="65" t="s">
        <v>1279</v>
      </c>
      <c r="D199" s="65"/>
      <c r="E199" s="85" t="s">
        <v>1280</v>
      </c>
      <c r="F199" s="67" t="s">
        <v>1281</v>
      </c>
      <c r="G199" s="67" t="s">
        <v>303</v>
      </c>
      <c r="H199" s="88" t="s">
        <v>1271</v>
      </c>
      <c r="I199" s="67" t="s">
        <v>1208</v>
      </c>
      <c r="J199" s="70"/>
      <c r="K199" s="71" t="s">
        <v>32</v>
      </c>
      <c r="L199" s="71" t="s">
        <v>33</v>
      </c>
      <c r="M199" s="71" t="s">
        <v>1275</v>
      </c>
      <c r="N199" s="71" t="str">
        <f t="shared" si="46"/>
        <v>-4A14</v>
      </c>
      <c r="O199" s="63">
        <v>3</v>
      </c>
      <c r="P199" s="72" t="str">
        <f t="shared" si="47"/>
        <v>Q32.2</v>
      </c>
      <c r="Q199" s="71" t="str">
        <f t="shared" si="43"/>
        <v>2101_4_FM¶Air valve¶Open</v>
      </c>
    </row>
    <row r="200" spans="2:17" ht="14.25">
      <c r="B200" s="65">
        <v>52</v>
      </c>
      <c r="C200" s="65" t="s">
        <v>1282</v>
      </c>
      <c r="D200" s="65"/>
      <c r="E200" s="85" t="s">
        <v>1283</v>
      </c>
      <c r="F200" s="67" t="s">
        <v>1284</v>
      </c>
      <c r="G200" s="67" t="s">
        <v>303</v>
      </c>
      <c r="H200" s="70" t="s">
        <v>1271</v>
      </c>
      <c r="I200" s="67" t="s">
        <v>1208</v>
      </c>
      <c r="J200" s="70"/>
      <c r="K200" s="71" t="s">
        <v>32</v>
      </c>
      <c r="L200" s="71" t="s">
        <v>33</v>
      </c>
      <c r="M200" s="71" t="s">
        <v>1275</v>
      </c>
      <c r="N200" s="71" t="str">
        <f t="shared" si="46"/>
        <v>-4A14</v>
      </c>
      <c r="O200" s="63">
        <v>4</v>
      </c>
      <c r="P200" s="72" t="str">
        <f t="shared" si="47"/>
        <v>Q32.3</v>
      </c>
      <c r="Q200" s="71" t="str">
        <f t="shared" si="43"/>
        <v>2101_5_FM¶Air valve¶Open</v>
      </c>
    </row>
    <row r="201" spans="2:17" ht="14.25">
      <c r="B201" s="65">
        <v>53</v>
      </c>
      <c r="C201" s="65" t="s">
        <v>1285</v>
      </c>
      <c r="D201" s="65"/>
      <c r="E201" s="85" t="s">
        <v>1286</v>
      </c>
      <c r="F201" s="67" t="s">
        <v>1287</v>
      </c>
      <c r="G201" s="67" t="s">
        <v>303</v>
      </c>
      <c r="H201" s="88" t="s">
        <v>1271</v>
      </c>
      <c r="I201" s="67" t="s">
        <v>1208</v>
      </c>
      <c r="J201" s="70"/>
      <c r="K201" s="71" t="s">
        <v>32</v>
      </c>
      <c r="L201" s="71" t="s">
        <v>33</v>
      </c>
      <c r="M201" s="71" t="s">
        <v>1275</v>
      </c>
      <c r="N201" s="71" t="str">
        <f t="shared" si="46"/>
        <v>-4A14</v>
      </c>
      <c r="O201" s="63">
        <v>5</v>
      </c>
      <c r="P201" s="72" t="str">
        <f t="shared" si="47"/>
        <v>Q32.4</v>
      </c>
      <c r="Q201" s="71" t="str">
        <f t="shared" si="43"/>
        <v>2101_6_FM¶Air valve¶Open</v>
      </c>
    </row>
    <row r="202" spans="2:17" ht="14.25">
      <c r="B202" s="65">
        <v>54</v>
      </c>
      <c r="C202" s="65" t="s">
        <v>1288</v>
      </c>
      <c r="D202" s="65"/>
      <c r="E202" s="85" t="s">
        <v>1289</v>
      </c>
      <c r="F202" s="67" t="s">
        <v>1290</v>
      </c>
      <c r="G202" s="67" t="s">
        <v>303</v>
      </c>
      <c r="H202" s="70" t="s">
        <v>1271</v>
      </c>
      <c r="I202" s="67" t="s">
        <v>1208</v>
      </c>
      <c r="J202" s="70"/>
      <c r="K202" s="71" t="s">
        <v>32</v>
      </c>
      <c r="L202" s="71" t="s">
        <v>33</v>
      </c>
      <c r="M202" s="71" t="s">
        <v>1275</v>
      </c>
      <c r="N202" s="71" t="str">
        <f t="shared" si="46"/>
        <v>-4A14</v>
      </c>
      <c r="O202" s="63">
        <v>6</v>
      </c>
      <c r="P202" s="72" t="str">
        <f t="shared" si="47"/>
        <v>Q32.5</v>
      </c>
      <c r="Q202" s="71" t="str">
        <f t="shared" si="43"/>
        <v>2101_7_FM¶Air valve¶Open</v>
      </c>
    </row>
    <row r="203" spans="2:17" ht="14.25">
      <c r="B203" s="65">
        <v>55</v>
      </c>
      <c r="C203" s="65" t="s">
        <v>1291</v>
      </c>
      <c r="D203" s="65"/>
      <c r="E203" s="85" t="s">
        <v>1292</v>
      </c>
      <c r="F203" s="67" t="s">
        <v>1293</v>
      </c>
      <c r="G203" s="67" t="s">
        <v>303</v>
      </c>
      <c r="H203" s="88" t="s">
        <v>1271</v>
      </c>
      <c r="I203" s="67" t="s">
        <v>1208</v>
      </c>
      <c r="J203" s="70"/>
      <c r="K203" s="71" t="s">
        <v>32</v>
      </c>
      <c r="L203" s="71" t="s">
        <v>33</v>
      </c>
      <c r="M203" s="71" t="s">
        <v>1275</v>
      </c>
      <c r="N203" s="71" t="str">
        <f t="shared" si="46"/>
        <v>-4A14</v>
      </c>
      <c r="O203" s="63">
        <v>7</v>
      </c>
      <c r="P203" s="72" t="str">
        <f t="shared" si="47"/>
        <v>Q32.6</v>
      </c>
      <c r="Q203" s="71" t="str">
        <f t="shared" si="43"/>
        <v>2101_8_FM¶Air valve¶Open</v>
      </c>
    </row>
    <row r="204" spans="2:17" ht="14.25">
      <c r="B204" s="65">
        <v>56</v>
      </c>
      <c r="C204" s="65" t="s">
        <v>1294</v>
      </c>
      <c r="D204" s="65"/>
      <c r="E204" s="85" t="s">
        <v>1295</v>
      </c>
      <c r="F204" s="77" t="s">
        <v>1018</v>
      </c>
      <c r="G204" s="67" t="s">
        <v>303</v>
      </c>
      <c r="H204" s="67" t="s">
        <v>1019</v>
      </c>
      <c r="I204" s="67" t="s">
        <v>1208</v>
      </c>
      <c r="J204" s="70"/>
      <c r="K204" s="71" t="s">
        <v>32</v>
      </c>
      <c r="L204" s="71" t="s">
        <v>33</v>
      </c>
      <c r="M204" s="71" t="s">
        <v>1275</v>
      </c>
      <c r="N204" s="71" t="str">
        <f t="shared" si="46"/>
        <v>-4A14</v>
      </c>
      <c r="O204" s="63">
        <v>8</v>
      </c>
      <c r="P204" s="72" t="str">
        <f t="shared" si="47"/>
        <v>Q32.7</v>
      </c>
      <c r="Q204" s="71" t="str">
        <f t="shared" si="43"/>
        <v>2104_1_JZ¶Cut off door¶Open</v>
      </c>
    </row>
    <row r="205" spans="2:17" ht="14.25">
      <c r="B205" s="65">
        <v>57</v>
      </c>
      <c r="C205" s="65" t="s">
        <v>1296</v>
      </c>
      <c r="D205" s="65"/>
      <c r="E205" s="85" t="s">
        <v>1297</v>
      </c>
      <c r="F205" s="77" t="s">
        <v>1022</v>
      </c>
      <c r="G205" s="67" t="s">
        <v>303</v>
      </c>
      <c r="H205" s="67" t="s">
        <v>1019</v>
      </c>
      <c r="I205" s="67" t="s">
        <v>1208</v>
      </c>
      <c r="J205" s="70"/>
      <c r="K205" s="71" t="s">
        <v>32</v>
      </c>
      <c r="L205" s="71" t="s">
        <v>33</v>
      </c>
      <c r="M205" s="71" t="s">
        <v>1275</v>
      </c>
      <c r="N205" s="71" t="str">
        <f t="shared" si="46"/>
        <v>-4A14</v>
      </c>
      <c r="O205" s="63">
        <v>9</v>
      </c>
      <c r="P205" s="72" t="str">
        <f t="shared" si="47"/>
        <v>Q33.0</v>
      </c>
      <c r="Q205" s="71" t="str">
        <f t="shared" si="43"/>
        <v>2104_2_JZ¶Cut off door¶Open</v>
      </c>
    </row>
    <row r="206" spans="2:17" ht="14.25">
      <c r="B206" s="65">
        <v>58</v>
      </c>
      <c r="C206" s="65" t="s">
        <v>1298</v>
      </c>
      <c r="D206" s="65"/>
      <c r="E206" s="85" t="s">
        <v>1299</v>
      </c>
      <c r="F206" s="77" t="s">
        <v>1025</v>
      </c>
      <c r="G206" s="67" t="s">
        <v>303</v>
      </c>
      <c r="H206" s="67" t="s">
        <v>1019</v>
      </c>
      <c r="I206" s="67" t="s">
        <v>1208</v>
      </c>
      <c r="J206" s="70"/>
      <c r="K206" s="71" t="s">
        <v>32</v>
      </c>
      <c r="L206" s="71" t="s">
        <v>33</v>
      </c>
      <c r="M206" s="71" t="s">
        <v>1275</v>
      </c>
      <c r="N206" s="71" t="str">
        <f t="shared" si="46"/>
        <v>-4A14</v>
      </c>
      <c r="O206" s="63">
        <v>10</v>
      </c>
      <c r="P206" s="72" t="str">
        <f t="shared" si="47"/>
        <v>Q33.1</v>
      </c>
      <c r="Q206" s="71" t="str">
        <f t="shared" si="43"/>
        <v>2104_3_JZ¶Cut off door¶Open</v>
      </c>
    </row>
    <row r="207" spans="2:17" ht="14.25">
      <c r="B207" s="65">
        <v>59</v>
      </c>
      <c r="C207" s="65" t="s">
        <v>1300</v>
      </c>
      <c r="D207" s="65"/>
      <c r="E207" s="85" t="s">
        <v>1301</v>
      </c>
      <c r="F207" s="77" t="s">
        <v>1028</v>
      </c>
      <c r="G207" s="67" t="s">
        <v>303</v>
      </c>
      <c r="H207" s="67" t="s">
        <v>1019</v>
      </c>
      <c r="I207" s="67" t="s">
        <v>1208</v>
      </c>
      <c r="J207" s="70"/>
      <c r="K207" s="71" t="s">
        <v>32</v>
      </c>
      <c r="L207" s="71" t="s">
        <v>33</v>
      </c>
      <c r="M207" s="71" t="s">
        <v>1275</v>
      </c>
      <c r="N207" s="71" t="str">
        <f t="shared" si="46"/>
        <v>-4A14</v>
      </c>
      <c r="O207" s="63">
        <v>11</v>
      </c>
      <c r="P207" s="72" t="str">
        <f t="shared" si="47"/>
        <v>Q33.2</v>
      </c>
      <c r="Q207" s="71" t="str">
        <f t="shared" si="43"/>
        <v>2104_4_JZ¶Cut off door¶Open</v>
      </c>
    </row>
    <row r="208" spans="2:17" ht="14.25">
      <c r="B208" s="65">
        <v>60</v>
      </c>
      <c r="C208" s="65" t="s">
        <v>1302</v>
      </c>
      <c r="D208" s="65"/>
      <c r="E208" s="85" t="s">
        <v>1303</v>
      </c>
      <c r="F208" s="77" t="s">
        <v>1031</v>
      </c>
      <c r="G208" s="67" t="s">
        <v>303</v>
      </c>
      <c r="H208" s="67" t="s">
        <v>1019</v>
      </c>
      <c r="I208" s="67" t="s">
        <v>1208</v>
      </c>
      <c r="J208" s="70"/>
      <c r="K208" s="71" t="s">
        <v>32</v>
      </c>
      <c r="L208" s="71" t="s">
        <v>33</v>
      </c>
      <c r="M208" s="71" t="s">
        <v>1275</v>
      </c>
      <c r="N208" s="71" t="str">
        <f t="shared" si="46"/>
        <v>-4A14</v>
      </c>
      <c r="O208" s="63">
        <v>12</v>
      </c>
      <c r="P208" s="72" t="str">
        <f t="shared" si="47"/>
        <v>Q33.3</v>
      </c>
      <c r="Q208" s="71" t="str">
        <f t="shared" si="43"/>
        <v>2104_5_JZ¶Cut off door¶Open</v>
      </c>
    </row>
    <row r="209" spans="2:17" ht="14.25">
      <c r="B209" s="65">
        <v>61</v>
      </c>
      <c r="C209" s="65" t="s">
        <v>1304</v>
      </c>
      <c r="D209" s="65"/>
      <c r="E209" s="85" t="s">
        <v>1305</v>
      </c>
      <c r="F209" s="77" t="s">
        <v>1034</v>
      </c>
      <c r="G209" s="67" t="s">
        <v>303</v>
      </c>
      <c r="H209" s="67" t="s">
        <v>1019</v>
      </c>
      <c r="I209" s="67" t="s">
        <v>1208</v>
      </c>
      <c r="J209" s="70"/>
      <c r="K209" s="71" t="s">
        <v>32</v>
      </c>
      <c r="L209" s="71" t="s">
        <v>33</v>
      </c>
      <c r="M209" s="71" t="s">
        <v>1275</v>
      </c>
      <c r="N209" s="71" t="str">
        <f t="shared" si="46"/>
        <v>-4A14</v>
      </c>
      <c r="O209" s="63">
        <v>13</v>
      </c>
      <c r="P209" s="72" t="str">
        <f t="shared" si="47"/>
        <v>Q33.4</v>
      </c>
      <c r="Q209" s="71" t="str">
        <f t="shared" si="43"/>
        <v>2104_6_JZ¶Cut off door¶Open</v>
      </c>
    </row>
    <row r="210" spans="2:17" ht="14.25">
      <c r="B210" s="65">
        <v>62</v>
      </c>
      <c r="C210" s="65" t="s">
        <v>1306</v>
      </c>
      <c r="D210" s="65"/>
      <c r="E210" s="85" t="s">
        <v>1307</v>
      </c>
      <c r="F210" s="77" t="s">
        <v>1037</v>
      </c>
      <c r="G210" s="67" t="s">
        <v>303</v>
      </c>
      <c r="H210" s="67" t="s">
        <v>1019</v>
      </c>
      <c r="I210" s="67" t="s">
        <v>1208</v>
      </c>
      <c r="J210" s="70"/>
      <c r="K210" s="71" t="s">
        <v>32</v>
      </c>
      <c r="L210" s="71" t="s">
        <v>33</v>
      </c>
      <c r="M210" s="71" t="s">
        <v>1275</v>
      </c>
      <c r="N210" s="71" t="str">
        <f t="shared" si="46"/>
        <v>-4A14</v>
      </c>
      <c r="O210" s="63">
        <v>14</v>
      </c>
      <c r="P210" s="72" t="str">
        <f t="shared" si="47"/>
        <v>Q33.5</v>
      </c>
      <c r="Q210" s="71" t="str">
        <f t="shared" si="43"/>
        <v>2104_7_JZ¶Cut off door¶Open</v>
      </c>
    </row>
    <row r="211" spans="2:17" ht="14.25">
      <c r="B211" s="65">
        <v>63</v>
      </c>
      <c r="C211" s="65" t="s">
        <v>1308</v>
      </c>
      <c r="D211" s="65"/>
      <c r="E211" s="85" t="s">
        <v>1309</v>
      </c>
      <c r="F211" s="77" t="s">
        <v>1040</v>
      </c>
      <c r="G211" s="67" t="s">
        <v>303</v>
      </c>
      <c r="H211" s="67" t="s">
        <v>1019</v>
      </c>
      <c r="I211" s="67" t="s">
        <v>1208</v>
      </c>
      <c r="J211" s="70"/>
      <c r="K211" s="71" t="s">
        <v>32</v>
      </c>
      <c r="L211" s="71" t="s">
        <v>33</v>
      </c>
      <c r="M211" s="71" t="s">
        <v>1275</v>
      </c>
      <c r="N211" s="71" t="str">
        <f t="shared" si="46"/>
        <v>-4A14</v>
      </c>
      <c r="O211" s="63">
        <v>15</v>
      </c>
      <c r="P211" s="72" t="str">
        <f t="shared" si="47"/>
        <v>Q33.6</v>
      </c>
      <c r="Q211" s="71" t="str">
        <f t="shared" si="43"/>
        <v>2104_8_JZ¶Cut off door¶Open</v>
      </c>
    </row>
    <row r="212" spans="2:17" ht="14.25">
      <c r="B212" s="65">
        <v>64</v>
      </c>
      <c r="C212" s="65" t="s">
        <v>1310</v>
      </c>
      <c r="D212" s="65"/>
      <c r="E212" s="85" t="s">
        <v>1311</v>
      </c>
      <c r="F212" s="77" t="s">
        <v>1044</v>
      </c>
      <c r="G212" s="67" t="s">
        <v>303</v>
      </c>
      <c r="H212" s="67" t="s">
        <v>1019</v>
      </c>
      <c r="I212" s="67" t="s">
        <v>1208</v>
      </c>
      <c r="J212" s="70"/>
      <c r="K212" s="71" t="s">
        <v>32</v>
      </c>
      <c r="L212" s="71" t="s">
        <v>33</v>
      </c>
      <c r="M212" s="71" t="s">
        <v>1275</v>
      </c>
      <c r="N212" s="71" t="str">
        <f t="shared" si="46"/>
        <v>-4A14</v>
      </c>
      <c r="O212" s="63">
        <v>16</v>
      </c>
      <c r="P212" s="72" t="str">
        <f t="shared" si="47"/>
        <v>Q33.7</v>
      </c>
      <c r="Q212" s="71" t="str">
        <f t="shared" si="43"/>
        <v>2104_9_JZ¶Cut off door¶Open</v>
      </c>
    </row>
    <row r="213" spans="2:17" ht="14.25">
      <c r="B213" s="65">
        <v>17</v>
      </c>
      <c r="C213" s="65" t="s">
        <v>1312</v>
      </c>
      <c r="D213" s="65"/>
      <c r="E213" s="85" t="s">
        <v>1313</v>
      </c>
      <c r="F213" s="77" t="s">
        <v>1047</v>
      </c>
      <c r="G213" s="67" t="s">
        <v>303</v>
      </c>
      <c r="H213" s="67" t="s">
        <v>1019</v>
      </c>
      <c r="I213" s="67" t="s">
        <v>1208</v>
      </c>
      <c r="J213" s="70"/>
      <c r="K213" s="71" t="s">
        <v>32</v>
      </c>
      <c r="L213" s="71" t="s">
        <v>33</v>
      </c>
      <c r="M213" s="71" t="s">
        <v>1314</v>
      </c>
      <c r="N213" s="71" t="str">
        <f t="shared" si="46"/>
        <v>-4A15</v>
      </c>
      <c r="O213" s="63">
        <v>1</v>
      </c>
      <c r="P213" s="72" t="str">
        <f t="shared" si="47"/>
        <v>Q34.0</v>
      </c>
      <c r="Q213" s="71" t="str">
        <f t="shared" ref="Q213" si="48">E213&amp;K213&amp;H213&amp;K213&amp;I443</f>
        <v>2104_10_JZ¶Cut off door¶</v>
      </c>
    </row>
    <row r="214" spans="2:17" ht="14.25">
      <c r="B214" s="65">
        <v>18</v>
      </c>
      <c r="C214" s="65" t="s">
        <v>1315</v>
      </c>
      <c r="D214" s="65"/>
      <c r="E214" s="85" t="s">
        <v>1316</v>
      </c>
      <c r="F214" s="77" t="s">
        <v>1050</v>
      </c>
      <c r="G214" s="67" t="s">
        <v>303</v>
      </c>
      <c r="H214" s="67" t="s">
        <v>1019</v>
      </c>
      <c r="I214" s="67" t="s">
        <v>1208</v>
      </c>
      <c r="J214" s="70"/>
      <c r="K214" s="71" t="s">
        <v>32</v>
      </c>
      <c r="L214" s="71" t="s">
        <v>33</v>
      </c>
      <c r="M214" s="71" t="s">
        <v>1314</v>
      </c>
      <c r="N214" s="71" t="str">
        <f t="shared" si="46"/>
        <v>-4A15</v>
      </c>
      <c r="O214" s="63">
        <v>2</v>
      </c>
      <c r="P214" s="72" t="str">
        <f t="shared" si="47"/>
        <v>Q34.1</v>
      </c>
      <c r="Q214" s="71" t="str">
        <f t="shared" ref="Q214:Q220" si="49">E214&amp;K214&amp;H214&amp;K214&amp;I444</f>
        <v>2104_11_JZ¶Cut off door¶</v>
      </c>
    </row>
    <row r="215" spans="2:17" ht="14.25">
      <c r="B215" s="65">
        <v>19</v>
      </c>
      <c r="C215" s="65" t="s">
        <v>1317</v>
      </c>
      <c r="D215" s="65"/>
      <c r="E215" s="85" t="s">
        <v>1318</v>
      </c>
      <c r="F215" s="77" t="s">
        <v>1053</v>
      </c>
      <c r="G215" s="67" t="s">
        <v>303</v>
      </c>
      <c r="H215" s="67" t="s">
        <v>1019</v>
      </c>
      <c r="I215" s="67" t="s">
        <v>1208</v>
      </c>
      <c r="J215" s="70"/>
      <c r="K215" s="71" t="s">
        <v>32</v>
      </c>
      <c r="L215" s="71" t="s">
        <v>33</v>
      </c>
      <c r="M215" s="71" t="s">
        <v>1314</v>
      </c>
      <c r="N215" s="71" t="str">
        <f t="shared" si="46"/>
        <v>-4A15</v>
      </c>
      <c r="O215" s="63">
        <v>3</v>
      </c>
      <c r="P215" s="72" t="str">
        <f t="shared" si="47"/>
        <v>Q34.2</v>
      </c>
      <c r="Q215" s="71" t="str">
        <f t="shared" si="49"/>
        <v>2104_12_JZ¶Cut off door¶</v>
      </c>
    </row>
    <row r="216" spans="2:17" ht="14.25">
      <c r="B216" s="65">
        <v>20</v>
      </c>
      <c r="C216" s="65" t="s">
        <v>1319</v>
      </c>
      <c r="D216" s="65"/>
      <c r="E216" s="85" t="s">
        <v>1320</v>
      </c>
      <c r="F216" s="77" t="s">
        <v>1056</v>
      </c>
      <c r="G216" s="67" t="s">
        <v>303</v>
      </c>
      <c r="H216" s="67" t="s">
        <v>1019</v>
      </c>
      <c r="I216" s="67" t="s">
        <v>1208</v>
      </c>
      <c r="J216" s="70"/>
      <c r="K216" s="71" t="s">
        <v>32</v>
      </c>
      <c r="L216" s="71" t="s">
        <v>33</v>
      </c>
      <c r="M216" s="71" t="s">
        <v>1314</v>
      </c>
      <c r="N216" s="71" t="str">
        <f t="shared" si="46"/>
        <v>-4A15</v>
      </c>
      <c r="O216" s="63">
        <v>4</v>
      </c>
      <c r="P216" s="72" t="str">
        <f t="shared" si="47"/>
        <v>Q34.3</v>
      </c>
      <c r="Q216" s="71" t="str">
        <f t="shared" si="49"/>
        <v>2104_13_JZ¶Cut off door¶</v>
      </c>
    </row>
    <row r="217" spans="2:17" ht="14.25">
      <c r="B217" s="65">
        <v>21</v>
      </c>
      <c r="C217" s="65" t="s">
        <v>1321</v>
      </c>
      <c r="D217" s="65"/>
      <c r="E217" s="85" t="s">
        <v>1322</v>
      </c>
      <c r="F217" s="77" t="s">
        <v>1059</v>
      </c>
      <c r="G217" s="67" t="s">
        <v>303</v>
      </c>
      <c r="H217" s="67" t="s">
        <v>1019</v>
      </c>
      <c r="I217" s="67" t="s">
        <v>1208</v>
      </c>
      <c r="J217" s="70"/>
      <c r="K217" s="71" t="s">
        <v>32</v>
      </c>
      <c r="L217" s="71" t="s">
        <v>33</v>
      </c>
      <c r="M217" s="71" t="s">
        <v>1314</v>
      </c>
      <c r="N217" s="71" t="str">
        <f t="shared" si="46"/>
        <v>-4A15</v>
      </c>
      <c r="O217" s="63">
        <v>5</v>
      </c>
      <c r="P217" s="72" t="str">
        <f t="shared" si="47"/>
        <v>Q34.4</v>
      </c>
      <c r="Q217" s="71" t="str">
        <f t="shared" si="49"/>
        <v>2104_14_JZ¶Cut off door¶</v>
      </c>
    </row>
    <row r="218" spans="2:17" ht="14.25">
      <c r="B218" s="65">
        <v>22</v>
      </c>
      <c r="C218" s="65" t="s">
        <v>1323</v>
      </c>
      <c r="D218" s="65"/>
      <c r="E218" s="85" t="s">
        <v>1324</v>
      </c>
      <c r="F218" s="77" t="s">
        <v>1062</v>
      </c>
      <c r="G218" s="67" t="s">
        <v>303</v>
      </c>
      <c r="H218" s="67" t="s">
        <v>1019</v>
      </c>
      <c r="I218" s="67" t="s">
        <v>1208</v>
      </c>
      <c r="J218" s="70"/>
      <c r="K218" s="71" t="s">
        <v>32</v>
      </c>
      <c r="L218" s="71" t="s">
        <v>33</v>
      </c>
      <c r="M218" s="71" t="s">
        <v>1314</v>
      </c>
      <c r="N218" s="71" t="str">
        <f t="shared" si="46"/>
        <v>-4A15</v>
      </c>
      <c r="O218" s="63">
        <v>6</v>
      </c>
      <c r="P218" s="72" t="str">
        <f t="shared" si="47"/>
        <v>Q34.5</v>
      </c>
      <c r="Q218" s="71" t="str">
        <f t="shared" si="49"/>
        <v>2104_15_JZ¶Cut off door¶</v>
      </c>
    </row>
    <row r="219" spans="2:17" ht="14.25">
      <c r="B219" s="65">
        <v>23</v>
      </c>
      <c r="C219" s="65" t="s">
        <v>1325</v>
      </c>
      <c r="D219" s="65"/>
      <c r="E219" s="85" t="s">
        <v>1326</v>
      </c>
      <c r="F219" s="77" t="s">
        <v>1065</v>
      </c>
      <c r="G219" s="67" t="s">
        <v>303</v>
      </c>
      <c r="H219" s="67" t="s">
        <v>1019</v>
      </c>
      <c r="I219" s="67" t="s">
        <v>1208</v>
      </c>
      <c r="J219" s="70"/>
      <c r="K219" s="71" t="s">
        <v>32</v>
      </c>
      <c r="L219" s="71" t="s">
        <v>33</v>
      </c>
      <c r="M219" s="71" t="s">
        <v>1314</v>
      </c>
      <c r="N219" s="71" t="str">
        <f t="shared" si="46"/>
        <v>-4A15</v>
      </c>
      <c r="O219" s="63">
        <v>7</v>
      </c>
      <c r="P219" s="72" t="str">
        <f t="shared" si="47"/>
        <v>Q34.6</v>
      </c>
      <c r="Q219" s="71" t="str">
        <f t="shared" si="49"/>
        <v>2104_16_JZ¶Cut off door¶</v>
      </c>
    </row>
    <row r="220" spans="2:17" ht="14.25">
      <c r="B220" s="65">
        <v>24</v>
      </c>
      <c r="C220" s="65" t="s">
        <v>1327</v>
      </c>
      <c r="D220" s="65"/>
      <c r="E220" s="85" t="s">
        <v>1328</v>
      </c>
      <c r="F220" s="77" t="s">
        <v>1068</v>
      </c>
      <c r="G220" s="67" t="s">
        <v>303</v>
      </c>
      <c r="H220" s="67" t="s">
        <v>1019</v>
      </c>
      <c r="I220" s="67" t="s">
        <v>1208</v>
      </c>
      <c r="J220" s="70"/>
      <c r="K220" s="71" t="s">
        <v>32</v>
      </c>
      <c r="L220" s="71" t="s">
        <v>33</v>
      </c>
      <c r="M220" s="71" t="s">
        <v>1314</v>
      </c>
      <c r="N220" s="71" t="str">
        <f t="shared" si="46"/>
        <v>-4A15</v>
      </c>
      <c r="O220" s="63">
        <v>8</v>
      </c>
      <c r="P220" s="72" t="str">
        <f t="shared" si="47"/>
        <v>Q34.7</v>
      </c>
      <c r="Q220" s="71" t="str">
        <f t="shared" si="49"/>
        <v>2104_17_JZ¶Cut off door¶</v>
      </c>
    </row>
    <row r="221" spans="2:17" ht="14.25">
      <c r="B221" s="65">
        <v>25</v>
      </c>
      <c r="C221" s="65" t="s">
        <v>1329</v>
      </c>
      <c r="D221" s="65"/>
      <c r="E221" s="85" t="s">
        <v>1330</v>
      </c>
      <c r="F221" s="77" t="s">
        <v>1071</v>
      </c>
      <c r="G221" s="67" t="s">
        <v>303</v>
      </c>
      <c r="H221" s="67" t="s">
        <v>1019</v>
      </c>
      <c r="I221" s="67" t="s">
        <v>1208</v>
      </c>
      <c r="J221" s="70"/>
      <c r="K221" s="71" t="s">
        <v>32</v>
      </c>
      <c r="L221" s="71" t="s">
        <v>33</v>
      </c>
      <c r="M221" s="71" t="s">
        <v>1314</v>
      </c>
      <c r="N221" s="71" t="str">
        <f t="shared" si="46"/>
        <v>-4A15</v>
      </c>
      <c r="O221" s="63">
        <v>9</v>
      </c>
      <c r="P221" s="72" t="str">
        <f t="shared" si="47"/>
        <v>Q35.0</v>
      </c>
      <c r="Q221" s="71" t="str">
        <f t="shared" ref="Q221" si="50">E221&amp;K221&amp;H221&amp;K221&amp;I451</f>
        <v>2104_18_JZ¶Cut off door¶</v>
      </c>
    </row>
    <row r="222" spans="2:17" ht="14.25">
      <c r="B222" s="65">
        <v>26</v>
      </c>
      <c r="C222" s="65" t="s">
        <v>1331</v>
      </c>
      <c r="D222" s="65"/>
      <c r="E222" s="85" t="s">
        <v>1332</v>
      </c>
      <c r="F222" s="77" t="s">
        <v>1074</v>
      </c>
      <c r="G222" s="67" t="s">
        <v>303</v>
      </c>
      <c r="H222" s="67" t="s">
        <v>1019</v>
      </c>
      <c r="I222" s="67" t="s">
        <v>1208</v>
      </c>
      <c r="J222" s="70"/>
      <c r="K222" s="71" t="s">
        <v>32</v>
      </c>
      <c r="L222" s="71" t="s">
        <v>33</v>
      </c>
      <c r="M222" s="71" t="s">
        <v>1314</v>
      </c>
      <c r="N222" s="71" t="str">
        <f t="shared" si="46"/>
        <v>-4A15</v>
      </c>
      <c r="O222" s="63">
        <v>10</v>
      </c>
      <c r="P222" s="72" t="str">
        <f t="shared" si="47"/>
        <v>Q35.1</v>
      </c>
      <c r="Q222" s="71" t="str">
        <f t="shared" ref="Q222:Q228" si="51">E222&amp;K222&amp;H222&amp;K222&amp;I452</f>
        <v>2104_19_JZ¶Cut off door¶</v>
      </c>
    </row>
    <row r="223" spans="2:17" ht="14.25">
      <c r="B223" s="65">
        <v>27</v>
      </c>
      <c r="C223" s="65" t="s">
        <v>1333</v>
      </c>
      <c r="D223" s="65"/>
      <c r="E223" s="85" t="s">
        <v>1334</v>
      </c>
      <c r="F223" s="77" t="s">
        <v>1077</v>
      </c>
      <c r="G223" s="67" t="s">
        <v>303</v>
      </c>
      <c r="H223" s="67" t="s">
        <v>1019</v>
      </c>
      <c r="I223" s="67" t="s">
        <v>1208</v>
      </c>
      <c r="J223" s="70"/>
      <c r="K223" s="71" t="s">
        <v>32</v>
      </c>
      <c r="L223" s="71" t="s">
        <v>33</v>
      </c>
      <c r="M223" s="71" t="s">
        <v>1314</v>
      </c>
      <c r="N223" s="71" t="str">
        <f t="shared" si="46"/>
        <v>-4A15</v>
      </c>
      <c r="O223" s="63">
        <v>11</v>
      </c>
      <c r="P223" s="72" t="str">
        <f t="shared" si="47"/>
        <v>Q35.2</v>
      </c>
      <c r="Q223" s="71" t="str">
        <f t="shared" si="51"/>
        <v>2104_20_JZ¶Cut off door¶</v>
      </c>
    </row>
    <row r="224" spans="2:17" ht="14.25">
      <c r="B224" s="65">
        <v>28</v>
      </c>
      <c r="C224" s="65" t="s">
        <v>1335</v>
      </c>
      <c r="D224" s="65"/>
      <c r="E224" s="85" t="s">
        <v>1336</v>
      </c>
      <c r="F224" s="77" t="s">
        <v>1080</v>
      </c>
      <c r="G224" s="67" t="s">
        <v>303</v>
      </c>
      <c r="H224" s="67" t="s">
        <v>1019</v>
      </c>
      <c r="I224" s="67" t="s">
        <v>1208</v>
      </c>
      <c r="J224" s="70"/>
      <c r="K224" s="71" t="s">
        <v>32</v>
      </c>
      <c r="L224" s="71" t="s">
        <v>33</v>
      </c>
      <c r="M224" s="71" t="s">
        <v>1314</v>
      </c>
      <c r="N224" s="71" t="str">
        <f t="shared" si="46"/>
        <v>-4A15</v>
      </c>
      <c r="O224" s="63">
        <v>12</v>
      </c>
      <c r="P224" s="72" t="str">
        <f t="shared" si="47"/>
        <v>Q35.3</v>
      </c>
      <c r="Q224" s="71" t="str">
        <f t="shared" si="51"/>
        <v>2104_21_JZ¶Cut off door¶</v>
      </c>
    </row>
    <row r="225" spans="2:17" ht="14.25">
      <c r="B225" s="65">
        <v>29</v>
      </c>
      <c r="C225" s="65" t="s">
        <v>1337</v>
      </c>
      <c r="D225" s="65"/>
      <c r="E225" s="85" t="s">
        <v>1338</v>
      </c>
      <c r="F225" s="77" t="s">
        <v>1083</v>
      </c>
      <c r="G225" s="67" t="s">
        <v>303</v>
      </c>
      <c r="H225" s="67" t="s">
        <v>1019</v>
      </c>
      <c r="I225" s="67" t="s">
        <v>1208</v>
      </c>
      <c r="J225" s="70"/>
      <c r="K225" s="71" t="s">
        <v>32</v>
      </c>
      <c r="L225" s="71" t="s">
        <v>33</v>
      </c>
      <c r="M225" s="71" t="s">
        <v>1314</v>
      </c>
      <c r="N225" s="71" t="str">
        <f t="shared" si="46"/>
        <v>-4A15</v>
      </c>
      <c r="O225" s="63">
        <v>13</v>
      </c>
      <c r="P225" s="72" t="str">
        <f t="shared" si="47"/>
        <v>Q35.4</v>
      </c>
      <c r="Q225" s="71" t="str">
        <f t="shared" si="51"/>
        <v>2104_22_JZ¶Cut off door¶</v>
      </c>
    </row>
    <row r="226" spans="2:17" ht="14.25">
      <c r="B226" s="65">
        <v>30</v>
      </c>
      <c r="C226" s="65" t="s">
        <v>1339</v>
      </c>
      <c r="D226" s="65"/>
      <c r="E226" s="85" t="s">
        <v>1340</v>
      </c>
      <c r="F226" s="77" t="s">
        <v>1086</v>
      </c>
      <c r="G226" s="67" t="s">
        <v>303</v>
      </c>
      <c r="H226" s="67" t="s">
        <v>1019</v>
      </c>
      <c r="I226" s="67" t="s">
        <v>1208</v>
      </c>
      <c r="J226" s="70"/>
      <c r="K226" s="71" t="s">
        <v>32</v>
      </c>
      <c r="L226" s="71" t="s">
        <v>33</v>
      </c>
      <c r="M226" s="71" t="s">
        <v>1314</v>
      </c>
      <c r="N226" s="71" t="str">
        <f t="shared" si="46"/>
        <v>-4A15</v>
      </c>
      <c r="O226" s="63">
        <v>14</v>
      </c>
      <c r="P226" s="72" t="str">
        <f t="shared" si="47"/>
        <v>Q35.5</v>
      </c>
      <c r="Q226" s="71" t="str">
        <f t="shared" si="51"/>
        <v>2104_23_JZ¶Cut off door¶</v>
      </c>
    </row>
    <row r="227" spans="2:17" ht="14.25">
      <c r="B227" s="65">
        <v>31</v>
      </c>
      <c r="C227" s="65" t="s">
        <v>1341</v>
      </c>
      <c r="D227" s="65"/>
      <c r="E227" s="85" t="s">
        <v>1342</v>
      </c>
      <c r="F227" s="77" t="s">
        <v>1089</v>
      </c>
      <c r="G227" s="67" t="s">
        <v>303</v>
      </c>
      <c r="H227" s="67" t="s">
        <v>1019</v>
      </c>
      <c r="I227" s="67" t="s">
        <v>1208</v>
      </c>
      <c r="J227" s="70"/>
      <c r="K227" s="71" t="s">
        <v>32</v>
      </c>
      <c r="L227" s="71" t="s">
        <v>33</v>
      </c>
      <c r="M227" s="71" t="s">
        <v>1314</v>
      </c>
      <c r="N227" s="71" t="str">
        <f t="shared" si="46"/>
        <v>-4A15</v>
      </c>
      <c r="O227" s="63">
        <v>15</v>
      </c>
      <c r="P227" s="72" t="str">
        <f t="shared" si="47"/>
        <v>Q35.6</v>
      </c>
      <c r="Q227" s="71" t="str">
        <f t="shared" si="51"/>
        <v>2104_24_JZ¶Cut off door¶</v>
      </c>
    </row>
    <row r="228" spans="2:17" ht="14.25">
      <c r="B228" s="65">
        <v>32</v>
      </c>
      <c r="C228" s="65" t="s">
        <v>1343</v>
      </c>
      <c r="D228" s="65"/>
      <c r="E228" s="85" t="s">
        <v>1344</v>
      </c>
      <c r="F228" s="77" t="s">
        <v>1093</v>
      </c>
      <c r="G228" s="67" t="s">
        <v>303</v>
      </c>
      <c r="H228" s="67" t="s">
        <v>1019</v>
      </c>
      <c r="I228" s="67" t="s">
        <v>1208</v>
      </c>
      <c r="J228" s="70"/>
      <c r="K228" s="71" t="s">
        <v>32</v>
      </c>
      <c r="L228" s="71" t="s">
        <v>33</v>
      </c>
      <c r="M228" s="71" t="s">
        <v>1314</v>
      </c>
      <c r="N228" s="71" t="str">
        <f t="shared" si="46"/>
        <v>-4A15</v>
      </c>
      <c r="O228" s="63">
        <v>16</v>
      </c>
      <c r="P228" s="72" t="str">
        <f t="shared" si="47"/>
        <v>Q35.7</v>
      </c>
      <c r="Q228" s="71" t="str">
        <f t="shared" si="51"/>
        <v>2104_25_JZ¶Cut off door¶</v>
      </c>
    </row>
    <row r="229" spans="2:17" ht="14.25">
      <c r="B229" s="65">
        <v>33</v>
      </c>
      <c r="C229" s="65" t="s">
        <v>1345</v>
      </c>
      <c r="D229" s="65"/>
      <c r="E229" s="85" t="s">
        <v>1346</v>
      </c>
      <c r="F229" s="77" t="s">
        <v>1096</v>
      </c>
      <c r="G229" s="67" t="s">
        <v>303</v>
      </c>
      <c r="H229" s="67" t="s">
        <v>1019</v>
      </c>
      <c r="I229" s="67" t="s">
        <v>1208</v>
      </c>
      <c r="J229" s="70"/>
      <c r="K229" s="71" t="s">
        <v>32</v>
      </c>
      <c r="L229" s="71" t="s">
        <v>33</v>
      </c>
      <c r="M229" s="71" t="s">
        <v>1347</v>
      </c>
      <c r="N229" s="71" t="str">
        <f t="shared" si="46"/>
        <v>-4A16</v>
      </c>
      <c r="O229" s="63">
        <v>1</v>
      </c>
      <c r="P229" s="72" t="str">
        <f t="shared" si="47"/>
        <v>Q36.0</v>
      </c>
      <c r="Q229" s="71" t="str">
        <f t="shared" ref="Q229" si="52">E229&amp;K229&amp;H229&amp;K229&amp;I239</f>
        <v>2104_26_JZ¶Cut off door¶</v>
      </c>
    </row>
    <row r="230" spans="2:17" ht="14.25">
      <c r="B230" s="65">
        <v>34</v>
      </c>
      <c r="C230" s="65" t="s">
        <v>1348</v>
      </c>
      <c r="D230" s="65"/>
      <c r="E230" s="85" t="s">
        <v>1349</v>
      </c>
      <c r="F230" s="77" t="s">
        <v>1099</v>
      </c>
      <c r="G230" s="67" t="s">
        <v>303</v>
      </c>
      <c r="H230" s="67" t="s">
        <v>1019</v>
      </c>
      <c r="I230" s="67" t="s">
        <v>1208</v>
      </c>
      <c r="J230" s="70"/>
      <c r="K230" s="71" t="s">
        <v>32</v>
      </c>
      <c r="L230" s="71" t="s">
        <v>33</v>
      </c>
      <c r="M230" s="71" t="s">
        <v>1347</v>
      </c>
      <c r="N230" s="71" t="str">
        <f t="shared" ref="N230:N261" si="53">L230&amp;M230</f>
        <v>-4A16</v>
      </c>
      <c r="O230" s="63">
        <v>2</v>
      </c>
      <c r="P230" s="72" t="str">
        <f t="shared" ref="P230:P260" si="54">C230</f>
        <v>Q36.1</v>
      </c>
      <c r="Q230" s="71" t="e">
        <f>E230&amp;K230&amp;H230&amp;K230&amp;#REF!</f>
        <v>#REF!</v>
      </c>
    </row>
    <row r="231" spans="2:17" ht="14.25">
      <c r="B231" s="65">
        <v>35</v>
      </c>
      <c r="C231" s="65" t="s">
        <v>1350</v>
      </c>
      <c r="D231" s="65"/>
      <c r="E231" s="85" t="s">
        <v>1351</v>
      </c>
      <c r="F231" s="77" t="s">
        <v>1102</v>
      </c>
      <c r="G231" s="67" t="s">
        <v>303</v>
      </c>
      <c r="H231" s="67" t="s">
        <v>1019</v>
      </c>
      <c r="I231" s="67" t="s">
        <v>1208</v>
      </c>
      <c r="J231" s="70"/>
      <c r="K231" s="71" t="s">
        <v>32</v>
      </c>
      <c r="L231" s="71" t="s">
        <v>33</v>
      </c>
      <c r="M231" s="71" t="s">
        <v>1347</v>
      </c>
      <c r="N231" s="71" t="str">
        <f t="shared" si="53"/>
        <v>-4A16</v>
      </c>
      <c r="O231" s="63">
        <v>3</v>
      </c>
      <c r="P231" s="72" t="str">
        <f t="shared" si="54"/>
        <v>Q36.2</v>
      </c>
      <c r="Q231" s="71" t="str">
        <f>E231&amp;K231&amp;H231&amp;K231&amp;I240</f>
        <v>2104_28_JZ¶Cut off door¶</v>
      </c>
    </row>
    <row r="232" spans="2:17" ht="14.25">
      <c r="B232" s="65">
        <v>36</v>
      </c>
      <c r="C232" s="65" t="s">
        <v>1352</v>
      </c>
      <c r="D232" s="65"/>
      <c r="E232" s="85" t="s">
        <v>1353</v>
      </c>
      <c r="F232" s="77" t="s">
        <v>1105</v>
      </c>
      <c r="G232" s="67" t="s">
        <v>303</v>
      </c>
      <c r="H232" s="67" t="s">
        <v>1019</v>
      </c>
      <c r="I232" s="67" t="s">
        <v>1208</v>
      </c>
      <c r="J232" s="70"/>
      <c r="K232" s="71" t="s">
        <v>32</v>
      </c>
      <c r="L232" s="71" t="s">
        <v>33</v>
      </c>
      <c r="M232" s="71" t="s">
        <v>1347</v>
      </c>
      <c r="N232" s="71" t="str">
        <f t="shared" si="53"/>
        <v>-4A16</v>
      </c>
      <c r="O232" s="63">
        <v>4</v>
      </c>
      <c r="P232" s="72" t="str">
        <f t="shared" si="54"/>
        <v>Q36.3</v>
      </c>
      <c r="Q232" s="71" t="str">
        <f t="shared" ref="Q232" si="55">E232&amp;K232&amp;H232&amp;K232&amp;I242</f>
        <v>2104_29_JZ¶Cut off door¶</v>
      </c>
    </row>
    <row r="233" spans="2:17" ht="13.5">
      <c r="B233" s="65">
        <v>37</v>
      </c>
      <c r="C233" s="65" t="s">
        <v>1354</v>
      </c>
      <c r="D233" s="65"/>
      <c r="E233" s="89"/>
      <c r="F233" s="90" t="s">
        <v>1355</v>
      </c>
      <c r="G233" s="65"/>
      <c r="H233" s="70" t="s">
        <v>1356</v>
      </c>
      <c r="I233" s="65" t="s">
        <v>1357</v>
      </c>
      <c r="J233" s="70"/>
      <c r="K233" s="71" t="s">
        <v>32</v>
      </c>
      <c r="L233" s="71" t="s">
        <v>33</v>
      </c>
      <c r="M233" s="71" t="s">
        <v>1347</v>
      </c>
      <c r="N233" s="71" t="str">
        <f t="shared" si="53"/>
        <v>-4A16</v>
      </c>
      <c r="O233" s="63">
        <v>5</v>
      </c>
      <c r="P233" s="72" t="str">
        <f t="shared" si="54"/>
        <v>Q36.4</v>
      </c>
      <c r="Q233" s="71" t="str">
        <f t="shared" ref="Q233:Q238" si="56">E233&amp;K233&amp;H233&amp;K233&amp;I243</f>
        <v>¶Belt alignment ¶</v>
      </c>
    </row>
    <row r="234" spans="2:17" ht="13.5">
      <c r="B234" s="65">
        <v>38</v>
      </c>
      <c r="C234" s="65" t="s">
        <v>1358</v>
      </c>
      <c r="D234" s="65"/>
      <c r="E234" s="89"/>
      <c r="F234" s="89" t="s">
        <v>1359</v>
      </c>
      <c r="G234" s="70"/>
      <c r="H234" s="70" t="s">
        <v>1360</v>
      </c>
      <c r="I234" s="70"/>
      <c r="J234" s="70"/>
      <c r="K234" s="71" t="s">
        <v>32</v>
      </c>
      <c r="L234" s="71" t="s">
        <v>33</v>
      </c>
      <c r="M234" s="71" t="s">
        <v>1347</v>
      </c>
      <c r="N234" s="71" t="str">
        <f t="shared" si="53"/>
        <v>-4A16</v>
      </c>
      <c r="O234" s="63">
        <v>6</v>
      </c>
      <c r="P234" s="72" t="str">
        <f t="shared" si="54"/>
        <v>Q36.5</v>
      </c>
      <c r="Q234" s="71" t="str">
        <f t="shared" si="56"/>
        <v>¶System Alarm¶</v>
      </c>
    </row>
    <row r="235" spans="2:17" ht="13.5">
      <c r="B235" s="65">
        <v>39</v>
      </c>
      <c r="C235" s="65" t="s">
        <v>1361</v>
      </c>
      <c r="D235" s="65"/>
      <c r="E235" s="89" t="s">
        <v>1122</v>
      </c>
      <c r="F235" s="89" t="s">
        <v>1123</v>
      </c>
      <c r="G235" s="70"/>
      <c r="H235" s="70" t="s">
        <v>1362</v>
      </c>
      <c r="I235" s="70"/>
      <c r="J235" s="70"/>
      <c r="K235" s="71" t="s">
        <v>32</v>
      </c>
      <c r="L235" s="71" t="s">
        <v>33</v>
      </c>
      <c r="M235" s="71" t="s">
        <v>1347</v>
      </c>
      <c r="N235" s="71" t="str">
        <f t="shared" si="53"/>
        <v>-4A16</v>
      </c>
      <c r="O235" s="63">
        <v>7</v>
      </c>
      <c r="P235" s="72" t="str">
        <f t="shared" si="54"/>
        <v>Q36.6</v>
      </c>
      <c r="Q235" s="71" t="str">
        <f t="shared" si="56"/>
        <v>YDPB1¶Notification add¶</v>
      </c>
    </row>
    <row r="236" spans="2:17" ht="13.5">
      <c r="B236" s="65">
        <v>40</v>
      </c>
      <c r="C236" s="65" t="s">
        <v>1363</v>
      </c>
      <c r="D236" s="65"/>
      <c r="E236" s="89" t="s">
        <v>1130</v>
      </c>
      <c r="F236" s="89" t="s">
        <v>1174</v>
      </c>
      <c r="G236" s="70"/>
      <c r="H236" s="70" t="s">
        <v>1362</v>
      </c>
      <c r="I236" s="70"/>
      <c r="J236" s="70"/>
      <c r="K236" s="71" t="s">
        <v>32</v>
      </c>
      <c r="L236" s="71" t="s">
        <v>33</v>
      </c>
      <c r="M236" s="71" t="s">
        <v>1347</v>
      </c>
      <c r="N236" s="71" t="str">
        <f t="shared" si="53"/>
        <v>-4A16</v>
      </c>
      <c r="O236" s="63">
        <v>8</v>
      </c>
      <c r="P236" s="72" t="str">
        <f t="shared" si="54"/>
        <v>Q36.7</v>
      </c>
      <c r="Q236" s="71" t="str">
        <f t="shared" si="56"/>
        <v>YMIB1¶Notification add¶</v>
      </c>
    </row>
    <row r="237" spans="2:17" ht="13.5">
      <c r="B237" s="65">
        <v>41</v>
      </c>
      <c r="C237" s="65" t="s">
        <v>1364</v>
      </c>
      <c r="D237" s="65"/>
      <c r="E237" s="89" t="s">
        <v>1133</v>
      </c>
      <c r="F237" s="89" t="s">
        <v>1365</v>
      </c>
      <c r="G237" s="70"/>
      <c r="H237" s="70" t="s">
        <v>1362</v>
      </c>
      <c r="I237" s="70"/>
      <c r="J237" s="70"/>
      <c r="K237" s="71" t="s">
        <v>32</v>
      </c>
      <c r="L237" s="71" t="s">
        <v>33</v>
      </c>
      <c r="M237" s="71" t="s">
        <v>1347</v>
      </c>
      <c r="N237" s="71" t="str">
        <f t="shared" si="53"/>
        <v>-4A16</v>
      </c>
      <c r="O237" s="63">
        <v>9</v>
      </c>
      <c r="P237" s="72" t="str">
        <f t="shared" si="54"/>
        <v>Q37.0</v>
      </c>
      <c r="Q237" s="71" t="str">
        <f t="shared" si="56"/>
        <v>YMIB2¶Notification add¶</v>
      </c>
    </row>
    <row r="238" spans="2:17" ht="13.5">
      <c r="B238" s="65">
        <v>42</v>
      </c>
      <c r="C238" s="65" t="s">
        <v>1366</v>
      </c>
      <c r="D238" s="65"/>
      <c r="E238" s="89" t="s">
        <v>1136</v>
      </c>
      <c r="F238" s="89" t="s">
        <v>1179</v>
      </c>
      <c r="G238" s="70"/>
      <c r="H238" s="70" t="s">
        <v>1362</v>
      </c>
      <c r="I238" s="70"/>
      <c r="J238" s="70"/>
      <c r="K238" s="71" t="s">
        <v>32</v>
      </c>
      <c r="L238" s="71" t="s">
        <v>33</v>
      </c>
      <c r="M238" s="71" t="s">
        <v>1347</v>
      </c>
      <c r="N238" s="71" t="str">
        <f t="shared" si="53"/>
        <v>-4A16</v>
      </c>
      <c r="O238" s="63">
        <v>10</v>
      </c>
      <c r="P238" s="72" t="str">
        <f t="shared" si="54"/>
        <v>Q37.1</v>
      </c>
      <c r="Q238" s="71" t="str">
        <f t="shared" si="56"/>
        <v>YMIB3¶Notification add¶</v>
      </c>
    </row>
    <row r="239" spans="2:17" ht="13.5">
      <c r="B239" s="65">
        <v>43</v>
      </c>
      <c r="C239" s="65" t="s">
        <v>1367</v>
      </c>
      <c r="D239" s="65"/>
      <c r="E239" s="79" t="s">
        <v>1130</v>
      </c>
      <c r="F239" s="79" t="s">
        <v>1174</v>
      </c>
      <c r="G239" s="87" t="s">
        <v>1368</v>
      </c>
      <c r="H239" s="87" t="s">
        <v>1368</v>
      </c>
      <c r="I239" s="70"/>
      <c r="J239" s="87">
        <v>20220107</v>
      </c>
      <c r="K239" s="71" t="s">
        <v>32</v>
      </c>
      <c r="L239" s="71" t="s">
        <v>33</v>
      </c>
      <c r="M239" s="71" t="s">
        <v>1347</v>
      </c>
      <c r="N239" s="71" t="str">
        <f t="shared" si="53"/>
        <v>-4A16</v>
      </c>
      <c r="O239" s="63">
        <v>11</v>
      </c>
      <c r="P239" s="72" t="str">
        <f t="shared" si="54"/>
        <v>Q37.2</v>
      </c>
      <c r="Q239" s="71" t="str">
        <f t="shared" ref="Q239" si="57">E239&amp;K239&amp;H239&amp;K239&amp;I239</f>
        <v>YMIB1¶锁开门¶</v>
      </c>
    </row>
    <row r="240" spans="2:17" ht="13.5">
      <c r="B240" s="65">
        <v>44</v>
      </c>
      <c r="C240" s="65" t="s">
        <v>1369</v>
      </c>
      <c r="D240" s="65"/>
      <c r="E240" s="91" t="s">
        <v>1136</v>
      </c>
      <c r="F240" s="91" t="s">
        <v>1179</v>
      </c>
      <c r="G240" s="92" t="s">
        <v>1368</v>
      </c>
      <c r="H240" s="92" t="s">
        <v>1368</v>
      </c>
      <c r="I240" s="95"/>
      <c r="J240" s="92">
        <v>20220107</v>
      </c>
      <c r="K240" s="71" t="s">
        <v>32</v>
      </c>
      <c r="L240" s="71" t="s">
        <v>33</v>
      </c>
      <c r="M240" s="71" t="s">
        <v>1347</v>
      </c>
      <c r="N240" s="71" t="str">
        <f t="shared" si="53"/>
        <v>-4A16</v>
      </c>
      <c r="O240" s="63">
        <v>12</v>
      </c>
      <c r="P240" s="72" t="str">
        <f t="shared" si="54"/>
        <v>Q37.3</v>
      </c>
      <c r="Q240" s="71" t="e">
        <f>#REF!&amp;K240&amp;#REF!&amp;K240&amp;#REF!</f>
        <v>#REF!</v>
      </c>
    </row>
    <row r="241" spans="2:17">
      <c r="B241" s="65">
        <v>45</v>
      </c>
      <c r="C241" s="176" t="s">
        <v>1370</v>
      </c>
      <c r="D241" s="178"/>
      <c r="E241" s="179" t="s">
        <v>1520</v>
      </c>
      <c r="F241" s="179">
        <v>1007</v>
      </c>
      <c r="G241" s="179"/>
      <c r="H241" s="179"/>
      <c r="I241" s="179"/>
      <c r="J241" s="81"/>
      <c r="K241" s="71" t="s">
        <v>32</v>
      </c>
      <c r="L241" s="71" t="s">
        <v>33</v>
      </c>
      <c r="M241" s="71" t="s">
        <v>1347</v>
      </c>
      <c r="N241" s="71" t="str">
        <f t="shared" si="53"/>
        <v>-4A16</v>
      </c>
      <c r="O241" s="63">
        <v>13</v>
      </c>
      <c r="P241" s="72" t="str">
        <f t="shared" si="54"/>
        <v>Q37.4</v>
      </c>
      <c r="Q241" s="71" t="str">
        <f>E240&amp;K241&amp;H240&amp;K241&amp;I240</f>
        <v>YMIB3¶锁开门¶</v>
      </c>
    </row>
    <row r="242" spans="2:17">
      <c r="B242" s="65">
        <v>46</v>
      </c>
      <c r="C242" s="176" t="s">
        <v>1371</v>
      </c>
      <c r="D242" s="178"/>
      <c r="E242" s="179" t="s">
        <v>1520</v>
      </c>
      <c r="F242" s="180">
        <v>1007</v>
      </c>
      <c r="G242" s="180"/>
      <c r="H242" s="180"/>
      <c r="I242" s="181"/>
      <c r="J242" s="87"/>
      <c r="K242" s="71" t="s">
        <v>32</v>
      </c>
      <c r="L242" s="71" t="s">
        <v>33</v>
      </c>
      <c r="M242" s="71" t="s">
        <v>1347</v>
      </c>
      <c r="N242" s="71" t="str">
        <f t="shared" si="53"/>
        <v>-4A16</v>
      </c>
      <c r="O242" s="63">
        <v>14</v>
      </c>
      <c r="P242" s="72" t="str">
        <f t="shared" si="54"/>
        <v>Q37.5</v>
      </c>
      <c r="Q242" s="71" t="str">
        <f>E242&amp;K242&amp;H242&amp;K242&amp;I242</f>
        <v>气密封¶¶</v>
      </c>
    </row>
    <row r="243" spans="2:17" ht="13.5">
      <c r="B243" s="65">
        <v>47</v>
      </c>
      <c r="C243" s="176" t="s">
        <v>1372</v>
      </c>
      <c r="D243" s="178"/>
      <c r="E243" s="179" t="s">
        <v>1520</v>
      </c>
      <c r="F243" s="182">
        <v>2020</v>
      </c>
      <c r="G243" s="181"/>
      <c r="H243" s="181"/>
      <c r="I243" s="181"/>
      <c r="J243" s="70"/>
      <c r="K243" s="71" t="s">
        <v>32</v>
      </c>
      <c r="L243" s="71" t="s">
        <v>33</v>
      </c>
      <c r="M243" s="71" t="s">
        <v>1347</v>
      </c>
      <c r="N243" s="71" t="str">
        <f t="shared" si="53"/>
        <v>-4A16</v>
      </c>
      <c r="O243" s="63">
        <v>15</v>
      </c>
      <c r="P243" s="72" t="str">
        <f t="shared" si="54"/>
        <v>Q37.6</v>
      </c>
      <c r="Q243" s="71" t="str">
        <f>E243&amp;K243&amp;H243&amp;K243&amp;I243</f>
        <v>气密封¶¶</v>
      </c>
    </row>
    <row r="244" spans="2:17" ht="13.5">
      <c r="B244" s="65">
        <v>48</v>
      </c>
      <c r="C244" s="176" t="s">
        <v>1373</v>
      </c>
      <c r="D244" s="178"/>
      <c r="E244" s="179" t="s">
        <v>1520</v>
      </c>
      <c r="F244" s="182">
        <v>2020</v>
      </c>
      <c r="G244" s="182"/>
      <c r="H244" s="182"/>
      <c r="I244" s="181"/>
      <c r="J244" s="70"/>
      <c r="K244" s="71" t="s">
        <v>32</v>
      </c>
      <c r="L244" s="71" t="s">
        <v>33</v>
      </c>
      <c r="M244" s="71" t="s">
        <v>1347</v>
      </c>
      <c r="N244" s="71" t="str">
        <f t="shared" si="53"/>
        <v>-4A16</v>
      </c>
      <c r="O244" s="63">
        <v>16</v>
      </c>
      <c r="P244" s="72" t="str">
        <f t="shared" si="54"/>
        <v>Q37.7</v>
      </c>
      <c r="Q244" s="71" t="e">
        <f>E244&amp;K244&amp;#REF!&amp;K244&amp;I244</f>
        <v>#REF!</v>
      </c>
    </row>
    <row r="245" spans="2:17" ht="14.25">
      <c r="B245" s="65">
        <v>49</v>
      </c>
      <c r="C245" s="65" t="s">
        <v>1374</v>
      </c>
      <c r="D245" s="65"/>
      <c r="E245" s="93"/>
      <c r="F245" s="94"/>
      <c r="G245" s="94"/>
      <c r="H245" s="62"/>
      <c r="I245" s="96"/>
      <c r="J245" s="97"/>
      <c r="K245" s="71" t="s">
        <v>32</v>
      </c>
      <c r="L245" s="71" t="s">
        <v>33</v>
      </c>
      <c r="M245" s="71" t="s">
        <v>1375</v>
      </c>
      <c r="N245" s="71" t="str">
        <f t="shared" si="53"/>
        <v>-4A17</v>
      </c>
      <c r="O245" s="63">
        <v>1</v>
      </c>
      <c r="P245" s="72" t="str">
        <f t="shared" si="54"/>
        <v>Q38.0</v>
      </c>
      <c r="Q245" s="71" t="str">
        <f>E245&amp;K245&amp;H244&amp;K245&amp;I245</f>
        <v>¶¶</v>
      </c>
    </row>
    <row r="246" spans="2:17" ht="14.25">
      <c r="B246" s="65">
        <v>50</v>
      </c>
      <c r="C246" s="65" t="s">
        <v>1376</v>
      </c>
      <c r="D246" s="65"/>
      <c r="E246" s="85"/>
      <c r="F246" s="89"/>
      <c r="G246" s="89"/>
      <c r="H246" s="89"/>
      <c r="I246" s="67"/>
      <c r="J246" s="70"/>
      <c r="K246" s="71" t="s">
        <v>32</v>
      </c>
      <c r="L246" s="71" t="s">
        <v>33</v>
      </c>
      <c r="M246" s="71" t="s">
        <v>1375</v>
      </c>
      <c r="N246" s="71" t="str">
        <f t="shared" si="53"/>
        <v>-4A17</v>
      </c>
      <c r="O246" s="63">
        <v>2</v>
      </c>
      <c r="P246" s="72" t="str">
        <f t="shared" si="54"/>
        <v>Q38.1</v>
      </c>
      <c r="Q246" s="71" t="str">
        <f t="shared" ref="Q246" si="58">E246&amp;K246&amp;H246&amp;K246&amp;I246</f>
        <v>¶¶</v>
      </c>
    </row>
    <row r="247" spans="2:17" ht="14.25">
      <c r="B247" s="65">
        <v>51</v>
      </c>
      <c r="C247" s="65" t="s">
        <v>1377</v>
      </c>
      <c r="D247" s="65"/>
      <c r="E247" s="85"/>
      <c r="F247" s="89"/>
      <c r="G247" s="89"/>
      <c r="H247" s="89"/>
      <c r="I247" s="67"/>
      <c r="J247" s="70"/>
      <c r="K247" s="71" t="s">
        <v>32</v>
      </c>
      <c r="L247" s="71" t="s">
        <v>33</v>
      </c>
      <c r="M247" s="71" t="s">
        <v>1375</v>
      </c>
      <c r="N247" s="71" t="str">
        <f t="shared" si="53"/>
        <v>-4A17</v>
      </c>
      <c r="O247" s="63">
        <v>3</v>
      </c>
      <c r="P247" s="72" t="str">
        <f t="shared" si="54"/>
        <v>Q38.2</v>
      </c>
      <c r="Q247" s="71" t="str">
        <f t="shared" ref="Q247:Q260" si="59">E247&amp;K247&amp;H247&amp;K247&amp;I247</f>
        <v>¶¶</v>
      </c>
    </row>
    <row r="248" spans="2:17" ht="14.25">
      <c r="B248" s="65">
        <v>52</v>
      </c>
      <c r="C248" s="65" t="s">
        <v>1378</v>
      </c>
      <c r="D248" s="65"/>
      <c r="E248" s="85"/>
      <c r="F248" s="89"/>
      <c r="G248" s="89"/>
      <c r="H248" s="89"/>
      <c r="I248" s="67"/>
      <c r="J248" s="70"/>
      <c r="K248" s="71" t="s">
        <v>32</v>
      </c>
      <c r="L248" s="71" t="s">
        <v>33</v>
      </c>
      <c r="M248" s="71" t="s">
        <v>1375</v>
      </c>
      <c r="N248" s="71" t="str">
        <f t="shared" si="53"/>
        <v>-4A17</v>
      </c>
      <c r="O248" s="63">
        <v>4</v>
      </c>
      <c r="P248" s="72" t="str">
        <f t="shared" si="54"/>
        <v>Q38.3</v>
      </c>
      <c r="Q248" s="71" t="str">
        <f t="shared" si="59"/>
        <v>¶¶</v>
      </c>
    </row>
    <row r="249" spans="2:17" ht="14.25">
      <c r="B249" s="65">
        <v>53</v>
      </c>
      <c r="C249" s="65" t="s">
        <v>1379</v>
      </c>
      <c r="D249" s="65"/>
      <c r="E249" s="85"/>
      <c r="F249" s="89"/>
      <c r="G249" s="89"/>
      <c r="H249" s="89"/>
      <c r="I249" s="67"/>
      <c r="J249" s="70"/>
      <c r="K249" s="71" t="s">
        <v>32</v>
      </c>
      <c r="L249" s="71" t="s">
        <v>33</v>
      </c>
      <c r="M249" s="71" t="s">
        <v>1375</v>
      </c>
      <c r="N249" s="71" t="str">
        <f t="shared" si="53"/>
        <v>-4A17</v>
      </c>
      <c r="O249" s="63">
        <v>5</v>
      </c>
      <c r="P249" s="72" t="str">
        <f t="shared" si="54"/>
        <v>Q38.4</v>
      </c>
      <c r="Q249" s="71" t="str">
        <f t="shared" si="59"/>
        <v>¶¶</v>
      </c>
    </row>
    <row r="250" spans="2:17" ht="14.25">
      <c r="B250" s="65">
        <v>54</v>
      </c>
      <c r="C250" s="65" t="s">
        <v>1380</v>
      </c>
      <c r="D250" s="65"/>
      <c r="E250" s="85"/>
      <c r="F250" s="89"/>
      <c r="G250" s="89"/>
      <c r="H250" s="89"/>
      <c r="I250" s="67"/>
      <c r="J250" s="70"/>
      <c r="K250" s="71" t="s">
        <v>32</v>
      </c>
      <c r="L250" s="71" t="s">
        <v>33</v>
      </c>
      <c r="M250" s="71" t="s">
        <v>1375</v>
      </c>
      <c r="N250" s="71" t="str">
        <f t="shared" si="53"/>
        <v>-4A17</v>
      </c>
      <c r="O250" s="63">
        <v>6</v>
      </c>
      <c r="P250" s="72" t="str">
        <f t="shared" si="54"/>
        <v>Q38.5</v>
      </c>
      <c r="Q250" s="71" t="str">
        <f t="shared" si="59"/>
        <v>¶¶</v>
      </c>
    </row>
    <row r="251" spans="2:17" ht="14.25">
      <c r="B251" s="65">
        <v>55</v>
      </c>
      <c r="C251" s="65" t="s">
        <v>1381</v>
      </c>
      <c r="D251" s="65"/>
      <c r="E251" s="85"/>
      <c r="F251" s="89"/>
      <c r="G251" s="89"/>
      <c r="H251" s="89"/>
      <c r="I251" s="67"/>
      <c r="J251" s="70"/>
      <c r="K251" s="71" t="s">
        <v>32</v>
      </c>
      <c r="L251" s="71" t="s">
        <v>33</v>
      </c>
      <c r="M251" s="71" t="s">
        <v>1375</v>
      </c>
      <c r="N251" s="71" t="str">
        <f t="shared" si="53"/>
        <v>-4A17</v>
      </c>
      <c r="O251" s="63">
        <v>7</v>
      </c>
      <c r="P251" s="72" t="str">
        <f t="shared" si="54"/>
        <v>Q38.6</v>
      </c>
      <c r="Q251" s="71" t="str">
        <f t="shared" si="59"/>
        <v>¶¶</v>
      </c>
    </row>
    <row r="252" spans="2:17" ht="14.25">
      <c r="B252" s="65">
        <v>56</v>
      </c>
      <c r="C252" s="65" t="s">
        <v>1382</v>
      </c>
      <c r="D252" s="65"/>
      <c r="E252" s="85"/>
      <c r="F252" s="89"/>
      <c r="G252" s="89"/>
      <c r="H252" s="89"/>
      <c r="I252" s="67"/>
      <c r="J252" s="70"/>
      <c r="K252" s="71" t="s">
        <v>32</v>
      </c>
      <c r="L252" s="71" t="s">
        <v>33</v>
      </c>
      <c r="M252" s="71" t="s">
        <v>1375</v>
      </c>
      <c r="N252" s="71" t="str">
        <f t="shared" si="53"/>
        <v>-4A17</v>
      </c>
      <c r="O252" s="63">
        <v>8</v>
      </c>
      <c r="P252" s="72" t="str">
        <f t="shared" si="54"/>
        <v>Q38.7</v>
      </c>
      <c r="Q252" s="71" t="str">
        <f t="shared" si="59"/>
        <v>¶¶</v>
      </c>
    </row>
    <row r="253" spans="2:17" ht="14.25">
      <c r="B253" s="65">
        <v>57</v>
      </c>
      <c r="C253" s="65" t="s">
        <v>1383</v>
      </c>
      <c r="D253" s="65"/>
      <c r="E253" s="85"/>
      <c r="F253" s="89"/>
      <c r="G253" s="89"/>
      <c r="H253" s="89"/>
      <c r="I253" s="67"/>
      <c r="J253" s="70"/>
      <c r="K253" s="71" t="s">
        <v>32</v>
      </c>
      <c r="L253" s="71" t="s">
        <v>33</v>
      </c>
      <c r="M253" s="71" t="s">
        <v>1375</v>
      </c>
      <c r="N253" s="71" t="str">
        <f t="shared" si="53"/>
        <v>-4A17</v>
      </c>
      <c r="O253" s="63">
        <v>9</v>
      </c>
      <c r="P253" s="72" t="str">
        <f t="shared" si="54"/>
        <v>Q39.0</v>
      </c>
      <c r="Q253" s="71" t="str">
        <f t="shared" si="59"/>
        <v>¶¶</v>
      </c>
    </row>
    <row r="254" spans="2:17" ht="14.25">
      <c r="B254" s="65">
        <v>58</v>
      </c>
      <c r="C254" s="65" t="s">
        <v>1384</v>
      </c>
      <c r="D254" s="65"/>
      <c r="E254" s="85"/>
      <c r="F254" s="89"/>
      <c r="G254" s="89"/>
      <c r="H254" s="89"/>
      <c r="I254" s="67"/>
      <c r="J254" s="70"/>
      <c r="K254" s="71" t="s">
        <v>32</v>
      </c>
      <c r="L254" s="71" t="s">
        <v>33</v>
      </c>
      <c r="M254" s="71" t="s">
        <v>1375</v>
      </c>
      <c r="N254" s="71" t="str">
        <f t="shared" si="53"/>
        <v>-4A17</v>
      </c>
      <c r="O254" s="63">
        <v>10</v>
      </c>
      <c r="P254" s="72" t="str">
        <f t="shared" si="54"/>
        <v>Q39.1</v>
      </c>
      <c r="Q254" s="71" t="str">
        <f t="shared" si="59"/>
        <v>¶¶</v>
      </c>
    </row>
    <row r="255" spans="2:17" ht="14.25">
      <c r="B255" s="65">
        <v>59</v>
      </c>
      <c r="C255" s="65" t="s">
        <v>1385</v>
      </c>
      <c r="D255" s="65"/>
      <c r="E255" s="85"/>
      <c r="F255" s="89"/>
      <c r="G255" s="89"/>
      <c r="H255" s="89"/>
      <c r="I255" s="67"/>
      <c r="J255" s="70"/>
      <c r="K255" s="71" t="s">
        <v>32</v>
      </c>
      <c r="L255" s="71" t="s">
        <v>33</v>
      </c>
      <c r="M255" s="71" t="s">
        <v>1375</v>
      </c>
      <c r="N255" s="71" t="str">
        <f t="shared" si="53"/>
        <v>-4A17</v>
      </c>
      <c r="O255" s="63">
        <v>11</v>
      </c>
      <c r="P255" s="72" t="str">
        <f t="shared" si="54"/>
        <v>Q39.2</v>
      </c>
      <c r="Q255" s="71" t="str">
        <f t="shared" si="59"/>
        <v>¶¶</v>
      </c>
    </row>
    <row r="256" spans="2:17" ht="14.25">
      <c r="B256" s="65">
        <v>60</v>
      </c>
      <c r="C256" s="65" t="s">
        <v>1386</v>
      </c>
      <c r="D256" s="65"/>
      <c r="E256" s="85"/>
      <c r="F256" s="89"/>
      <c r="G256" s="89"/>
      <c r="H256" s="89"/>
      <c r="I256" s="67"/>
      <c r="J256" s="70"/>
      <c r="K256" s="71" t="s">
        <v>32</v>
      </c>
      <c r="L256" s="71" t="s">
        <v>33</v>
      </c>
      <c r="M256" s="71" t="s">
        <v>1375</v>
      </c>
      <c r="N256" s="71" t="str">
        <f t="shared" si="53"/>
        <v>-4A17</v>
      </c>
      <c r="O256" s="63">
        <v>12</v>
      </c>
      <c r="P256" s="72" t="str">
        <f t="shared" si="54"/>
        <v>Q39.3</v>
      </c>
      <c r="Q256" s="71" t="str">
        <f t="shared" si="59"/>
        <v>¶¶</v>
      </c>
    </row>
    <row r="257" spans="2:17" ht="14.25">
      <c r="B257" s="65">
        <v>61</v>
      </c>
      <c r="C257" s="65" t="s">
        <v>1387</v>
      </c>
      <c r="D257" s="65"/>
      <c r="E257" s="85"/>
      <c r="F257" s="89"/>
      <c r="G257" s="89"/>
      <c r="H257" s="89"/>
      <c r="I257" s="67"/>
      <c r="J257" s="70"/>
      <c r="K257" s="71" t="s">
        <v>32</v>
      </c>
      <c r="L257" s="71" t="s">
        <v>33</v>
      </c>
      <c r="M257" s="71" t="s">
        <v>1375</v>
      </c>
      <c r="N257" s="71" t="str">
        <f t="shared" si="53"/>
        <v>-4A17</v>
      </c>
      <c r="O257" s="63">
        <v>13</v>
      </c>
      <c r="P257" s="72" t="str">
        <f t="shared" si="54"/>
        <v>Q39.4</v>
      </c>
      <c r="Q257" s="71" t="str">
        <f t="shared" si="59"/>
        <v>¶¶</v>
      </c>
    </row>
    <row r="258" spans="2:17" ht="14.25">
      <c r="B258" s="65">
        <v>62</v>
      </c>
      <c r="C258" s="65" t="s">
        <v>1388</v>
      </c>
      <c r="D258" s="65"/>
      <c r="E258" s="85"/>
      <c r="F258" s="89"/>
      <c r="G258" s="89"/>
      <c r="H258" s="89"/>
      <c r="I258" s="67"/>
      <c r="J258" s="70"/>
      <c r="K258" s="71" t="s">
        <v>32</v>
      </c>
      <c r="L258" s="71" t="s">
        <v>33</v>
      </c>
      <c r="M258" s="71" t="s">
        <v>1375</v>
      </c>
      <c r="N258" s="71" t="str">
        <f t="shared" si="53"/>
        <v>-4A17</v>
      </c>
      <c r="O258" s="63">
        <v>14</v>
      </c>
      <c r="P258" s="72" t="str">
        <f t="shared" si="54"/>
        <v>Q39.5</v>
      </c>
      <c r="Q258" s="71" t="str">
        <f t="shared" si="59"/>
        <v>¶¶</v>
      </c>
    </row>
    <row r="259" spans="2:17" ht="14.25">
      <c r="B259" s="65">
        <v>63</v>
      </c>
      <c r="C259" s="65" t="s">
        <v>1389</v>
      </c>
      <c r="D259" s="65"/>
      <c r="E259" s="85"/>
      <c r="F259" s="89"/>
      <c r="G259" s="89"/>
      <c r="H259" s="89"/>
      <c r="I259" s="67"/>
      <c r="J259" s="70"/>
      <c r="K259" s="71" t="s">
        <v>32</v>
      </c>
      <c r="L259" s="71" t="s">
        <v>33</v>
      </c>
      <c r="M259" s="71" t="s">
        <v>1375</v>
      </c>
      <c r="N259" s="71" t="str">
        <f t="shared" si="53"/>
        <v>-4A17</v>
      </c>
      <c r="O259" s="63">
        <v>15</v>
      </c>
      <c r="P259" s="72" t="str">
        <f t="shared" si="54"/>
        <v>Q39.6</v>
      </c>
      <c r="Q259" s="71" t="str">
        <f t="shared" si="59"/>
        <v>¶¶</v>
      </c>
    </row>
    <row r="260" spans="2:17" ht="14.25">
      <c r="B260" s="65">
        <v>64</v>
      </c>
      <c r="C260" s="65" t="s">
        <v>1390</v>
      </c>
      <c r="D260" s="65"/>
      <c r="E260" s="85"/>
      <c r="F260" s="89"/>
      <c r="G260" s="89"/>
      <c r="H260" s="89"/>
      <c r="I260" s="67"/>
      <c r="J260" s="70"/>
      <c r="K260" s="71" t="s">
        <v>32</v>
      </c>
      <c r="L260" s="71" t="s">
        <v>33</v>
      </c>
      <c r="M260" s="71" t="s">
        <v>1375</v>
      </c>
      <c r="N260" s="71" t="str">
        <f t="shared" si="53"/>
        <v>-4A17</v>
      </c>
      <c r="O260" s="63">
        <v>16</v>
      </c>
      <c r="P260" s="72" t="str">
        <f t="shared" si="54"/>
        <v>Q39.7</v>
      </c>
      <c r="Q260" s="71" t="str">
        <f t="shared" si="59"/>
        <v>¶¶</v>
      </c>
    </row>
  </sheetData>
  <phoneticPr fontId="6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AC58"/>
  <sheetViews>
    <sheetView topLeftCell="A37" workbookViewId="0">
      <selection activeCell="G46" sqref="G46:G57"/>
    </sheetView>
  </sheetViews>
  <sheetFormatPr defaultColWidth="9" defaultRowHeight="13.5"/>
  <cols>
    <col min="1" max="1" width="12.875" customWidth="1"/>
  </cols>
  <sheetData>
    <row r="2" spans="1:29">
      <c r="A2" s="162" t="s">
        <v>1391</v>
      </c>
      <c r="C2" s="41" t="s">
        <v>1392</v>
      </c>
      <c r="D2" s="41"/>
    </row>
    <row r="3" spans="1:29" s="39" customFormat="1">
      <c r="A3" s="162"/>
      <c r="C3" s="42">
        <v>1511</v>
      </c>
      <c r="D3" s="42"/>
    </row>
    <row r="4" spans="1:29" s="39" customFormat="1">
      <c r="C4" s="43"/>
      <c r="D4" s="43"/>
    </row>
    <row r="6" spans="1:29" s="40" customFormat="1" ht="14.25">
      <c r="B6" s="44"/>
      <c r="C6" s="45" t="s">
        <v>1393</v>
      </c>
      <c r="D6" s="46" t="s">
        <v>34</v>
      </c>
      <c r="E6" s="46" t="s">
        <v>67</v>
      </c>
      <c r="F6" s="46" t="s">
        <v>96</v>
      </c>
      <c r="G6" s="46" t="s">
        <v>116</v>
      </c>
      <c r="H6" s="46" t="s">
        <v>187</v>
      </c>
      <c r="I6" s="46" t="s">
        <v>242</v>
      </c>
      <c r="J6" s="46" t="s">
        <v>272</v>
      </c>
      <c r="K6" s="46" t="s">
        <v>291</v>
      </c>
      <c r="L6" s="46" t="s">
        <v>314</v>
      </c>
      <c r="M6" s="46" t="s">
        <v>332</v>
      </c>
      <c r="N6" s="46" t="s">
        <v>361</v>
      </c>
      <c r="O6" s="46" t="s">
        <v>397</v>
      </c>
      <c r="P6" s="46" t="s">
        <v>427</v>
      </c>
      <c r="Q6" s="46" t="s">
        <v>264</v>
      </c>
      <c r="R6" s="56"/>
      <c r="S6" s="57"/>
      <c r="T6" s="57"/>
      <c r="U6" s="57"/>
      <c r="V6" s="57"/>
      <c r="W6" s="57"/>
      <c r="X6" s="57"/>
      <c r="Y6" s="57"/>
    </row>
    <row r="7" spans="1:29" s="40" customFormat="1">
      <c r="B7" s="44"/>
      <c r="C7" s="47" t="s">
        <v>1394</v>
      </c>
      <c r="D7" s="47" t="s">
        <v>1395</v>
      </c>
      <c r="E7" s="47" t="s">
        <v>1396</v>
      </c>
      <c r="F7" s="47" t="s">
        <v>1397</v>
      </c>
      <c r="G7" s="47" t="s">
        <v>1398</v>
      </c>
      <c r="H7" s="47" t="s">
        <v>1399</v>
      </c>
      <c r="I7" s="47" t="s">
        <v>1400</v>
      </c>
      <c r="J7" s="54" t="s">
        <v>1401</v>
      </c>
      <c r="K7" s="54" t="s">
        <v>1402</v>
      </c>
      <c r="L7" s="54" t="s">
        <v>1403</v>
      </c>
      <c r="M7" s="54" t="s">
        <v>1404</v>
      </c>
      <c r="N7" s="54" t="s">
        <v>1405</v>
      </c>
      <c r="O7" s="54" t="s">
        <v>1406</v>
      </c>
      <c r="P7" s="54" t="s">
        <v>1407</v>
      </c>
      <c r="Q7" s="54" t="s">
        <v>1408</v>
      </c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spans="1:29" s="40" customFormat="1" ht="13.5" customHeight="1">
      <c r="B8" s="44"/>
      <c r="C8" s="163" t="s">
        <v>1409</v>
      </c>
      <c r="D8" s="166" t="s">
        <v>1410</v>
      </c>
      <c r="E8" s="169" t="s">
        <v>1411</v>
      </c>
      <c r="F8" s="169" t="s">
        <v>1411</v>
      </c>
      <c r="G8" s="169" t="s">
        <v>1411</v>
      </c>
      <c r="H8" s="169" t="s">
        <v>1411</v>
      </c>
      <c r="I8" s="169" t="s">
        <v>1411</v>
      </c>
      <c r="J8" s="166" t="s">
        <v>1410</v>
      </c>
      <c r="K8" s="169" t="s">
        <v>1411</v>
      </c>
      <c r="L8" s="169" t="s">
        <v>1411</v>
      </c>
      <c r="M8" s="166" t="s">
        <v>1411</v>
      </c>
      <c r="N8" s="169" t="s">
        <v>1411</v>
      </c>
      <c r="O8" s="169" t="s">
        <v>1411</v>
      </c>
      <c r="P8" s="166" t="s">
        <v>1411</v>
      </c>
      <c r="Q8" s="166" t="s">
        <v>1410</v>
      </c>
      <c r="R8" s="172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</row>
    <row r="9" spans="1:29" s="40" customFormat="1">
      <c r="B9" s="44"/>
      <c r="C9" s="164"/>
      <c r="D9" s="167"/>
      <c r="E9" s="170"/>
      <c r="F9" s="170"/>
      <c r="G9" s="170"/>
      <c r="H9" s="170"/>
      <c r="I9" s="170"/>
      <c r="J9" s="167"/>
      <c r="K9" s="170"/>
      <c r="L9" s="170"/>
      <c r="M9" s="167"/>
      <c r="N9" s="170"/>
      <c r="O9" s="170"/>
      <c r="P9" s="167"/>
      <c r="Q9" s="167"/>
      <c r="R9" s="173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</row>
    <row r="10" spans="1:29" s="40" customFormat="1">
      <c r="B10" s="48"/>
      <c r="C10" s="164"/>
      <c r="D10" s="167"/>
      <c r="E10" s="170"/>
      <c r="F10" s="170"/>
      <c r="G10" s="170"/>
      <c r="H10" s="170"/>
      <c r="I10" s="170"/>
      <c r="J10" s="167"/>
      <c r="K10" s="170"/>
      <c r="L10" s="170"/>
      <c r="M10" s="167"/>
      <c r="N10" s="170"/>
      <c r="O10" s="170"/>
      <c r="P10" s="167"/>
      <c r="Q10" s="167"/>
      <c r="R10" s="173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</row>
    <row r="11" spans="1:29" s="40" customFormat="1">
      <c r="B11" s="49"/>
      <c r="C11" s="164"/>
      <c r="D11" s="167"/>
      <c r="E11" s="170"/>
      <c r="F11" s="170"/>
      <c r="G11" s="170"/>
      <c r="H11" s="170"/>
      <c r="I11" s="170"/>
      <c r="J11" s="167"/>
      <c r="K11" s="170"/>
      <c r="L11" s="170"/>
      <c r="M11" s="167"/>
      <c r="N11" s="170"/>
      <c r="O11" s="170"/>
      <c r="P11" s="167"/>
      <c r="Q11" s="167"/>
      <c r="R11" s="173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</row>
    <row r="12" spans="1:29" s="40" customFormat="1">
      <c r="B12" s="50"/>
      <c r="C12" s="164"/>
      <c r="D12" s="167"/>
      <c r="E12" s="170"/>
      <c r="F12" s="170"/>
      <c r="G12" s="170"/>
      <c r="H12" s="170"/>
      <c r="I12" s="170"/>
      <c r="J12" s="167"/>
      <c r="K12" s="170"/>
      <c r="L12" s="170"/>
      <c r="M12" s="167"/>
      <c r="N12" s="170"/>
      <c r="O12" s="170"/>
      <c r="P12" s="167"/>
      <c r="Q12" s="167"/>
      <c r="R12" s="173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</row>
    <row r="13" spans="1:29" s="40" customFormat="1">
      <c r="A13" s="51" t="s">
        <v>31</v>
      </c>
      <c r="B13" s="50"/>
      <c r="C13" s="164"/>
      <c r="D13" s="167"/>
      <c r="E13" s="170"/>
      <c r="F13" s="170"/>
      <c r="G13" s="170"/>
      <c r="H13" s="170"/>
      <c r="I13" s="170"/>
      <c r="J13" s="167"/>
      <c r="K13" s="170"/>
      <c r="L13" s="170"/>
      <c r="M13" s="167"/>
      <c r="N13" s="170"/>
      <c r="O13" s="170"/>
      <c r="P13" s="167"/>
      <c r="Q13" s="167"/>
      <c r="R13" s="173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</row>
    <row r="14" spans="1:29" s="40" customFormat="1">
      <c r="B14" s="50"/>
      <c r="C14" s="164"/>
      <c r="D14" s="167"/>
      <c r="E14" s="170"/>
      <c r="F14" s="170"/>
      <c r="G14" s="170"/>
      <c r="H14" s="170"/>
      <c r="I14" s="170"/>
      <c r="J14" s="167"/>
      <c r="K14" s="170"/>
      <c r="L14" s="170"/>
      <c r="M14" s="167"/>
      <c r="N14" s="170"/>
      <c r="O14" s="170"/>
      <c r="P14" s="167"/>
      <c r="Q14" s="167"/>
      <c r="R14" s="173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</row>
    <row r="15" spans="1:29" s="40" customFormat="1">
      <c r="B15" s="52"/>
      <c r="C15" s="164"/>
      <c r="D15" s="167"/>
      <c r="E15" s="170"/>
      <c r="F15" s="170"/>
      <c r="G15" s="170"/>
      <c r="H15" s="170"/>
      <c r="I15" s="170"/>
      <c r="J15" s="167"/>
      <c r="K15" s="170"/>
      <c r="L15" s="170"/>
      <c r="M15" s="167"/>
      <c r="N15" s="170"/>
      <c r="O15" s="170"/>
      <c r="P15" s="167"/>
      <c r="Q15" s="167"/>
      <c r="R15" s="173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</row>
    <row r="16" spans="1:29" s="40" customFormat="1">
      <c r="B16" s="48"/>
      <c r="C16" s="164"/>
      <c r="D16" s="167"/>
      <c r="E16" s="170"/>
      <c r="F16" s="170"/>
      <c r="G16" s="170"/>
      <c r="H16" s="170"/>
      <c r="I16" s="170"/>
      <c r="J16" s="167"/>
      <c r="K16" s="170"/>
      <c r="L16" s="170"/>
      <c r="M16" s="167"/>
      <c r="N16" s="170"/>
      <c r="O16" s="170"/>
      <c r="P16" s="167"/>
      <c r="Q16" s="167"/>
      <c r="R16" s="173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</row>
    <row r="17" spans="1:29" s="40" customFormat="1">
      <c r="B17" s="44"/>
      <c r="C17" s="164"/>
      <c r="D17" s="167"/>
      <c r="E17" s="170"/>
      <c r="F17" s="170"/>
      <c r="G17" s="170"/>
      <c r="H17" s="170"/>
      <c r="I17" s="170"/>
      <c r="J17" s="167"/>
      <c r="K17" s="170"/>
      <c r="L17" s="170"/>
      <c r="M17" s="167"/>
      <c r="N17" s="170"/>
      <c r="O17" s="170"/>
      <c r="P17" s="167"/>
      <c r="Q17" s="167"/>
      <c r="R17" s="173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</row>
    <row r="18" spans="1:29" s="40" customFormat="1">
      <c r="B18" s="44"/>
      <c r="C18" s="164"/>
      <c r="D18" s="167"/>
      <c r="E18" s="170"/>
      <c r="F18" s="170"/>
      <c r="G18" s="170"/>
      <c r="H18" s="170"/>
      <c r="I18" s="170"/>
      <c r="J18" s="167"/>
      <c r="K18" s="170"/>
      <c r="L18" s="170"/>
      <c r="M18" s="167"/>
      <c r="N18" s="170"/>
      <c r="O18" s="170"/>
      <c r="P18" s="167"/>
      <c r="Q18" s="167"/>
      <c r="R18" s="173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</row>
    <row r="19" spans="1:29" s="40" customFormat="1">
      <c r="B19" s="44"/>
      <c r="C19" s="165"/>
      <c r="D19" s="168"/>
      <c r="E19" s="171"/>
      <c r="F19" s="171"/>
      <c r="G19" s="171"/>
      <c r="H19" s="171"/>
      <c r="I19" s="171"/>
      <c r="J19" s="168"/>
      <c r="K19" s="171"/>
      <c r="L19" s="171"/>
      <c r="M19" s="168"/>
      <c r="N19" s="171"/>
      <c r="O19" s="171"/>
      <c r="P19" s="168"/>
      <c r="Q19" s="168"/>
      <c r="R19" s="174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</row>
    <row r="20" spans="1:29" s="40" customFormat="1">
      <c r="B20" s="44"/>
      <c r="C20" s="44"/>
      <c r="D20" s="53" t="s">
        <v>1412</v>
      </c>
      <c r="E20" s="53" t="s">
        <v>1413</v>
      </c>
      <c r="F20" s="53" t="s">
        <v>1414</v>
      </c>
      <c r="G20" s="53" t="s">
        <v>1415</v>
      </c>
      <c r="H20" s="53" t="s">
        <v>1416</v>
      </c>
      <c r="I20" s="53" t="s">
        <v>1417</v>
      </c>
      <c r="J20" s="55" t="s">
        <v>1418</v>
      </c>
      <c r="K20" s="55" t="s">
        <v>1419</v>
      </c>
      <c r="L20" s="55" t="s">
        <v>1420</v>
      </c>
      <c r="M20" s="55" t="s">
        <v>1421</v>
      </c>
      <c r="N20" s="55" t="s">
        <v>1422</v>
      </c>
      <c r="O20" s="55" t="s">
        <v>1423</v>
      </c>
      <c r="P20" s="55" t="s">
        <v>1424</v>
      </c>
      <c r="Q20" s="58"/>
      <c r="R20" s="58"/>
      <c r="S20" s="58"/>
      <c r="T20" s="58"/>
      <c r="U20" s="58"/>
      <c r="V20" s="58"/>
      <c r="W20" s="58"/>
      <c r="X20" s="57"/>
      <c r="Y20" s="58"/>
    </row>
    <row r="25" spans="1:29" s="40" customFormat="1" ht="14.25">
      <c r="B25" s="44"/>
      <c r="C25" s="45" t="s">
        <v>1425</v>
      </c>
      <c r="D25" s="46" t="s">
        <v>446</v>
      </c>
      <c r="E25" s="46" t="s">
        <v>479</v>
      </c>
      <c r="F25" s="46" t="s">
        <v>512</v>
      </c>
      <c r="G25" s="46" t="s">
        <v>555</v>
      </c>
      <c r="H25" s="46" t="s">
        <v>604</v>
      </c>
      <c r="I25" s="46" t="s">
        <v>653</v>
      </c>
      <c r="J25" s="46" t="s">
        <v>685</v>
      </c>
      <c r="K25" s="46" t="s">
        <v>703</v>
      </c>
      <c r="L25" s="46" t="s">
        <v>720</v>
      </c>
      <c r="M25" s="46" t="s">
        <v>737</v>
      </c>
      <c r="N25" s="46" t="s">
        <v>772</v>
      </c>
      <c r="O25" s="46" t="s">
        <v>821</v>
      </c>
      <c r="P25" s="46" t="s">
        <v>870</v>
      </c>
      <c r="Q25" s="46"/>
      <c r="R25" s="46"/>
      <c r="S25" s="57"/>
      <c r="T25" s="57"/>
      <c r="U25" s="57"/>
      <c r="V25" s="57"/>
      <c r="W25" s="57"/>
      <c r="X25" s="57"/>
      <c r="Y25" s="57"/>
    </row>
    <row r="26" spans="1:29" s="40" customFormat="1">
      <c r="B26" s="44"/>
      <c r="C26" s="47" t="s">
        <v>1394</v>
      </c>
      <c r="D26" s="47" t="s">
        <v>1395</v>
      </c>
      <c r="E26" s="47" t="s">
        <v>1396</v>
      </c>
      <c r="F26" s="47" t="s">
        <v>1397</v>
      </c>
      <c r="G26" s="47" t="s">
        <v>1398</v>
      </c>
      <c r="H26" s="47" t="s">
        <v>1399</v>
      </c>
      <c r="I26" s="47" t="s">
        <v>1400</v>
      </c>
      <c r="J26" s="47" t="s">
        <v>1426</v>
      </c>
      <c r="K26" s="47" t="s">
        <v>1427</v>
      </c>
      <c r="L26" s="47" t="s">
        <v>1428</v>
      </c>
      <c r="M26" s="47" t="s">
        <v>1429</v>
      </c>
      <c r="N26" s="47" t="s">
        <v>1430</v>
      </c>
      <c r="O26" s="47" t="s">
        <v>1431</v>
      </c>
      <c r="P26" s="47" t="s">
        <v>1432</v>
      </c>
      <c r="Q26" s="47"/>
      <c r="R26" s="47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</row>
    <row r="27" spans="1:29" s="40" customFormat="1" ht="13.5" customHeight="1">
      <c r="B27" s="44"/>
      <c r="C27" s="163" t="s">
        <v>1409</v>
      </c>
      <c r="D27" s="166" t="s">
        <v>1410</v>
      </c>
      <c r="E27" s="169" t="s">
        <v>1411</v>
      </c>
      <c r="F27" s="169" t="s">
        <v>1411</v>
      </c>
      <c r="G27" s="169" t="s">
        <v>1411</v>
      </c>
      <c r="H27" s="169" t="s">
        <v>1411</v>
      </c>
      <c r="I27" s="169" t="s">
        <v>1411</v>
      </c>
      <c r="J27" s="169" t="s">
        <v>1411</v>
      </c>
      <c r="K27" s="166" t="s">
        <v>1410</v>
      </c>
      <c r="L27" s="169" t="s">
        <v>1411</v>
      </c>
      <c r="M27" s="169" t="s">
        <v>1411</v>
      </c>
      <c r="N27" s="166" t="s">
        <v>1411</v>
      </c>
      <c r="O27" s="169" t="s">
        <v>1411</v>
      </c>
      <c r="P27" s="169" t="s">
        <v>1411</v>
      </c>
      <c r="Q27" s="172"/>
      <c r="R27" s="172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</row>
    <row r="28" spans="1:29" s="40" customFormat="1">
      <c r="B28" s="44"/>
      <c r="C28" s="164"/>
      <c r="D28" s="167"/>
      <c r="E28" s="170"/>
      <c r="F28" s="170"/>
      <c r="G28" s="170"/>
      <c r="H28" s="170"/>
      <c r="I28" s="170"/>
      <c r="J28" s="170"/>
      <c r="K28" s="167"/>
      <c r="L28" s="170"/>
      <c r="M28" s="170"/>
      <c r="N28" s="167"/>
      <c r="O28" s="170"/>
      <c r="P28" s="170"/>
      <c r="Q28" s="173"/>
      <c r="R28" s="173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</row>
    <row r="29" spans="1:29" s="40" customFormat="1">
      <c r="B29" s="48"/>
      <c r="C29" s="164"/>
      <c r="D29" s="167"/>
      <c r="E29" s="170"/>
      <c r="F29" s="170"/>
      <c r="G29" s="170"/>
      <c r="H29" s="170"/>
      <c r="I29" s="170"/>
      <c r="J29" s="170"/>
      <c r="K29" s="167"/>
      <c r="L29" s="170"/>
      <c r="M29" s="170"/>
      <c r="N29" s="167"/>
      <c r="O29" s="170"/>
      <c r="P29" s="170"/>
      <c r="Q29" s="173"/>
      <c r="R29" s="173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</row>
    <row r="30" spans="1:29" s="40" customFormat="1">
      <c r="B30" s="49"/>
      <c r="C30" s="164"/>
      <c r="D30" s="167"/>
      <c r="E30" s="170"/>
      <c r="F30" s="170"/>
      <c r="G30" s="170"/>
      <c r="H30" s="170"/>
      <c r="I30" s="170"/>
      <c r="J30" s="170"/>
      <c r="K30" s="167"/>
      <c r="L30" s="170"/>
      <c r="M30" s="170"/>
      <c r="N30" s="167"/>
      <c r="O30" s="170"/>
      <c r="P30" s="170"/>
      <c r="Q30" s="173"/>
      <c r="R30" s="173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</row>
    <row r="31" spans="1:29" s="40" customFormat="1">
      <c r="B31" s="50"/>
      <c r="C31" s="164"/>
      <c r="D31" s="167"/>
      <c r="E31" s="170"/>
      <c r="F31" s="170"/>
      <c r="G31" s="170"/>
      <c r="H31" s="170"/>
      <c r="I31" s="170"/>
      <c r="J31" s="170"/>
      <c r="K31" s="167"/>
      <c r="L31" s="170"/>
      <c r="M31" s="170"/>
      <c r="N31" s="167"/>
      <c r="O31" s="170"/>
      <c r="P31" s="170"/>
      <c r="Q31" s="173"/>
      <c r="R31" s="173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</row>
    <row r="32" spans="1:29" s="40" customFormat="1">
      <c r="A32" s="51" t="s">
        <v>445</v>
      </c>
      <c r="B32" s="50"/>
      <c r="C32" s="164"/>
      <c r="D32" s="167"/>
      <c r="E32" s="170"/>
      <c r="F32" s="170"/>
      <c r="G32" s="170"/>
      <c r="H32" s="170"/>
      <c r="I32" s="170"/>
      <c r="J32" s="170"/>
      <c r="K32" s="167"/>
      <c r="L32" s="170"/>
      <c r="M32" s="170"/>
      <c r="N32" s="167"/>
      <c r="O32" s="170"/>
      <c r="P32" s="170"/>
      <c r="Q32" s="173"/>
      <c r="R32" s="173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</row>
    <row r="33" spans="2:29" s="40" customFormat="1">
      <c r="B33" s="50"/>
      <c r="C33" s="164"/>
      <c r="D33" s="167"/>
      <c r="E33" s="170"/>
      <c r="F33" s="170"/>
      <c r="G33" s="170"/>
      <c r="H33" s="170"/>
      <c r="I33" s="170"/>
      <c r="J33" s="170"/>
      <c r="K33" s="167"/>
      <c r="L33" s="170"/>
      <c r="M33" s="170"/>
      <c r="N33" s="167"/>
      <c r="O33" s="170"/>
      <c r="P33" s="170"/>
      <c r="Q33" s="173"/>
      <c r="R33" s="173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</row>
    <row r="34" spans="2:29" s="40" customFormat="1">
      <c r="B34" s="52"/>
      <c r="C34" s="164"/>
      <c r="D34" s="167"/>
      <c r="E34" s="170"/>
      <c r="F34" s="170"/>
      <c r="G34" s="170"/>
      <c r="H34" s="170"/>
      <c r="I34" s="170"/>
      <c r="J34" s="170"/>
      <c r="K34" s="167"/>
      <c r="L34" s="170"/>
      <c r="M34" s="170"/>
      <c r="N34" s="167"/>
      <c r="O34" s="170"/>
      <c r="P34" s="170"/>
      <c r="Q34" s="173"/>
      <c r="R34" s="173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</row>
    <row r="35" spans="2:29" s="40" customFormat="1">
      <c r="B35" s="48"/>
      <c r="C35" s="164"/>
      <c r="D35" s="167"/>
      <c r="E35" s="170"/>
      <c r="F35" s="170"/>
      <c r="G35" s="170"/>
      <c r="H35" s="170"/>
      <c r="I35" s="170"/>
      <c r="J35" s="170"/>
      <c r="K35" s="167"/>
      <c r="L35" s="170"/>
      <c r="M35" s="170"/>
      <c r="N35" s="167"/>
      <c r="O35" s="170"/>
      <c r="P35" s="170"/>
      <c r="Q35" s="173"/>
      <c r="R35" s="173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</row>
    <row r="36" spans="2:29" s="40" customFormat="1">
      <c r="B36" s="44"/>
      <c r="C36" s="164"/>
      <c r="D36" s="167"/>
      <c r="E36" s="170"/>
      <c r="F36" s="170"/>
      <c r="G36" s="170"/>
      <c r="H36" s="170"/>
      <c r="I36" s="170"/>
      <c r="J36" s="170"/>
      <c r="K36" s="167"/>
      <c r="L36" s="170"/>
      <c r="M36" s="170"/>
      <c r="N36" s="167"/>
      <c r="O36" s="170"/>
      <c r="P36" s="170"/>
      <c r="Q36" s="173"/>
      <c r="R36" s="173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</row>
    <row r="37" spans="2:29" s="40" customFormat="1">
      <c r="B37" s="44"/>
      <c r="C37" s="164"/>
      <c r="D37" s="167"/>
      <c r="E37" s="170"/>
      <c r="F37" s="170"/>
      <c r="G37" s="170"/>
      <c r="H37" s="170"/>
      <c r="I37" s="170"/>
      <c r="J37" s="170"/>
      <c r="K37" s="167"/>
      <c r="L37" s="170"/>
      <c r="M37" s="170"/>
      <c r="N37" s="167"/>
      <c r="O37" s="170"/>
      <c r="P37" s="170"/>
      <c r="Q37" s="173"/>
      <c r="R37" s="173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</row>
    <row r="38" spans="2:29" s="40" customFormat="1">
      <c r="B38" s="44"/>
      <c r="C38" s="165"/>
      <c r="D38" s="168"/>
      <c r="E38" s="171"/>
      <c r="F38" s="171"/>
      <c r="G38" s="171"/>
      <c r="H38" s="171"/>
      <c r="I38" s="171"/>
      <c r="J38" s="171"/>
      <c r="K38" s="168"/>
      <c r="L38" s="171"/>
      <c r="M38" s="171"/>
      <c r="N38" s="168"/>
      <c r="O38" s="171"/>
      <c r="P38" s="171"/>
      <c r="Q38" s="174"/>
      <c r="R38" s="174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</row>
    <row r="39" spans="2:29" s="40" customFormat="1">
      <c r="B39" s="44"/>
      <c r="C39" s="44"/>
      <c r="D39" s="53" t="s">
        <v>1433</v>
      </c>
      <c r="E39" s="53" t="s">
        <v>1434</v>
      </c>
      <c r="F39" s="53" t="s">
        <v>1435</v>
      </c>
      <c r="G39" s="53" t="s">
        <v>1436</v>
      </c>
      <c r="H39" s="53" t="s">
        <v>1437</v>
      </c>
      <c r="I39" s="53" t="s">
        <v>1438</v>
      </c>
      <c r="J39" s="53" t="s">
        <v>1439</v>
      </c>
      <c r="K39" s="55" t="s">
        <v>1440</v>
      </c>
      <c r="L39" s="55" t="s">
        <v>1441</v>
      </c>
      <c r="M39" s="55" t="s">
        <v>1442</v>
      </c>
      <c r="N39" s="55" t="s">
        <v>1443</v>
      </c>
      <c r="O39" s="55" t="s">
        <v>1444</v>
      </c>
      <c r="P39" s="55" t="s">
        <v>1445</v>
      </c>
      <c r="Q39" s="59"/>
      <c r="R39" s="60"/>
      <c r="S39" s="58"/>
      <c r="T39" s="58"/>
      <c r="U39" s="58"/>
      <c r="V39" s="58"/>
      <c r="W39" s="58"/>
      <c r="X39" s="57"/>
      <c r="Y39" s="58"/>
    </row>
    <row r="44" spans="2:29" s="40" customFormat="1" ht="14.25">
      <c r="B44" s="44"/>
      <c r="C44" s="45" t="s">
        <v>1446</v>
      </c>
      <c r="D44" s="46" t="s">
        <v>895</v>
      </c>
      <c r="E44" s="46" t="s">
        <v>928</v>
      </c>
      <c r="F44" s="46" t="s">
        <v>953</v>
      </c>
      <c r="G44" s="46" t="s">
        <v>978</v>
      </c>
      <c r="H44" s="46" t="s">
        <v>1003</v>
      </c>
      <c r="I44" s="46" t="s">
        <v>1041</v>
      </c>
      <c r="J44" s="46" t="s">
        <v>1090</v>
      </c>
      <c r="K44" s="46" t="s">
        <v>1134</v>
      </c>
      <c r="L44" s="46" t="s">
        <v>1182</v>
      </c>
      <c r="M44" s="46" t="s">
        <v>1200</v>
      </c>
      <c r="N44" s="46" t="s">
        <v>1219</v>
      </c>
      <c r="O44" s="46" t="s">
        <v>1236</v>
      </c>
      <c r="P44" s="46" t="s">
        <v>1275</v>
      </c>
      <c r="Q44" s="46" t="s">
        <v>1314</v>
      </c>
      <c r="R44" s="46" t="s">
        <v>1347</v>
      </c>
      <c r="S44" s="46" t="s">
        <v>1375</v>
      </c>
      <c r="T44" s="46"/>
      <c r="U44" s="57"/>
      <c r="V44" s="57"/>
      <c r="W44" s="57"/>
      <c r="X44" s="57"/>
      <c r="Y44" s="57"/>
    </row>
    <row r="45" spans="2:29" s="40" customFormat="1">
      <c r="B45" s="44"/>
      <c r="C45" s="47" t="s">
        <v>1394</v>
      </c>
      <c r="D45" s="47" t="s">
        <v>1395</v>
      </c>
      <c r="E45" s="47" t="s">
        <v>1396</v>
      </c>
      <c r="F45" s="47" t="s">
        <v>1397</v>
      </c>
      <c r="G45" s="47" t="s">
        <v>1398</v>
      </c>
      <c r="H45" s="47" t="s">
        <v>1399</v>
      </c>
      <c r="I45" s="47" t="s">
        <v>1400</v>
      </c>
      <c r="J45" s="47" t="s">
        <v>1426</v>
      </c>
      <c r="K45" s="47" t="s">
        <v>1427</v>
      </c>
      <c r="L45" s="47" t="s">
        <v>1428</v>
      </c>
      <c r="M45" s="47" t="s">
        <v>1429</v>
      </c>
      <c r="N45" s="47" t="s">
        <v>1430</v>
      </c>
      <c r="O45" s="47" t="s">
        <v>1431</v>
      </c>
      <c r="P45" s="47" t="s">
        <v>1432</v>
      </c>
      <c r="Q45" s="47" t="s">
        <v>1447</v>
      </c>
      <c r="R45" s="47" t="s">
        <v>1448</v>
      </c>
      <c r="S45" s="47" t="s">
        <v>1449</v>
      </c>
      <c r="T45" s="47"/>
      <c r="U45" s="54"/>
      <c r="V45" s="54"/>
      <c r="W45" s="54"/>
      <c r="X45" s="54"/>
      <c r="Y45" s="54"/>
      <c r="Z45" s="54"/>
      <c r="AA45" s="54"/>
      <c r="AB45" s="54"/>
      <c r="AC45" s="54"/>
    </row>
    <row r="46" spans="2:29" s="40" customFormat="1" ht="13.5" customHeight="1">
      <c r="B46" s="44"/>
      <c r="C46" s="163" t="s">
        <v>1409</v>
      </c>
      <c r="D46" s="166" t="s">
        <v>1410</v>
      </c>
      <c r="E46" s="169" t="s">
        <v>1411</v>
      </c>
      <c r="F46" s="169" t="s">
        <v>1411</v>
      </c>
      <c r="G46" s="169" t="s">
        <v>1411</v>
      </c>
      <c r="H46" s="169" t="s">
        <v>1411</v>
      </c>
      <c r="I46" s="169" t="s">
        <v>1411</v>
      </c>
      <c r="J46" s="169" t="s">
        <v>1411</v>
      </c>
      <c r="K46" s="169" t="s">
        <v>1411</v>
      </c>
      <c r="L46" s="169" t="s">
        <v>1411</v>
      </c>
      <c r="M46" s="166" t="s">
        <v>1410</v>
      </c>
      <c r="N46" s="169" t="s">
        <v>1411</v>
      </c>
      <c r="O46" s="169" t="s">
        <v>1411</v>
      </c>
      <c r="P46" s="166" t="s">
        <v>1411</v>
      </c>
      <c r="Q46" s="169" t="s">
        <v>1411</v>
      </c>
      <c r="R46" s="169" t="s">
        <v>1411</v>
      </c>
      <c r="S46" s="166" t="s">
        <v>1411</v>
      </c>
      <c r="T46" s="169"/>
      <c r="U46" s="169"/>
      <c r="V46" s="169"/>
      <c r="W46" s="169"/>
      <c r="X46" s="169"/>
      <c r="Y46" s="169"/>
      <c r="Z46" s="169"/>
      <c r="AA46" s="169"/>
      <c r="AB46" s="169"/>
      <c r="AC46" s="169"/>
    </row>
    <row r="47" spans="2:29" s="40" customFormat="1">
      <c r="B47" s="44"/>
      <c r="C47" s="164"/>
      <c r="D47" s="167"/>
      <c r="E47" s="170"/>
      <c r="F47" s="170"/>
      <c r="G47" s="170"/>
      <c r="H47" s="170"/>
      <c r="I47" s="170"/>
      <c r="J47" s="170"/>
      <c r="K47" s="170"/>
      <c r="L47" s="170"/>
      <c r="M47" s="167"/>
      <c r="N47" s="170"/>
      <c r="O47" s="170"/>
      <c r="P47" s="167"/>
      <c r="Q47" s="170"/>
      <c r="R47" s="170"/>
      <c r="S47" s="167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</row>
    <row r="48" spans="2:29" s="40" customFormat="1">
      <c r="B48" s="48"/>
      <c r="C48" s="164"/>
      <c r="D48" s="167"/>
      <c r="E48" s="170"/>
      <c r="F48" s="170"/>
      <c r="G48" s="170"/>
      <c r="H48" s="170"/>
      <c r="I48" s="170"/>
      <c r="J48" s="170"/>
      <c r="K48" s="170"/>
      <c r="L48" s="170"/>
      <c r="M48" s="167"/>
      <c r="N48" s="170"/>
      <c r="O48" s="170"/>
      <c r="P48" s="167"/>
      <c r="Q48" s="170"/>
      <c r="R48" s="170"/>
      <c r="S48" s="167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</row>
    <row r="49" spans="1:29" s="40" customFormat="1">
      <c r="B49" s="49"/>
      <c r="C49" s="164"/>
      <c r="D49" s="167"/>
      <c r="E49" s="170"/>
      <c r="F49" s="170"/>
      <c r="G49" s="170"/>
      <c r="H49" s="170"/>
      <c r="I49" s="170"/>
      <c r="J49" s="170"/>
      <c r="K49" s="170"/>
      <c r="L49" s="170"/>
      <c r="M49" s="167"/>
      <c r="N49" s="170"/>
      <c r="O49" s="170"/>
      <c r="P49" s="167"/>
      <c r="Q49" s="170"/>
      <c r="R49" s="170"/>
      <c r="S49" s="167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</row>
    <row r="50" spans="1:29" s="40" customFormat="1">
      <c r="B50" s="50"/>
      <c r="C50" s="164"/>
      <c r="D50" s="167"/>
      <c r="E50" s="170"/>
      <c r="F50" s="170"/>
      <c r="G50" s="170"/>
      <c r="H50" s="170"/>
      <c r="I50" s="170"/>
      <c r="J50" s="170"/>
      <c r="K50" s="170"/>
      <c r="L50" s="170"/>
      <c r="M50" s="167"/>
      <c r="N50" s="170"/>
      <c r="O50" s="170"/>
      <c r="P50" s="167"/>
      <c r="Q50" s="170"/>
      <c r="R50" s="170"/>
      <c r="S50" s="167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</row>
    <row r="51" spans="1:29" s="40" customFormat="1">
      <c r="A51" s="51" t="s">
        <v>1391</v>
      </c>
      <c r="B51" s="50"/>
      <c r="C51" s="164"/>
      <c r="D51" s="167"/>
      <c r="E51" s="170"/>
      <c r="F51" s="170"/>
      <c r="G51" s="170"/>
      <c r="H51" s="170"/>
      <c r="I51" s="170"/>
      <c r="J51" s="170"/>
      <c r="K51" s="170"/>
      <c r="L51" s="170"/>
      <c r="M51" s="167"/>
      <c r="N51" s="170"/>
      <c r="O51" s="170"/>
      <c r="P51" s="167"/>
      <c r="Q51" s="170"/>
      <c r="R51" s="170"/>
      <c r="S51" s="167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</row>
    <row r="52" spans="1:29" s="40" customFormat="1">
      <c r="B52" s="50"/>
      <c r="C52" s="164"/>
      <c r="D52" s="167"/>
      <c r="E52" s="170"/>
      <c r="F52" s="170"/>
      <c r="G52" s="170"/>
      <c r="H52" s="170"/>
      <c r="I52" s="170"/>
      <c r="J52" s="170"/>
      <c r="K52" s="170"/>
      <c r="L52" s="170"/>
      <c r="M52" s="167"/>
      <c r="N52" s="170"/>
      <c r="O52" s="170"/>
      <c r="P52" s="167"/>
      <c r="Q52" s="170"/>
      <c r="R52" s="170"/>
      <c r="S52" s="167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</row>
    <row r="53" spans="1:29" s="40" customFormat="1">
      <c r="B53" s="52"/>
      <c r="C53" s="164"/>
      <c r="D53" s="167"/>
      <c r="E53" s="170"/>
      <c r="F53" s="170"/>
      <c r="G53" s="170"/>
      <c r="H53" s="170"/>
      <c r="I53" s="170"/>
      <c r="J53" s="170"/>
      <c r="K53" s="170"/>
      <c r="L53" s="170"/>
      <c r="M53" s="167"/>
      <c r="N53" s="170"/>
      <c r="O53" s="170"/>
      <c r="P53" s="167"/>
      <c r="Q53" s="170"/>
      <c r="R53" s="170"/>
      <c r="S53" s="167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</row>
    <row r="54" spans="1:29" s="40" customFormat="1">
      <c r="B54" s="48"/>
      <c r="C54" s="164"/>
      <c r="D54" s="167"/>
      <c r="E54" s="170"/>
      <c r="F54" s="170"/>
      <c r="G54" s="170"/>
      <c r="H54" s="170"/>
      <c r="I54" s="170"/>
      <c r="J54" s="170"/>
      <c r="K54" s="170"/>
      <c r="L54" s="170"/>
      <c r="M54" s="167"/>
      <c r="N54" s="170"/>
      <c r="O54" s="170"/>
      <c r="P54" s="167"/>
      <c r="Q54" s="170"/>
      <c r="R54" s="170"/>
      <c r="S54" s="167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</row>
    <row r="55" spans="1:29" s="40" customFormat="1">
      <c r="B55" s="44"/>
      <c r="C55" s="164"/>
      <c r="D55" s="167"/>
      <c r="E55" s="170"/>
      <c r="F55" s="170"/>
      <c r="G55" s="170"/>
      <c r="H55" s="170"/>
      <c r="I55" s="170"/>
      <c r="J55" s="170"/>
      <c r="K55" s="170"/>
      <c r="L55" s="170"/>
      <c r="M55" s="167"/>
      <c r="N55" s="170"/>
      <c r="O55" s="170"/>
      <c r="P55" s="167"/>
      <c r="Q55" s="170"/>
      <c r="R55" s="170"/>
      <c r="S55" s="167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</row>
    <row r="56" spans="1:29" s="40" customFormat="1">
      <c r="B56" s="44"/>
      <c r="C56" s="164"/>
      <c r="D56" s="167"/>
      <c r="E56" s="170"/>
      <c r="F56" s="170"/>
      <c r="G56" s="170"/>
      <c r="H56" s="170"/>
      <c r="I56" s="170"/>
      <c r="J56" s="170"/>
      <c r="K56" s="170"/>
      <c r="L56" s="170"/>
      <c r="M56" s="167"/>
      <c r="N56" s="170"/>
      <c r="O56" s="170"/>
      <c r="P56" s="167"/>
      <c r="Q56" s="170"/>
      <c r="R56" s="170"/>
      <c r="S56" s="167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</row>
    <row r="57" spans="1:29" s="40" customFormat="1">
      <c r="B57" s="44"/>
      <c r="C57" s="165"/>
      <c r="D57" s="168"/>
      <c r="E57" s="171"/>
      <c r="F57" s="171"/>
      <c r="G57" s="171"/>
      <c r="H57" s="171"/>
      <c r="I57" s="171"/>
      <c r="J57" s="171"/>
      <c r="K57" s="171"/>
      <c r="L57" s="171"/>
      <c r="M57" s="168"/>
      <c r="N57" s="171"/>
      <c r="O57" s="171"/>
      <c r="P57" s="168"/>
      <c r="Q57" s="171"/>
      <c r="R57" s="171"/>
      <c r="S57" s="168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</row>
    <row r="58" spans="1:29" s="40" customFormat="1">
      <c r="B58" s="44"/>
      <c r="C58" s="44"/>
      <c r="D58" s="53" t="s">
        <v>1450</v>
      </c>
      <c r="E58" s="53" t="s">
        <v>1451</v>
      </c>
      <c r="F58" s="53" t="s">
        <v>1452</v>
      </c>
      <c r="G58" s="53" t="s">
        <v>1453</v>
      </c>
      <c r="H58" s="53" t="s">
        <v>1454</v>
      </c>
      <c r="I58" s="53" t="s">
        <v>1455</v>
      </c>
      <c r="J58" s="53" t="s">
        <v>1456</v>
      </c>
      <c r="K58" s="53" t="s">
        <v>1457</v>
      </c>
      <c r="L58" s="53" t="s">
        <v>1458</v>
      </c>
      <c r="M58" s="55" t="s">
        <v>1459</v>
      </c>
      <c r="N58" s="55" t="s">
        <v>1460</v>
      </c>
      <c r="O58" s="55" t="s">
        <v>1461</v>
      </c>
      <c r="P58" s="55" t="s">
        <v>1462</v>
      </c>
      <c r="Q58" s="55" t="s">
        <v>1463</v>
      </c>
      <c r="R58" s="55" t="s">
        <v>1464</v>
      </c>
      <c r="S58" s="55" t="s">
        <v>1465</v>
      </c>
      <c r="T58" s="55"/>
      <c r="U58" s="58"/>
      <c r="V58" s="58"/>
      <c r="W58" s="58"/>
      <c r="X58" s="57"/>
      <c r="Y58" s="58"/>
    </row>
  </sheetData>
  <mergeCells count="82">
    <mergeCell ref="AC8:AC19"/>
    <mergeCell ref="AC27:AC38"/>
    <mergeCell ref="AC46:AC57"/>
    <mergeCell ref="AA8:AA19"/>
    <mergeCell ref="AA27:AA38"/>
    <mergeCell ref="AA46:AA57"/>
    <mergeCell ref="AB8:AB19"/>
    <mergeCell ref="AB27:AB38"/>
    <mergeCell ref="AB46:AB57"/>
    <mergeCell ref="Y8:Y19"/>
    <mergeCell ref="Y27:Y38"/>
    <mergeCell ref="Y46:Y57"/>
    <mergeCell ref="Z8:Z19"/>
    <mergeCell ref="Z27:Z38"/>
    <mergeCell ref="Z46:Z57"/>
    <mergeCell ref="W8:W19"/>
    <mergeCell ref="W27:W38"/>
    <mergeCell ref="W46:W57"/>
    <mergeCell ref="X8:X19"/>
    <mergeCell ref="X27:X38"/>
    <mergeCell ref="X46:X57"/>
    <mergeCell ref="U8:U19"/>
    <mergeCell ref="U27:U38"/>
    <mergeCell ref="U46:U57"/>
    <mergeCell ref="V8:V19"/>
    <mergeCell ref="V27:V38"/>
    <mergeCell ref="V46:V57"/>
    <mergeCell ref="S8:S19"/>
    <mergeCell ref="S27:S38"/>
    <mergeCell ref="S46:S57"/>
    <mergeCell ref="T8:T19"/>
    <mergeCell ref="T27:T38"/>
    <mergeCell ref="T46:T57"/>
    <mergeCell ref="Q8:Q19"/>
    <mergeCell ref="Q27:Q38"/>
    <mergeCell ref="Q46:Q57"/>
    <mergeCell ref="R8:R19"/>
    <mergeCell ref="R27:R38"/>
    <mergeCell ref="R46:R57"/>
    <mergeCell ref="O8:O19"/>
    <mergeCell ref="O27:O38"/>
    <mergeCell ref="O46:O57"/>
    <mergeCell ref="P8:P19"/>
    <mergeCell ref="P27:P38"/>
    <mergeCell ref="P46:P57"/>
    <mergeCell ref="M8:M19"/>
    <mergeCell ref="M27:M38"/>
    <mergeCell ref="M46:M57"/>
    <mergeCell ref="N8:N19"/>
    <mergeCell ref="N27:N38"/>
    <mergeCell ref="N46:N57"/>
    <mergeCell ref="K8:K19"/>
    <mergeCell ref="K27:K38"/>
    <mergeCell ref="K46:K57"/>
    <mergeCell ref="L8:L19"/>
    <mergeCell ref="L27:L38"/>
    <mergeCell ref="L46:L57"/>
    <mergeCell ref="I8:I19"/>
    <mergeCell ref="I27:I38"/>
    <mergeCell ref="I46:I57"/>
    <mergeCell ref="J8:J19"/>
    <mergeCell ref="J27:J38"/>
    <mergeCell ref="J46:J57"/>
    <mergeCell ref="G8:G19"/>
    <mergeCell ref="G27:G38"/>
    <mergeCell ref="G46:G57"/>
    <mergeCell ref="H8:H19"/>
    <mergeCell ref="H27:H38"/>
    <mergeCell ref="H46:H57"/>
    <mergeCell ref="E8:E19"/>
    <mergeCell ref="E27:E38"/>
    <mergeCell ref="E46:E57"/>
    <mergeCell ref="F8:F19"/>
    <mergeCell ref="F27:F38"/>
    <mergeCell ref="F46:F57"/>
    <mergeCell ref="A2:A3"/>
    <mergeCell ref="C8:C19"/>
    <mergeCell ref="C27:C38"/>
    <mergeCell ref="C46:C57"/>
    <mergeCell ref="D8:D19"/>
    <mergeCell ref="D27:D38"/>
    <mergeCell ref="D46:D57"/>
  </mergeCells>
  <phoneticPr fontId="6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topLeftCell="A10" workbookViewId="0">
      <selection activeCell="C23" sqref="C23"/>
    </sheetView>
  </sheetViews>
  <sheetFormatPr defaultColWidth="8.75" defaultRowHeight="12"/>
  <cols>
    <col min="1" max="1" width="6.5" style="2" customWidth="1"/>
    <col min="2" max="2" width="13.5" style="3" customWidth="1"/>
    <col min="3" max="3" width="56.375" style="2" customWidth="1"/>
    <col min="4" max="4" width="19.625" style="2" customWidth="1"/>
    <col min="5" max="6" width="5.375" style="4" customWidth="1"/>
    <col min="7" max="7" width="52" style="2" customWidth="1"/>
    <col min="8" max="16384" width="8.75" style="2"/>
  </cols>
  <sheetData>
    <row r="1" spans="1:8">
      <c r="A1" s="5" t="s">
        <v>1466</v>
      </c>
      <c r="B1" s="6"/>
      <c r="C1" s="5"/>
      <c r="D1" s="7"/>
      <c r="E1" s="8"/>
      <c r="F1" s="8"/>
      <c r="G1" s="7"/>
      <c r="H1" s="5"/>
    </row>
    <row r="2" spans="1:8">
      <c r="A2" s="9" t="s">
        <v>19</v>
      </c>
      <c r="B2" s="10" t="s">
        <v>1467</v>
      </c>
      <c r="C2" s="9" t="s">
        <v>1468</v>
      </c>
      <c r="D2" s="11" t="s">
        <v>1469</v>
      </c>
      <c r="E2" s="12" t="s">
        <v>1470</v>
      </c>
      <c r="F2" s="9" t="s">
        <v>1471</v>
      </c>
      <c r="G2" s="11" t="s">
        <v>1472</v>
      </c>
      <c r="H2" s="13" t="s">
        <v>260</v>
      </c>
    </row>
    <row r="3" spans="1:8" s="1" customFormat="1">
      <c r="A3" s="9">
        <v>1</v>
      </c>
      <c r="B3" s="14">
        <v>24160100056</v>
      </c>
      <c r="C3" s="14" t="s">
        <v>1473</v>
      </c>
      <c r="D3" s="15"/>
      <c r="E3" s="16">
        <v>1</v>
      </c>
      <c r="F3" s="17" t="s">
        <v>1474</v>
      </c>
      <c r="G3" s="18"/>
      <c r="H3" s="19"/>
    </row>
    <row r="4" spans="1:8" s="1" customFormat="1">
      <c r="A4" s="9">
        <v>2</v>
      </c>
      <c r="B4" s="14">
        <v>24161700003</v>
      </c>
      <c r="C4" s="14" t="s">
        <v>1475</v>
      </c>
      <c r="D4" s="15" t="s">
        <v>1476</v>
      </c>
      <c r="E4" s="16">
        <v>1</v>
      </c>
      <c r="F4" s="17" t="s">
        <v>1474</v>
      </c>
      <c r="G4" s="18"/>
      <c r="H4" s="19"/>
    </row>
    <row r="5" spans="1:8" s="1" customFormat="1">
      <c r="A5" s="9">
        <v>3</v>
      </c>
      <c r="B5" s="14">
        <v>27090100067</v>
      </c>
      <c r="C5" s="14" t="s">
        <v>1477</v>
      </c>
      <c r="D5" s="15"/>
      <c r="E5" s="16">
        <v>7</v>
      </c>
      <c r="F5" s="17" t="s">
        <v>1474</v>
      </c>
      <c r="G5" s="18"/>
      <c r="H5" s="19"/>
    </row>
    <row r="6" spans="1:8" s="1" customFormat="1">
      <c r="A6" s="9">
        <v>4</v>
      </c>
      <c r="B6" s="14" t="s">
        <v>1478</v>
      </c>
      <c r="C6" s="14" t="s">
        <v>1479</v>
      </c>
      <c r="D6" s="15"/>
      <c r="E6" s="16">
        <v>2</v>
      </c>
      <c r="F6" s="17" t="s">
        <v>1474</v>
      </c>
      <c r="G6" s="18"/>
      <c r="H6" s="19"/>
    </row>
    <row r="7" spans="1:8" s="1" customFormat="1">
      <c r="A7" s="9">
        <v>5</v>
      </c>
      <c r="B7" s="14" t="s">
        <v>1480</v>
      </c>
      <c r="C7" s="14" t="s">
        <v>1481</v>
      </c>
      <c r="D7" s="15"/>
      <c r="E7" s="16">
        <v>1</v>
      </c>
      <c r="F7" s="17" t="s">
        <v>1482</v>
      </c>
      <c r="G7" s="18"/>
      <c r="H7" s="19"/>
    </row>
    <row r="8" spans="1:8" s="1" customFormat="1">
      <c r="A8" s="9">
        <v>6</v>
      </c>
      <c r="B8" s="14" t="s">
        <v>1483</v>
      </c>
      <c r="C8" s="14" t="s">
        <v>1484</v>
      </c>
      <c r="D8" s="15"/>
      <c r="E8" s="16">
        <v>1</v>
      </c>
      <c r="F8" s="17" t="s">
        <v>1482</v>
      </c>
      <c r="G8" s="18"/>
      <c r="H8" s="19"/>
    </row>
    <row r="9" spans="1:8" s="1" customFormat="1">
      <c r="A9" s="9">
        <v>7</v>
      </c>
      <c r="B9" s="14">
        <v>26010200043</v>
      </c>
      <c r="C9" s="14" t="s">
        <v>1485</v>
      </c>
      <c r="D9" s="15"/>
      <c r="E9" s="16">
        <v>1</v>
      </c>
      <c r="F9" s="17" t="s">
        <v>1486</v>
      </c>
      <c r="G9" s="18"/>
      <c r="H9" s="19"/>
    </row>
    <row r="10" spans="1:8" s="1" customFormat="1">
      <c r="A10" s="9">
        <v>8</v>
      </c>
      <c r="B10" s="20"/>
      <c r="C10" s="20" t="s">
        <v>1487</v>
      </c>
      <c r="D10" s="21" t="s">
        <v>1488</v>
      </c>
      <c r="E10" s="22">
        <v>1</v>
      </c>
      <c r="F10" s="23" t="s">
        <v>1486</v>
      </c>
      <c r="G10" s="18"/>
      <c r="H10" s="19"/>
    </row>
    <row r="11" spans="1:8" s="1" customFormat="1">
      <c r="A11" s="9">
        <v>9</v>
      </c>
      <c r="B11" s="24" t="s">
        <v>1489</v>
      </c>
      <c r="C11" s="24" t="s">
        <v>1490</v>
      </c>
      <c r="D11" s="15"/>
      <c r="E11" s="16">
        <v>1</v>
      </c>
      <c r="F11" s="16" t="s">
        <v>1486</v>
      </c>
      <c r="G11" s="25"/>
      <c r="H11" s="19"/>
    </row>
    <row r="12" spans="1:8" s="1" customFormat="1">
      <c r="A12" s="9">
        <v>10</v>
      </c>
      <c r="B12" s="24">
        <v>24100100002</v>
      </c>
      <c r="C12" s="24" t="s">
        <v>1491</v>
      </c>
      <c r="D12" s="15"/>
      <c r="E12" s="16">
        <v>1</v>
      </c>
      <c r="F12" s="16" t="s">
        <v>1486</v>
      </c>
      <c r="G12" s="25"/>
      <c r="H12" s="19"/>
    </row>
    <row r="13" spans="1:8" s="1" customFormat="1">
      <c r="A13" s="9">
        <v>11</v>
      </c>
      <c r="B13" s="26">
        <v>26011100006</v>
      </c>
      <c r="C13" s="14" t="s">
        <v>1492</v>
      </c>
      <c r="D13" s="15"/>
      <c r="E13" s="16">
        <v>4</v>
      </c>
      <c r="F13" s="16" t="s">
        <v>1486</v>
      </c>
      <c r="G13" s="25"/>
      <c r="H13" s="19"/>
    </row>
    <row r="14" spans="1:8" s="1" customFormat="1">
      <c r="A14" s="9">
        <v>12</v>
      </c>
      <c r="B14" s="20">
        <v>26010100021</v>
      </c>
      <c r="C14" s="20" t="s">
        <v>1493</v>
      </c>
      <c r="D14" s="21"/>
      <c r="E14" s="27">
        <v>3</v>
      </c>
      <c r="F14" s="28" t="s">
        <v>1486</v>
      </c>
      <c r="G14" s="18"/>
      <c r="H14" s="19"/>
    </row>
    <row r="15" spans="1:8" s="1" customFormat="1">
      <c r="A15" s="9">
        <v>13</v>
      </c>
      <c r="B15" s="20" t="s">
        <v>1494</v>
      </c>
      <c r="C15" s="20" t="s">
        <v>1495</v>
      </c>
      <c r="D15" s="21"/>
      <c r="E15" s="27">
        <v>1</v>
      </c>
      <c r="F15" s="28" t="s">
        <v>1486</v>
      </c>
      <c r="G15" s="18"/>
      <c r="H15" s="19"/>
    </row>
    <row r="16" spans="1:8" s="1" customFormat="1">
      <c r="A16" s="9">
        <v>14</v>
      </c>
      <c r="B16" s="20" t="s">
        <v>1496</v>
      </c>
      <c r="C16" s="20" t="s">
        <v>1497</v>
      </c>
      <c r="D16" s="21"/>
      <c r="E16" s="27">
        <v>4</v>
      </c>
      <c r="F16" s="28" t="s">
        <v>1486</v>
      </c>
      <c r="G16" s="18"/>
      <c r="H16" s="19"/>
    </row>
    <row r="17" spans="1:8" s="1" customFormat="1">
      <c r="A17" s="9">
        <v>15</v>
      </c>
      <c r="B17" s="20" t="s">
        <v>1498</v>
      </c>
      <c r="C17" s="20" t="s">
        <v>1499</v>
      </c>
      <c r="D17" s="21"/>
      <c r="E17" s="27">
        <v>4</v>
      </c>
      <c r="F17" s="28" t="s">
        <v>1486</v>
      </c>
      <c r="G17" s="18"/>
      <c r="H17" s="19"/>
    </row>
    <row r="18" spans="1:8" s="1" customFormat="1">
      <c r="A18" s="9">
        <v>16</v>
      </c>
      <c r="B18" s="20">
        <v>26998800004</v>
      </c>
      <c r="C18" s="20" t="s">
        <v>1500</v>
      </c>
      <c r="D18" s="21"/>
      <c r="E18" s="27">
        <v>3</v>
      </c>
      <c r="F18" s="28" t="s">
        <v>1486</v>
      </c>
      <c r="G18" s="18"/>
      <c r="H18" s="19"/>
    </row>
    <row r="19" spans="1:8" s="1" customFormat="1">
      <c r="A19" s="9">
        <v>17</v>
      </c>
      <c r="B19" s="14" t="s">
        <v>1501</v>
      </c>
      <c r="C19" s="14" t="s">
        <v>1502</v>
      </c>
      <c r="D19" s="15" t="s">
        <v>1503</v>
      </c>
      <c r="E19" s="16">
        <v>909</v>
      </c>
      <c r="F19" s="17" t="s">
        <v>1504</v>
      </c>
      <c r="G19" s="18"/>
      <c r="H19" s="19"/>
    </row>
    <row r="20" spans="1:8" s="1" customFormat="1">
      <c r="A20" s="9">
        <v>18</v>
      </c>
      <c r="B20" s="24">
        <v>25068800011</v>
      </c>
      <c r="C20" s="24" t="s">
        <v>1505</v>
      </c>
      <c r="D20" s="14"/>
      <c r="E20" s="29">
        <v>80</v>
      </c>
      <c r="F20" s="30" t="s">
        <v>1506</v>
      </c>
      <c r="G20" s="25"/>
      <c r="H20" s="19"/>
    </row>
    <row r="21" spans="1:8">
      <c r="A21" s="9">
        <v>19</v>
      </c>
      <c r="B21" s="14"/>
      <c r="C21" s="31"/>
      <c r="D21" s="24"/>
      <c r="E21" s="12"/>
      <c r="F21" s="32"/>
      <c r="G21" s="33"/>
      <c r="H21" s="13"/>
    </row>
    <row r="22" spans="1:8">
      <c r="A22" s="9">
        <v>20</v>
      </c>
      <c r="B22" s="34"/>
      <c r="C22" s="35"/>
      <c r="D22" s="36"/>
      <c r="E22" s="37"/>
      <c r="F22" s="17"/>
      <c r="G22" s="33"/>
      <c r="H22" s="13"/>
    </row>
    <row r="23" spans="1:8">
      <c r="A23" s="9">
        <v>21</v>
      </c>
      <c r="B23" s="34">
        <v>24160400003</v>
      </c>
      <c r="C23" s="35" t="s">
        <v>1507</v>
      </c>
      <c r="D23" s="36"/>
      <c r="E23" s="37">
        <v>3</v>
      </c>
      <c r="F23" s="17"/>
      <c r="G23" s="33"/>
      <c r="H23" s="13"/>
    </row>
    <row r="24" spans="1:8" ht="12.75">
      <c r="A24" s="9">
        <v>22</v>
      </c>
      <c r="B24" s="34">
        <v>24161600005</v>
      </c>
      <c r="C24" s="35" t="s">
        <v>1508</v>
      </c>
      <c r="D24" s="36"/>
      <c r="E24" s="37">
        <v>12</v>
      </c>
      <c r="F24" s="17"/>
      <c r="G24" s="38" t="s">
        <v>1509</v>
      </c>
      <c r="H24" s="13"/>
    </row>
    <row r="25" spans="1:8">
      <c r="A25" s="9">
        <v>23</v>
      </c>
      <c r="B25" s="34">
        <v>24161600004</v>
      </c>
      <c r="C25" s="35" t="s">
        <v>1510</v>
      </c>
      <c r="D25" s="36"/>
      <c r="E25" s="37">
        <f>E26+E27-12</f>
        <v>29</v>
      </c>
      <c r="F25" s="17"/>
      <c r="G25" s="33"/>
      <c r="H25" s="13"/>
    </row>
    <row r="26" spans="1:8">
      <c r="A26" s="9">
        <v>24</v>
      </c>
      <c r="B26" s="34">
        <v>24160200009</v>
      </c>
      <c r="C26" s="35" t="s">
        <v>1511</v>
      </c>
      <c r="D26" s="36"/>
      <c r="E26" s="37">
        <v>22</v>
      </c>
      <c r="F26" s="17"/>
      <c r="G26" s="33"/>
      <c r="H26" s="13"/>
    </row>
    <row r="27" spans="1:8">
      <c r="A27" s="9">
        <v>25</v>
      </c>
      <c r="B27" s="34">
        <v>24160200008</v>
      </c>
      <c r="C27" s="35" t="s">
        <v>1512</v>
      </c>
      <c r="D27" s="36"/>
      <c r="E27" s="37">
        <v>19</v>
      </c>
      <c r="F27" s="17"/>
      <c r="G27" s="33"/>
      <c r="H27" s="13"/>
    </row>
    <row r="28" spans="1:8">
      <c r="A28" s="9">
        <v>26</v>
      </c>
      <c r="B28" s="34">
        <v>24160300011</v>
      </c>
      <c r="C28" s="35" t="s">
        <v>1513</v>
      </c>
      <c r="D28" s="36"/>
      <c r="E28" s="37">
        <v>1</v>
      </c>
      <c r="F28" s="17"/>
      <c r="G28" s="33"/>
      <c r="H28" s="13"/>
    </row>
    <row r="29" spans="1:8">
      <c r="A29" s="9">
        <v>27</v>
      </c>
      <c r="B29" s="34" t="s">
        <v>1514</v>
      </c>
      <c r="C29" s="35" t="s">
        <v>1515</v>
      </c>
      <c r="D29" s="36"/>
      <c r="E29" s="37">
        <f>19*16</f>
        <v>304</v>
      </c>
      <c r="F29" s="17"/>
      <c r="G29" s="33"/>
      <c r="H29" s="13"/>
    </row>
    <row r="30" spans="1:8">
      <c r="A30" s="9">
        <v>28</v>
      </c>
      <c r="B30" s="34"/>
      <c r="C30" s="35"/>
      <c r="D30" s="36"/>
      <c r="E30" s="37"/>
      <c r="F30" s="17"/>
      <c r="G30" s="33"/>
      <c r="H30" s="13"/>
    </row>
    <row r="31" spans="1:8">
      <c r="A31" s="9"/>
      <c r="B31" s="34"/>
      <c r="C31" s="35"/>
      <c r="D31" s="36"/>
      <c r="E31" s="37"/>
      <c r="F31" s="17"/>
      <c r="G31" s="33"/>
      <c r="H31" s="13"/>
    </row>
    <row r="32" spans="1:8">
      <c r="A32" s="9"/>
      <c r="B32" s="34"/>
      <c r="C32" s="35"/>
      <c r="D32" s="36"/>
      <c r="E32" s="37"/>
      <c r="F32" s="17"/>
      <c r="G32" s="33"/>
      <c r="H32" s="13"/>
    </row>
    <row r="33" spans="1:8">
      <c r="A33" s="9"/>
      <c r="B33" s="34"/>
      <c r="C33" s="35"/>
      <c r="D33" s="36"/>
      <c r="E33" s="37"/>
      <c r="F33" s="17"/>
      <c r="G33" s="33"/>
      <c r="H33" s="13"/>
    </row>
    <row r="34" spans="1:8">
      <c r="A34" s="9"/>
      <c r="B34" s="34"/>
      <c r="C34" s="35"/>
      <c r="D34" s="36"/>
      <c r="E34" s="37"/>
      <c r="F34" s="17"/>
      <c r="G34" s="33"/>
      <c r="H34" s="13"/>
    </row>
    <row r="35" spans="1:8">
      <c r="A35" s="9"/>
      <c r="B35" s="34"/>
      <c r="C35" s="35"/>
      <c r="D35" s="36"/>
      <c r="E35" s="37"/>
      <c r="F35" s="17"/>
      <c r="G35" s="33"/>
      <c r="H35" s="13"/>
    </row>
    <row r="36" spans="1:8">
      <c r="A36" s="9"/>
      <c r="B36" s="34"/>
      <c r="C36" s="35"/>
      <c r="D36" s="36"/>
      <c r="E36" s="37"/>
      <c r="F36" s="17"/>
      <c r="G36" s="33"/>
      <c r="H36" s="13"/>
    </row>
    <row r="37" spans="1:8">
      <c r="A37" s="9"/>
      <c r="B37" s="34"/>
      <c r="C37" s="35"/>
      <c r="D37" s="36"/>
      <c r="E37" s="37"/>
      <c r="F37" s="17"/>
      <c r="G37" s="33"/>
      <c r="H37" s="13"/>
    </row>
  </sheetData>
  <protectedRanges>
    <protectedRange sqref="B2:H2 D3:E3 G3:H3 H4:H27" name="区域1" securityDescriptor=""/>
  </protectedRanges>
  <phoneticPr fontId="68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项目描述</vt:lpstr>
      <vt:lpstr>MCCY1_2</vt:lpstr>
      <vt:lpstr>MCCY3</vt:lpstr>
      <vt:lpstr>PLC</vt:lpstr>
      <vt:lpstr>布局图</vt:lpstr>
      <vt:lpstr>材料汇总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耿广良</dc:creator>
  <cp:lastModifiedBy>Windows 用户</cp:lastModifiedBy>
  <dcterms:created xsi:type="dcterms:W3CDTF">2022-02-18T17:22:39Z</dcterms:created>
  <dcterms:modified xsi:type="dcterms:W3CDTF">2022-04-20T11:55:06Z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  <property fmtid="{D5CDD505-2E9C-101B-9397-08002B2CF9AE}" pid="3" name="ICV">
    <vt:lpwstr>41426E4C364A4310A01FEFAC517B04D5</vt:lpwstr>
  </property>
</Properties>
</file>