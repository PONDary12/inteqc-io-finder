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ปี2565\SCADA INTAKE2\"/>
    </mc:Choice>
  </mc:AlternateContent>
  <bookViews>
    <workbookView xWindow="0" yWindow="0" windowWidth="28800" windowHeight="11880" tabRatio="566"/>
  </bookViews>
  <sheets>
    <sheet name="Epuipment MC Intake" sheetId="4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i">#N/A</definedName>
    <definedName name="\l" localSheetId="0">#REF!</definedName>
    <definedName name="\l">#REF!</definedName>
    <definedName name="\o">#N/A</definedName>
    <definedName name="\p" localSheetId="0">#REF!</definedName>
    <definedName name="\p">#REF!</definedName>
    <definedName name="\q">#N/A</definedName>
    <definedName name="\r" localSheetId="0">#REF!</definedName>
    <definedName name="\r">#REF!</definedName>
    <definedName name="\S" localSheetId="0">#REF!</definedName>
    <definedName name="\S">#REF!</definedName>
    <definedName name="\w" localSheetId="0">#REF!</definedName>
    <definedName name="\w">#REF!</definedName>
    <definedName name="\x" localSheetId="0">#REF!</definedName>
    <definedName name="\x">#REF!</definedName>
    <definedName name="\z" localSheetId="0">#REF!</definedName>
    <definedName name="\z">#REF!</definedName>
    <definedName name="__1_0" localSheetId="0">[1]PRICE!#REF!</definedName>
    <definedName name="__1_0">[1]PRICE!#REF!</definedName>
    <definedName name="__123Graph_A" hidden="1">'[2]LYS-025C'!$W$11:$W$27</definedName>
    <definedName name="__123Graph_B" hidden="1">'[2]LYS-025C'!$X$11:$X$28</definedName>
    <definedName name="__123Graph_C" localSheetId="0" hidden="1">'[2]LYS-025C'!$Y$11:$Y$28</definedName>
    <definedName name="__123Graph_C" hidden="1">[3]AHU!#REF!</definedName>
    <definedName name="__123Graph_D" localSheetId="0" hidden="1">[4]FR!#REF!</definedName>
    <definedName name="__123Graph_D" hidden="1">[4]FR!#REF!</definedName>
    <definedName name="__123Graph_X" localSheetId="0" hidden="1">'[2]LYS-025C'!$V$11:$V$28</definedName>
    <definedName name="__123Graph_X" hidden="1">'[5]LYS-025C'!$V$11:$V$28</definedName>
    <definedName name="_1_0" localSheetId="0">[1]PRICE!#REF!</definedName>
    <definedName name="_1_0">[1]PRICE!#REF!</definedName>
    <definedName name="_A123" localSheetId="0" hidden="1">'[6]LYS-025C'!$V$11:$V$28</definedName>
    <definedName name="_A123" hidden="1">'[7]LYS-025C'!$V$11:$V$28</definedName>
    <definedName name="_As123" localSheetId="0" hidden="1">'[8]LYS-025C'!$W$11:$W$27</definedName>
    <definedName name="_As123" hidden="1">'[9]LYS-025C'!$W$11:$W$27</definedName>
    <definedName name="_as124" localSheetId="0" hidden="1">'[10]LYS-025C'!$Y$11:$Y$28</definedName>
    <definedName name="_as124" hidden="1">'[11]LYS-025C'!$Y$11:$Y$28</definedName>
    <definedName name="_Fill" localSheetId="0" hidden="1">'[12]GH-10-05'!$R$125</definedName>
    <definedName name="_Fill" hidden="1">#REF!</definedName>
    <definedName name="_Key1" localSheetId="0" hidden="1">'[12]GH-10-05'!$B$6:$B$16</definedName>
    <definedName name="_Key1" hidden="1">#REF!</definedName>
    <definedName name="_Order1" hidden="1">255</definedName>
    <definedName name="_Order2" hidden="1">0</definedName>
    <definedName name="_PO89" localSheetId="0" hidden="1">'[13]LYS-025C'!$V$11:$V$28</definedName>
    <definedName name="_PO89" hidden="1">'[14]LYS-025C'!$V$11:$V$28</definedName>
    <definedName name="_QA125" localSheetId="0">'[13]LYS-025C'!$X$11:$X$28</definedName>
    <definedName name="_QA125">'[14]LYS-025C'!$X$11:$X$28</definedName>
    <definedName name="_Regression_Out" localSheetId="0" hidden="1">'[12]GH-10-05'!$A$165</definedName>
    <definedName name="_Regression_Out" hidden="1">'[15]GH-10-05'!$A$165</definedName>
    <definedName name="_Regression_X" localSheetId="0" hidden="1">'[12]GH-10-05'!$G$6:$G$16</definedName>
    <definedName name="_Regression_X" hidden="1">'[15]GH-10-05'!$G$6:$G$16</definedName>
    <definedName name="_Regression_Y" localSheetId="0" hidden="1">'[12]GH-10-05'!$U$6:$U$16</definedName>
    <definedName name="_Regression_Y" hidden="1">'[15]GH-10-05'!$U$6:$U$16</definedName>
    <definedName name="_SF2010" localSheetId="0">#REF!</definedName>
    <definedName name="_SF2010">#REF!</definedName>
    <definedName name="_Sort" localSheetId="0" hidden="1">'[12]GH-10-05'!$B$6:$V$16</definedName>
    <definedName name="_Sort" hidden="1">#REF!</definedName>
    <definedName name="_Wa14" localSheetId="0">'[8]LYS-025C'!$A$1:$R$51</definedName>
    <definedName name="_Wa14">'[9]LYS-025C'!$A$1:$R$51</definedName>
    <definedName name="A" localSheetId="0">'[6]LYS-025C'!$X$11:$X$28</definedName>
    <definedName name="a" hidden="1">{"'Bidfailed'!$D$2:$AB$14","'Bidfailed'!$D$4:$AB$4"}</definedName>
    <definedName name="Aa" localSheetId="0">'[16]LYS-025C'!$X$11:$X$28</definedName>
    <definedName name="aa" hidden="1">[3]AHU!#REF!</definedName>
    <definedName name="aaa" localSheetId="0" hidden="1">'[17]LYS-025C'!$W$11:$W$27</definedName>
    <definedName name="aaa">Act [18]Plan!$B$8:$Q$8</definedName>
    <definedName name="aaaa" localSheetId="0">Act [18]Plan!$B$8:$Q$8</definedName>
    <definedName name="aaaa">Act [18]Plan!$B$8:$Q$8</definedName>
    <definedName name="aaaaaa" localSheetId="0">Act [18]Plan!$B$8:$Q$8</definedName>
    <definedName name="aaaaaa">Act [18]Plan!$B$8:$Q$8</definedName>
    <definedName name="aas" localSheetId="0">Act [18]Plan!$B$8:$Q$8</definedName>
    <definedName name="aas">Act [18]Plan!$B$8:$Q$8</definedName>
    <definedName name="AB" localSheetId="0" hidden="1">'[8]LYS-025C'!$X$11:$X$28</definedName>
    <definedName name="ab">#REF!</definedName>
    <definedName name="abc" localSheetId="0">#REF!</definedName>
    <definedName name="ABC">#REF!</definedName>
    <definedName name="abh" localSheetId="0">#REF!</definedName>
    <definedName name="abh">#REF!</definedName>
    <definedName name="ac" localSheetId="0">#REF!</definedName>
    <definedName name="ac">#REF!</definedName>
    <definedName name="adeas" localSheetId="0" hidden="1">'[19]LYS-025C'!$V$11:$V$28</definedName>
    <definedName name="adeas" hidden="1">'[20]LYS-025C'!$V$11:$V$28</definedName>
    <definedName name="adg" localSheetId="0">#REF!</definedName>
    <definedName name="adg">#REF!</definedName>
    <definedName name="aeas" localSheetId="0">#REF!</definedName>
    <definedName name="aeas">#REF!</definedName>
    <definedName name="aeb" localSheetId="0">#REF!</definedName>
    <definedName name="aeb">#REF!</definedName>
    <definedName name="aee" localSheetId="0">#REF!</definedName>
    <definedName name="aee">#REF!</definedName>
    <definedName name="agb" localSheetId="0">#REF!</definedName>
    <definedName name="agb">#REF!</definedName>
    <definedName name="aj" localSheetId="0">[21]extruder!#REF!</definedName>
    <definedName name="aj">[21]extruder!#REF!</definedName>
    <definedName name="ALL" localSheetId="0">#REF!</definedName>
    <definedName name="ALL">#REF!</definedName>
    <definedName name="aqa" localSheetId="0">#REF!</definedName>
    <definedName name="aqa">#REF!</definedName>
    <definedName name="Arrival_rate">[22]THISWORKSHEET!$B$7</definedName>
    <definedName name="as" localSheetId="0">'[23]LYS-025C'!$V$11:$V$28</definedName>
    <definedName name="as">#REF!</definedName>
    <definedName name="asdsd" localSheetId="0">#REF!</definedName>
    <definedName name="asdsd">#REF!</definedName>
    <definedName name="ase" localSheetId="0">#REF!</definedName>
    <definedName name="ase">#REF!</definedName>
    <definedName name="ass" localSheetId="0" hidden="1">'[19]LYS-025C'!$X$11:$X$28</definedName>
    <definedName name="ass" hidden="1">'[20]LYS-025C'!$X$11:$X$28</definedName>
    <definedName name="at" localSheetId="0">#REF!</definedName>
    <definedName name="at">#REF!</definedName>
    <definedName name="Atex" localSheetId="0">[24]Keuzelijsten!#REF!</definedName>
    <definedName name="Atex">[25]Keuzelijsten!#REF!</definedName>
    <definedName name="att" localSheetId="0">#REF!</definedName>
    <definedName name="att">#REF!</definedName>
    <definedName name="AV_RATE" localSheetId="0">#REF!</definedName>
    <definedName name="AV_RATE">#REF!</definedName>
    <definedName name="awe" localSheetId="0">#REF!</definedName>
    <definedName name="awe">#REF!</definedName>
    <definedName name="b" localSheetId="0">#REF!</definedName>
    <definedName name="b">#REF!</definedName>
    <definedName name="bb" localSheetId="0">Act [18]Plan!$B$8:$Q$8</definedName>
    <definedName name="bb">Act [18]Plan!$B$8:$Q$8</definedName>
    <definedName name="bbbb" localSheetId="0">Act [18]Plan!$B$8:$Q$8</definedName>
    <definedName name="bbbb">Act [18]Plan!$B$8:$Q$8</definedName>
    <definedName name="BC">[26]LookupData!$B$19:$B$40</definedName>
    <definedName name="BG">[26]LookupData!$E$3:$E$5</definedName>
    <definedName name="BOM" localSheetId="0">#REF!</definedName>
    <definedName name="BOM">#REF!</definedName>
    <definedName name="boq" localSheetId="0">#REF!</definedName>
    <definedName name="boq">#REF!</definedName>
    <definedName name="boy" localSheetId="0">#REF!</definedName>
    <definedName name="boy">#REF!</definedName>
    <definedName name="BudgetGroup">[27]Budget!$W$4:$W$8</definedName>
    <definedName name="BudgetGroupAll">[27]Budget!$C$4:$C$63</definedName>
    <definedName name="BudgetName">[27]Budget!$B$4:$B$63</definedName>
    <definedName name="C_MSG" localSheetId="0">#REF!</definedName>
    <definedName name="C_MSG">#REF!</definedName>
    <definedName name="C_MSG_A" localSheetId="0">#REF!</definedName>
    <definedName name="C_MSG_A">#REF!</definedName>
    <definedName name="CAL_T_XL100" localSheetId="0">#REF!</definedName>
    <definedName name="CAL_T_XL100">#REF!</definedName>
    <definedName name="CAL_T_XL500" localSheetId="0">#REF!</definedName>
    <definedName name="CAL_T_XL500">#REF!</definedName>
    <definedName name="capacityunit" localSheetId="0">[28]data!$H$1:$H$40</definedName>
    <definedName name="capacityunit">[29]data!$H$1:$H$40</definedName>
    <definedName name="Car">[26]LookupData!$E$47:$E$195</definedName>
    <definedName name="ccc" localSheetId="0">#REF!</definedName>
    <definedName name="ccc">#REF!</definedName>
    <definedName name="cds" localSheetId="0">#REF!</definedName>
    <definedName name="cds">#REF!</definedName>
    <definedName name="changecolor" localSheetId="0">[30]!changecolor</definedName>
    <definedName name="changecolor">[30]!changecolor</definedName>
    <definedName name="cjos" localSheetId="0">#REF!</definedName>
    <definedName name="cjos">#REF!</definedName>
    <definedName name="cnclathe" localSheetId="0" hidden="1">{"'Bidfailed'!$D$2:$AB$14","'Bidfailed'!$D$4:$AB$4"}</definedName>
    <definedName name="cnclathe" hidden="1">{"'Bidfailed'!$D$2:$AB$14","'Bidfailed'!$D$4:$AB$4"}</definedName>
    <definedName name="cncmilling6000" localSheetId="0" hidden="1">{"'Bidfailed'!$D$2:$AB$14","'Bidfailed'!$D$4:$AB$4"}</definedName>
    <definedName name="cncmilling6000" hidden="1">{"'Bidfailed'!$D$2:$AB$14","'Bidfailed'!$D$4:$AB$4"}</definedName>
    <definedName name="code1" localSheetId="0">#REF!</definedName>
    <definedName name="code1">#REF!</definedName>
    <definedName name="code2" localSheetId="0">#REF!</definedName>
    <definedName name="code2">#REF!</definedName>
    <definedName name="code3" localSheetId="0">#REF!</definedName>
    <definedName name="code3">#REF!</definedName>
    <definedName name="code4" localSheetId="0">#REF!</definedName>
    <definedName name="code4">#REF!</definedName>
    <definedName name="code5" localSheetId="0">#REF!</definedName>
    <definedName name="code5">#REF!</definedName>
    <definedName name="code6" localSheetId="0">#REF!</definedName>
    <definedName name="code6">#REF!</definedName>
    <definedName name="CodeAll">[27]Budget!$A$4:$A$63</definedName>
    <definedName name="color_CANCEL" localSheetId="0">[30]!color_CANCEL</definedName>
    <definedName name="color_CANCEL">[30]!color_CANCEL</definedName>
    <definedName name="color_DEFAULT" localSheetId="0">[30]!color_DEFAULT</definedName>
    <definedName name="color_DEFAULT">[30]!color_DEFAULT</definedName>
    <definedName name="color_OK" localSheetId="0">[30]!color_OK</definedName>
    <definedName name="color_OK">[30]!color_OK</definedName>
    <definedName name="colorlist_change" localSheetId="0">[30]!colorlist_change</definedName>
    <definedName name="colorlist_change">[30]!colorlist_change</definedName>
    <definedName name="COMPLETE" localSheetId="0">#REF!</definedName>
    <definedName name="COMPLETE">#REF!</definedName>
    <definedName name="CUONT" localSheetId="0">#REF!</definedName>
    <definedName name="CUONT">#REF!</definedName>
    <definedName name="currency" localSheetId="0">[28]data!$D$1:$D$27</definedName>
    <definedName name="currency">[29]data!$D$1:$D$27</definedName>
    <definedName name="Customer" localSheetId="0">#REF!</definedName>
    <definedName name="Customer">#REF!</definedName>
    <definedName name="cx" localSheetId="0">#REF!</definedName>
    <definedName name="cx">#REF!</definedName>
    <definedName name="d" localSheetId="0">#REF!</definedName>
    <definedName name="d">#REF!</definedName>
    <definedName name="Da" localSheetId="0">#REF!</definedName>
    <definedName name="Da">#REF!</definedName>
    <definedName name="daf" localSheetId="0">#REF!</definedName>
    <definedName name="daf">#REF!</definedName>
    <definedName name="_xlnm.Database" localSheetId="0">#REF!</definedName>
    <definedName name="_xlnm.Database">#REF!</definedName>
    <definedName name="dc" localSheetId="0">#REF!</definedName>
    <definedName name="dc">#REF!</definedName>
    <definedName name="de" localSheetId="0">#REF!</definedName>
    <definedName name="de">#REF!</definedName>
    <definedName name="Dec" localSheetId="0" hidden="1">{"'Bidfailed'!$D$2:$AB$14","'Bidfailed'!$D$4:$AB$4"}</definedName>
    <definedName name="Dec" hidden="1">{"'Bidfailed'!$D$2:$AB$14","'Bidfailed'!$D$4:$AB$4"}</definedName>
    <definedName name="deeetr" localSheetId="0">#REF!</definedName>
    <definedName name="deeetr">#REF!</definedName>
    <definedName name="def" localSheetId="0">#REF!</definedName>
    <definedName name="def">#REF!</definedName>
    <definedName name="Degree">[26]LookupData!$B$156:$B$165</definedName>
    <definedName name="DelTerms" localSheetId="0">#REF!</definedName>
    <definedName name="DelTerms">#REF!</definedName>
    <definedName name="DelTime" localSheetId="0">#REF!</definedName>
    <definedName name="DelTime">#REF!</definedName>
    <definedName name="devl" localSheetId="0" hidden="1">{"'Bidfailed'!$D$2:$AB$14","'Bidfailed'!$D$4:$AB$4"}</definedName>
    <definedName name="devl" hidden="1">{"'Bidfailed'!$D$2:$AB$14","'Bidfailed'!$D$4:$AB$4"}</definedName>
    <definedName name="dfa" localSheetId="0">#REF!</definedName>
    <definedName name="dfa">#REF!</definedName>
    <definedName name="dfjdkjfld" localSheetId="0">#REF!</definedName>
    <definedName name="dfjdkjfld">#REF!</definedName>
    <definedName name="dfw" localSheetId="0">#REF!</definedName>
    <definedName name="dfw">#REF!</definedName>
    <definedName name="DISCOUNT" localSheetId="0">#REF!</definedName>
    <definedName name="DISCOUNT">#REF!</definedName>
    <definedName name="DM" localSheetId="0">#REF!</definedName>
    <definedName name="DM">#REF!</definedName>
    <definedName name="DOL" localSheetId="0">#REF!</definedName>
    <definedName name="DOL">#REF!</definedName>
    <definedName name="ea" localSheetId="0">#REF!</definedName>
    <definedName name="ea">#REF!</definedName>
    <definedName name="ea07_34" localSheetId="0" hidden="1">'[31]LYS-025C'!$V$11:$V$28</definedName>
    <definedName name="ea07_34" hidden="1">'[32]LYS-025C'!$V$11:$V$28</definedName>
    <definedName name="easet" localSheetId="0">#REF!</definedName>
    <definedName name="easet">#REF!</definedName>
    <definedName name="east" localSheetId="0">#REF!</definedName>
    <definedName name="east">#REF!</definedName>
    <definedName name="ee" localSheetId="0">#REF!</definedName>
    <definedName name="ee">#REF!</definedName>
    <definedName name="eee" localSheetId="0">#REF!</definedName>
    <definedName name="eee">#REF!</definedName>
    <definedName name="eeeeeee" localSheetId="0">#REF!</definedName>
    <definedName name="eeeeeee">#REF!</definedName>
    <definedName name="eeeeeeee" localSheetId="0">#REF!</definedName>
    <definedName name="eeeeeeee">#REF!</definedName>
    <definedName name="ej" localSheetId="0">#REF!</definedName>
    <definedName name="ej">#REF!</definedName>
    <definedName name="END" localSheetId="0">#REF!</definedName>
    <definedName name="END">#REF!</definedName>
    <definedName name="excutive" localSheetId="0">#REF!</definedName>
    <definedName name="excutive">#REF!</definedName>
    <definedName name="fabr" localSheetId="0" hidden="1">{"'Bidfailed'!$D$2:$AB$14","'Bidfailed'!$D$4:$AB$4"}</definedName>
    <definedName name="fabr" hidden="1">{"'Bidfailed'!$D$2:$AB$14","'Bidfailed'!$D$4:$AB$4"}</definedName>
    <definedName name="fdfsdf" localSheetId="0">#REF!</definedName>
    <definedName name="fdfsdf">#REF!</definedName>
    <definedName name="Feb" localSheetId="0" hidden="1">#REF!</definedName>
    <definedName name="Feb" hidden="1">#REF!</definedName>
    <definedName name="ff" localSheetId="0">Act [18]Plan!$B$8:$Q$8</definedName>
    <definedName name="ff">Act [18]Plan!$B$8:$Q$8</definedName>
    <definedName name="fffffffff" localSheetId="0">#REF!</definedName>
    <definedName name="fffffffff">#REF!</definedName>
    <definedName name="fg" localSheetId="0">#REF!</definedName>
    <definedName name="fg">#REF!</definedName>
    <definedName name="fgd" localSheetId="0">#REF!</definedName>
    <definedName name="fgd">#REF!</definedName>
    <definedName name="file1">[33]result!$A$2:$P$49</definedName>
    <definedName name="FILL" localSheetId="0">#REF!</definedName>
    <definedName name="FILL">#REF!</definedName>
    <definedName name="FiveYPLN" localSheetId="0" hidden="1">{"'Bidfailed'!$D$2:$AB$14","'Bidfailed'!$D$4:$AB$4"}</definedName>
    <definedName name="FiveYPLN" hidden="1">{"'Bidfailed'!$D$2:$AB$14","'Bidfailed'!$D$4:$AB$4"}</definedName>
    <definedName name="FOOD" localSheetId="0">#REF!</definedName>
    <definedName name="FOOD">#REF!</definedName>
    <definedName name="fsdfsdf" localSheetId="0">#REF!</definedName>
    <definedName name="fsdfsdf">#REF!</definedName>
    <definedName name="ft" localSheetId="0">#REF!</definedName>
    <definedName name="ft">#REF!</definedName>
    <definedName name="fx" localSheetId="0">#REF!</definedName>
    <definedName name="fx">#REF!</definedName>
    <definedName name="g" localSheetId="0">#REF!</definedName>
    <definedName name="g">#REF!</definedName>
    <definedName name="ga" localSheetId="0" hidden="1">'[34]LYS-025C'!$W$11:$W$27</definedName>
    <definedName name="ga" hidden="1">'[35]LYS-025C'!$W$11:$W$27</definedName>
    <definedName name="gh" localSheetId="0" hidden="1">'[19]LYS-025C'!$W$11:$W$27</definedName>
    <definedName name="gh" hidden="1">'[20]LYS-025C'!$W$11:$W$27</definedName>
    <definedName name="ghghgh" localSheetId="0">'[19]LYS-025C'!$A$1:$R$51</definedName>
    <definedName name="ghghgh">'[20]LYS-025C'!$A$1:$R$51</definedName>
    <definedName name="GPAustralia" localSheetId="0">#REF!</definedName>
    <definedName name="GPAustralia">#REF!</definedName>
    <definedName name="GPDeviceEdward" localSheetId="0">#REF!</definedName>
    <definedName name="GPDeviceEdward">#REF!</definedName>
    <definedName name="GPDeviceIL10" localSheetId="0">#REF!</definedName>
    <definedName name="GPDeviceIL10">#REF!</definedName>
    <definedName name="GPDeviceLocal" localSheetId="0">#REF!</definedName>
    <definedName name="GPDeviceLocal">#REF!</definedName>
    <definedName name="GPDeviceSystemSensor" localSheetId="0">#REF!</definedName>
    <definedName name="GPDeviceSystemSensor">#REF!</definedName>
    <definedName name="GPEDWARD2" localSheetId="0">#REF!</definedName>
    <definedName name="GPEDWARD2">#REF!</definedName>
    <definedName name="GPEngineer" localSheetId="0">#REF!</definedName>
    <definedName name="GPEngineer">#REF!</definedName>
    <definedName name="GPEWARD" localSheetId="0">#REF!</definedName>
    <definedName name="GPEWARD">#REF!</definedName>
    <definedName name="GPFirePanel" localSheetId="0">#REF!</definedName>
    <definedName name="GPFirePanel">#REF!</definedName>
    <definedName name="GPGermany" localSheetId="0">#REF!</definedName>
    <definedName name="GPGermany">#REF!</definedName>
    <definedName name="GPGreystone" localSheetId="0">#REF!</definedName>
    <definedName name="GPGreystone">#REF!</definedName>
    <definedName name="GPMamac" localSheetId="0">#REF!</definedName>
    <definedName name="GPMamac">#REF!</definedName>
    <definedName name="GPPCSC" localSheetId="0">#REF!</definedName>
    <definedName name="GPPCSC">#REF!</definedName>
    <definedName name="GPWSE" localSheetId="0">#REF!</definedName>
    <definedName name="GPWSE">#REF!</definedName>
    <definedName name="graph" localSheetId="0">[30]!changecolor</definedName>
    <definedName name="graph">[30]!changecolor</definedName>
    <definedName name="GroupCode">[27]Budget!$V$4:$V$8</definedName>
    <definedName name="gtry" localSheetId="0">#REF!</definedName>
    <definedName name="gtry">#REF!</definedName>
    <definedName name="hadju" localSheetId="0">#REF!</definedName>
    <definedName name="hadju">#REF!</definedName>
    <definedName name="hfjg" localSheetId="0">#REF!</definedName>
    <definedName name="hfjg">#REF!</definedName>
    <definedName name="HHJ" localSheetId="0">#REF!</definedName>
    <definedName name="HHJ">#REF!</definedName>
    <definedName name="hj" localSheetId="0">#REF!</definedName>
    <definedName name="hj">#REF!</definedName>
    <definedName name="hour">[26]LookupData!$B$1:$B$9</definedName>
    <definedName name="HRD">[26]LookupData!$A$144:$A$153</definedName>
    <definedName name="HRM">[26]LookupData!$A$132:$A$141</definedName>
    <definedName name="HRSystem">[26]LookupData!$B$11:$B$16</definedName>
    <definedName name="HTML_CodePage" hidden="1">874</definedName>
    <definedName name="HTML_Control" localSheetId="0" hidden="1">{"'Bidfailed'!$D$2:$AB$14","'Bidfailed'!$D$4:$AB$4"}</definedName>
    <definedName name="HTML_Control" hidden="1">{"'Bidfailed'!$D$2:$AB$14","'Bidfailed'!$D$4:$AB$4"}</definedName>
    <definedName name="HTML_Description" hidden="1">""</definedName>
    <definedName name="HTML_Email" hidden="1">""</definedName>
    <definedName name="HTML_Header" hidden="1">"Bidfailed"</definedName>
    <definedName name="HTML_LastUpdate" hidden="1">"26/03/2001"</definedName>
    <definedName name="HTML_LineAfter" hidden="1">FALSE</definedName>
    <definedName name="HTML_LineBefore" hidden="1">FALSE</definedName>
    <definedName name="HTML_Name" hidden="1">"Y. Surachai"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"QMS-02-2001"</definedName>
    <definedName name="HWLEQPT" localSheetId="0">[36]BOQ!#REF!</definedName>
    <definedName name="HWLEQPT">[36]BOQ!#REF!</definedName>
    <definedName name="import_gp1" localSheetId="0">#REF!</definedName>
    <definedName name="import_gp1">#REF!</definedName>
    <definedName name="import_gp2" localSheetId="0">#REF!</definedName>
    <definedName name="import_gp2">#REF!</definedName>
    <definedName name="InputTarget">OFFSET([27]Data!$A$1,COUNTA([27]Data!$A:$A),0)</definedName>
    <definedName name="Investment" localSheetId="0" hidden="1">{"'Bidfailed'!$D$2:$AB$14","'Bidfailed'!$D$4:$AB$4"}</definedName>
    <definedName name="Investment" hidden="1">{"'Bidfailed'!$D$2:$AB$14","'Bidfailed'!$D$4:$AB$4"}</definedName>
    <definedName name="IO_No" localSheetId="0">#REF!</definedName>
    <definedName name="IO_No">#REF!</definedName>
    <definedName name="IO_Same" localSheetId="0">#REF!</definedName>
    <definedName name="IO_Same">#REF!</definedName>
    <definedName name="Jad">[26]LookupData!$E$41:$E$42</definedName>
    <definedName name="Job_Name">[37]summary_p2!$C$9</definedName>
    <definedName name="k" localSheetId="0" hidden="1">'[38]GH-5-06'!$U$6:$U$16</definedName>
    <definedName name="k" hidden="1">'[39]GH-5-06'!$U$6:$U$16</definedName>
    <definedName name="kgro" localSheetId="0">#REF!</definedName>
    <definedName name="kgro">#REF!</definedName>
    <definedName name="kkk" localSheetId="0">#REF!</definedName>
    <definedName name="kkk">#REF!</definedName>
    <definedName name="kolom1">[25]Keuzelijsten!$B$4:$B$104</definedName>
    <definedName name="kolom2">[25]Keuzelijsten!$D$4:$D$104</definedName>
    <definedName name="kolom3">[25]Keuzelijsten!$F$4:$F$104</definedName>
    <definedName name="kolom4">[25]Keuzelijsten!$H$4:$H$104</definedName>
    <definedName name="kolom5">[25]Keuzelijsten!$J$4:$J$104</definedName>
    <definedName name="kolom6">[25]Keuzelijsten!$L$4:$L$104</definedName>
    <definedName name="kolom7">[25]Keuzelijsten!$N$4:$N$104</definedName>
    <definedName name="lady">"Picture 223"</definedName>
    <definedName name="lambda">[22]THISWORKSHEET!$B$7</definedName>
    <definedName name="lll" localSheetId="0">Act [18]Plan!$B$8:$Q$8</definedName>
    <definedName name="lll">Act [18]Plan!$B$8:$Q$8</definedName>
    <definedName name="local_gp1" localSheetId="0">#REF!</definedName>
    <definedName name="local_gp1">#REF!</definedName>
    <definedName name="local_gp2" localSheetId="0">#REF!</definedName>
    <definedName name="local_gp2">#REF!</definedName>
    <definedName name="M_RATE" localSheetId="0">#REF!</definedName>
    <definedName name="M_RATE">#REF!</definedName>
    <definedName name="major" localSheetId="0">#REF!</definedName>
    <definedName name="major">#REF!</definedName>
    <definedName name="Mileage">[26]LookupData!$E$208:$E$216</definedName>
    <definedName name="MK" localSheetId="0">#REF!</definedName>
    <definedName name="MK">#REF!</definedName>
    <definedName name="MmExcelLinker_F3476D0C_F695_486F_8573_58EF3B3F58B4" localSheetId="0">Act [18]Plan!$B$8:$Q$8</definedName>
    <definedName name="MmExcelLinker_F3476D0C_F695_486F_8573_58EF3B3F58B4">Act [18]Plan!$B$8:$Q$8</definedName>
    <definedName name="mn" localSheetId="0">'[40]L-2 PIT'!#REF!</definedName>
    <definedName name="mn">#REF!</definedName>
    <definedName name="n" localSheetId="0" hidden="1">'[38]GH-5-06'!$R$125</definedName>
    <definedName name="N">#REF!</definedName>
    <definedName name="Name" localSheetId="0">#REF!</definedName>
    <definedName name="Name">#REF!</definedName>
    <definedName name="Nation2">[26]LookupData!$E$10:$E$18</definedName>
    <definedName name="ning" localSheetId="0" hidden="1">'[6]LYS-025C'!$W$11:$W$27</definedName>
    <definedName name="ning" hidden="1">'[7]LYS-025C'!$W$11:$W$27</definedName>
    <definedName name="ning1" localSheetId="0" hidden="1">'[23]LYS-025C'!$W$11:$W$27</definedName>
    <definedName name="ning1" hidden="1">'[41]LYS-025C'!$W$11:$W$27</definedName>
    <definedName name="ningjase" localSheetId="0" hidden="1">'[13]LYS-025C'!$W$11:$W$27</definedName>
    <definedName name="ningjase" hidden="1">'[14]LYS-025C'!$W$11:$W$27</definedName>
    <definedName name="no.3s" localSheetId="0">#REF!</definedName>
    <definedName name="no.3s">#REF!</definedName>
    <definedName name="nu" localSheetId="0">[28]data!$F$1:$F$2</definedName>
    <definedName name="nu">[29]data!$F$1:$F$2</definedName>
    <definedName name="omm" localSheetId="0" hidden="1">{"'Bidfailed'!$D$2:$AB$14","'Bidfailed'!$D$4:$AB$4"}</definedName>
    <definedName name="omm" hidden="1">{"'Bidfailed'!$D$2:$AB$14","'Bidfailed'!$D$4:$AB$4"}</definedName>
    <definedName name="OPE" localSheetId="0">[36]BOQ!#REF!</definedName>
    <definedName name="OPE">[36]BOQ!#REF!</definedName>
    <definedName name="P_MCE3" localSheetId="0">[42]EXCEL5000!#REF!</definedName>
    <definedName name="P_MCE3">[42]EXCEL5000!#REF!</definedName>
    <definedName name="P_XC5010B" localSheetId="0">[42]EXCEL5000!#REF!</definedName>
    <definedName name="P_XC5010B">[42]EXCEL5000!#REF!</definedName>
    <definedName name="P_XD505A" localSheetId="0">[42]EXCEL5000!#REF!</definedName>
    <definedName name="P_XD505A">[42]EXCEL5000!#REF!</definedName>
    <definedName name="P_XF522A" localSheetId="0">[42]EXCEL5000!#REF!</definedName>
    <definedName name="P_XF522A">[42]EXCEL5000!#REF!</definedName>
    <definedName name="P_XF523A" localSheetId="0">[42]EXCEL5000!#REF!</definedName>
    <definedName name="P_XF523A">[42]EXCEL5000!#REF!</definedName>
    <definedName name="P_XF524A" localSheetId="0">[42]EXCEL5000!#REF!</definedName>
    <definedName name="P_XF524A">[42]EXCEL5000!#REF!</definedName>
    <definedName name="P_XF526" localSheetId="0">[42]EXCEL5000!#REF!</definedName>
    <definedName name="P_XF526">[42]EXCEL5000!#REF!</definedName>
    <definedName name="P_XH561" localSheetId="0">[42]EXCEL5000!#REF!</definedName>
    <definedName name="P_XH561">[42]EXCEL5000!#REF!</definedName>
    <definedName name="P_XH562H" localSheetId="0">[42]EXCEL5000!#REF!</definedName>
    <definedName name="P_XH562H">[42]EXCEL5000!#REF!</definedName>
    <definedName name="P_XL100B" localSheetId="0">[42]EXCEL5000!#REF!</definedName>
    <definedName name="P_XL100B">[42]EXCEL5000!#REF!</definedName>
    <definedName name="P_XP502" localSheetId="0">[42]EXCEL5000!#REF!</definedName>
    <definedName name="P_XP502">[42]EXCEL5000!#REF!</definedName>
    <definedName name="P_XS563" localSheetId="0">[42]EXCEL5000!#REF!</definedName>
    <definedName name="P_XS563">[42]EXCEL5000!#REF!</definedName>
    <definedName name="P_XW569" localSheetId="0">[42]EXCEL5000!#REF!</definedName>
    <definedName name="P_XW569">[42]EXCEL5000!#REF!</definedName>
    <definedName name="PayTerms" localSheetId="0">#REF!</definedName>
    <definedName name="PayTerms">#REF!</definedName>
    <definedName name="Percents">[26]LookupData!$E$244:$E$251</definedName>
    <definedName name="Persons" localSheetId="0">#REF!</definedName>
    <definedName name="Persons">#REF!</definedName>
    <definedName name="PL" localSheetId="0" hidden="1">{"'Bidfailed'!$D$2:$AB$14","'Bidfailed'!$D$4:$AB$4"}</definedName>
    <definedName name="PL" hidden="1">{"'Bidfailed'!$D$2:$AB$14","'Bidfailed'!$D$4:$AB$4"}</definedName>
    <definedName name="POINT">'[43]TRACK TRANSIT SYSTEM'!$H$2:$N$2</definedName>
    <definedName name="POINT__ATTRIBUTES" localSheetId="0">'[44]II KV SWITCHGEAR SAT-A'!#REF!</definedName>
    <definedName name="POINT__ATTRIBUTES">'[44]II KV SWITCHGEAR SAT-A'!#REF!</definedName>
    <definedName name="Point_100" localSheetId="0">#REF!</definedName>
    <definedName name="Point_100">#REF!</definedName>
    <definedName name="Point_100_A" localSheetId="0">#REF!</definedName>
    <definedName name="Point_100_A">#REF!</definedName>
    <definedName name="Point_100_D" localSheetId="0">#REF!</definedName>
    <definedName name="Point_100_D">#REF!</definedName>
    <definedName name="Point_100_O" localSheetId="0">#REF!</definedName>
    <definedName name="Point_100_O">#REF!</definedName>
    <definedName name="Point_50" localSheetId="0">#REF!</definedName>
    <definedName name="Point_50">#REF!</definedName>
    <definedName name="Point_500" localSheetId="0">#REF!</definedName>
    <definedName name="Point_500">#REF!</definedName>
    <definedName name="Point_AI" localSheetId="0">#REF!</definedName>
    <definedName name="Point_AI">#REF!</definedName>
    <definedName name="Point_AO" localSheetId="0">#REF!</definedName>
    <definedName name="Point_AO">#REF!</definedName>
    <definedName name="Point_DI" localSheetId="0">#REF!</definedName>
    <definedName name="Point_DI">#REF!</definedName>
    <definedName name="Point_DO" localSheetId="0">#REF!</definedName>
    <definedName name="Point_DO">#REF!</definedName>
    <definedName name="Point_MCE" localSheetId="0">#REF!</definedName>
    <definedName name="Point_MCE">#REF!</definedName>
    <definedName name="Point_XL50_AI" localSheetId="0">#REF!</definedName>
    <definedName name="Point_XL50_AI">#REF!</definedName>
    <definedName name="Point_XL50_AO" localSheetId="0">#REF!</definedName>
    <definedName name="Point_XL50_AO">#REF!</definedName>
    <definedName name="Point_XL50_DI" localSheetId="0">#REF!</definedName>
    <definedName name="Point_XL50_DI">#REF!</definedName>
    <definedName name="Point_XL50_DO" localSheetId="0">#REF!</definedName>
    <definedName name="Point_XL50_DO">#REF!</definedName>
    <definedName name="Position">[26]LookupData!$A$156:$A$165</definedName>
    <definedName name="pp" localSheetId="0">#REF!</definedName>
    <definedName name="pp">#REF!</definedName>
    <definedName name="pppokk\" localSheetId="0">Act [18]Plan!$B$8:$Q$8</definedName>
    <definedName name="pppokk\">Act [18]Plan!$B$8:$Q$8</definedName>
    <definedName name="press" localSheetId="0">[45]data!$H$3:$M$79</definedName>
    <definedName name="press">[46]data!$H$3:$M$79</definedName>
    <definedName name="_xlnm.Print_Area">#REF!</definedName>
    <definedName name="PRINT_AREA_MI" localSheetId="0">#REF!</definedName>
    <definedName name="Print_Area_MI">#REF!</definedName>
    <definedName name="_xlnm.Print_Titles" localSheetId="0">'Epuipment MC Intake'!$1:$1</definedName>
    <definedName name="ProbremHRD">[26]LookupData!$A$192:$A$209</definedName>
    <definedName name="ProbremHRM">[26]LookupData!$A$169:$A$189</definedName>
    <definedName name="product" localSheetId="0">[28]data!$J$1</definedName>
    <definedName name="product">[29]data!$J$1</definedName>
    <definedName name="Proposal_No">[37]summary_p2!$C$7</definedName>
    <definedName name="Province" localSheetId="0">#REF!</definedName>
    <definedName name="Province">#REF!</definedName>
    <definedName name="Province_59" localSheetId="0">#REF!</definedName>
    <definedName name="Province_59">#REF!</definedName>
    <definedName name="Q" localSheetId="0">#REF!</definedName>
    <definedName name="q">'[47]สัปดาห์ 2- 03'!#REF!</definedName>
    <definedName name="qaaws" localSheetId="0" hidden="1">'[16]LYS-025C'!$V$11:$V$28</definedName>
    <definedName name="qaaws" hidden="1">'[48]LYS-025C'!$V$11:$V$28</definedName>
    <definedName name="qw" localSheetId="0">#REF!</definedName>
    <definedName name="qw">#REF!</definedName>
    <definedName name="report" hidden="1">'[49]LYS-025C'!$V$11:$V$28</definedName>
    <definedName name="report2">[33]result!$A$2:$P$49</definedName>
    <definedName name="repovh" localSheetId="0" hidden="1">{"'Bidfailed'!$D$2:$AB$14","'Bidfailed'!$D$4:$AB$4"}</definedName>
    <definedName name="repovh" hidden="1">{"'Bidfailed'!$D$2:$AB$14","'Bidfailed'!$D$4:$AB$4"}</definedName>
    <definedName name="Retirement">[26]LookupData!$E$31:$E$34</definedName>
    <definedName name="RM_E_MIX" localSheetId="0">#REF!</definedName>
    <definedName name="RM_E_MIX">#REF!</definedName>
    <definedName name="rol" localSheetId="0" hidden="1">{"'Bidfailed'!$D$2:$AB$14","'Bidfailed'!$D$4:$AB$4"}</definedName>
    <definedName name="rol" hidden="1">{"'Bidfailed'!$D$2:$AB$14","'Bidfailed'!$D$4:$AB$4"}</definedName>
    <definedName name="rr" localSheetId="0">#REF!</definedName>
    <definedName name="rr">#REF!</definedName>
    <definedName name="rrr" localSheetId="0">'[47]สัปดาห์ 2- 03'!#REF!</definedName>
    <definedName name="rrr">'[47]สัปดาห์ 2- 03'!#REF!</definedName>
    <definedName name="rt" localSheetId="0">#REF!</definedName>
    <definedName name="rt">#REF!</definedName>
    <definedName name="s" localSheetId="0">#REF!</definedName>
    <definedName name="s">#REF!</definedName>
    <definedName name="sa" localSheetId="0" hidden="1">'[19]LYS-025C'!$V$11:$V$28</definedName>
    <definedName name="sa" hidden="1">'[20]LYS-025C'!$V$11:$V$28</definedName>
    <definedName name="sacas" localSheetId="0" hidden="1">{"'Bidfailed'!$D$2:$AB$14","'Bidfailed'!$D$4:$AB$4"}</definedName>
    <definedName name="sacas" hidden="1">{"'Bidfailed'!$D$2:$AB$14","'Bidfailed'!$D$4:$AB$4"}</definedName>
    <definedName name="Sales_Stage_and_Oppt_Value" localSheetId="0">#REF!</definedName>
    <definedName name="Sales_Stage_and_Oppt_Value">#REF!</definedName>
    <definedName name="sasa" localSheetId="0" hidden="1">'[10]LYS-025C'!$V$11:$V$28</definedName>
    <definedName name="sasa" hidden="1">'[11]LYS-025C'!$V$11:$V$28</definedName>
    <definedName name="sds" localSheetId="0">#REF!</definedName>
    <definedName name="sds">#REF!</definedName>
    <definedName name="sdssddf" localSheetId="0">[50]extruder!#REF!</definedName>
    <definedName name="sdssddf">[50]extruder!#REF!</definedName>
    <definedName name="SelectGroup">[27]Report1!$B$3</definedName>
    <definedName name="SelRefer">[27]Budget!$B$3</definedName>
    <definedName name="setcolors" localSheetId="0">[51]!setcolors</definedName>
    <definedName name="setcolors">[51]!setcolors</definedName>
    <definedName name="SF" localSheetId="0">#REF!</definedName>
    <definedName name="SF">#REF!</definedName>
    <definedName name="SI" localSheetId="0">'[52]LYS-025C'!$A$1:$R$51</definedName>
    <definedName name="SI">'[53]LYS-025C'!$A$1:$R$51</definedName>
    <definedName name="SIN" localSheetId="0">#REF!</definedName>
    <definedName name="SIN">#REF!</definedName>
    <definedName name="Slot_No" localSheetId="0">#REF!</definedName>
    <definedName name="Slot_No">#REF!</definedName>
    <definedName name="sns" localSheetId="0" hidden="1">{"'Bidfailed'!$D$2:$AB$14","'Bidfailed'!$D$4:$AB$4"}</definedName>
    <definedName name="sns" hidden="1">{"'Bidfailed'!$D$2:$AB$14","'Bidfailed'!$D$4:$AB$4"}</definedName>
    <definedName name="SORT" localSheetId="0">#REF!</definedName>
    <definedName name="SORT">#REF!</definedName>
    <definedName name="SORTALL" localSheetId="0">#REF!</definedName>
    <definedName name="SORTALL">#REF!</definedName>
    <definedName name="Spare_Cap" localSheetId="0">#REF!</definedName>
    <definedName name="Spare_Cap">#REF!</definedName>
    <definedName name="sss" localSheetId="0">Act [18]Plan!$B$8:$Q$8</definedName>
    <definedName name="sss">Act [18]Plan!$B$8:$Q$8</definedName>
    <definedName name="STARTUP" localSheetId="0">#REF!</definedName>
    <definedName name="STARTUP">#REF!</definedName>
    <definedName name="SumNo">[26]LookupData!$E$219:$E$220</definedName>
    <definedName name="sw" localSheetId="0">#REF!</definedName>
    <definedName name="sw">#REF!</definedName>
    <definedName name="System">[26]LookupData!$E$231:$E$232</definedName>
    <definedName name="T_AI" localSheetId="0">#REF!</definedName>
    <definedName name="T_AI">#REF!</definedName>
    <definedName name="T_AO" localSheetId="0">#REF!</definedName>
    <definedName name="T_AO">#REF!</definedName>
    <definedName name="T_DI" localSheetId="0">#REF!</definedName>
    <definedName name="T_DI">#REF!</definedName>
    <definedName name="T_DO" localSheetId="0">#REF!</definedName>
    <definedName name="T_DO">#REF!</definedName>
    <definedName name="T_MCE3" localSheetId="0">#REF!</definedName>
    <definedName name="T_MCE3">#REF!</definedName>
    <definedName name="T_Point" localSheetId="0">#REF!</definedName>
    <definedName name="T_Point">#REF!</definedName>
    <definedName name="T_XC5010" localSheetId="0">#REF!</definedName>
    <definedName name="T_XC5010">#REF!</definedName>
    <definedName name="T_XC6010" localSheetId="0">#REF!</definedName>
    <definedName name="T_XC6010">#REF!</definedName>
    <definedName name="T_XD508" localSheetId="0">#REF!</definedName>
    <definedName name="T_XD508">#REF!</definedName>
    <definedName name="T_XF521" localSheetId="0">#REF!</definedName>
    <definedName name="T_XF521">#REF!</definedName>
    <definedName name="T_XF522" localSheetId="0">#REF!</definedName>
    <definedName name="T_XF522">#REF!</definedName>
    <definedName name="T_XF522A" localSheetId="0">#REF!</definedName>
    <definedName name="T_XF522A">#REF!</definedName>
    <definedName name="T_XF523" localSheetId="0">#REF!</definedName>
    <definedName name="T_XF523">#REF!</definedName>
    <definedName name="T_XF523A" localSheetId="0">#REF!</definedName>
    <definedName name="T_XF523A">#REF!</definedName>
    <definedName name="T_XF524" localSheetId="0">#REF!</definedName>
    <definedName name="T_XF524">#REF!</definedName>
    <definedName name="T_XF524A" localSheetId="0">#REF!</definedName>
    <definedName name="T_XF524A">#REF!</definedName>
    <definedName name="T_XF526" localSheetId="0">#REF!</definedName>
    <definedName name="T_XF526">#REF!</definedName>
    <definedName name="T_XH561" localSheetId="0">#REF!</definedName>
    <definedName name="T_XH561">#REF!</definedName>
    <definedName name="T_XH562" localSheetId="0">#REF!</definedName>
    <definedName name="T_XH562">#REF!</definedName>
    <definedName name="T_XL100" localSheetId="0">#REF!</definedName>
    <definedName name="T_XL100">#REF!</definedName>
    <definedName name="T_XL100_DDC" localSheetId="0">#REF!</definedName>
    <definedName name="T_XL100_DDC">#REF!</definedName>
    <definedName name="T_XL50_DDC" localSheetId="0">#REF!</definedName>
    <definedName name="T_XL50_DDC">#REF!</definedName>
    <definedName name="T_XL500_DDC" localSheetId="0">#REF!</definedName>
    <definedName name="T_XL500_DDC">#REF!</definedName>
    <definedName name="T_XP502" localSheetId="0">#REF!</definedName>
    <definedName name="T_XP502">#REF!</definedName>
    <definedName name="T_XS563" localSheetId="0">#REF!</definedName>
    <definedName name="T_XS563">#REF!</definedName>
    <definedName name="T_XW569" localSheetId="0">#REF!</definedName>
    <definedName name="T_XW569">#REF!</definedName>
    <definedName name="TblSacc" localSheetId="0">#REF!</definedName>
    <definedName name="TblSacc">#REF!</definedName>
    <definedName name="tblTapiocaStarch">'[54]03'!$A$1:$L$743</definedName>
    <definedName name="temp" localSheetId="0">[45]data!$A$2:$F$257</definedName>
    <definedName name="temp">[46]data!$A$2:$F$257</definedName>
    <definedName name="TemplateFile" localSheetId="0">#REF!</definedName>
    <definedName name="TemplateFile">#REF!</definedName>
    <definedName name="TEST" localSheetId="0">#REF!</definedName>
    <definedName name="TEST">#REF!</definedName>
    <definedName name="Train_Mid" localSheetId="0">#REF!</definedName>
    <definedName name="Train_Mid">#REF!</definedName>
    <definedName name="Train_Middle" localSheetId="0">#REF!</definedName>
    <definedName name="Train_Middle">#REF!</definedName>
    <definedName name="Train_Sup" localSheetId="0">#REF!</definedName>
    <definedName name="Train_Sup">#REF!</definedName>
    <definedName name="Train_Supervisor" localSheetId="0">#REF!</definedName>
    <definedName name="Train_Supervisor">#REF!</definedName>
    <definedName name="TrainMiddle">[26]LookupData!$A$281:$A$309</definedName>
    <definedName name="TrainSup">[26]LookupData!$A$312:$A$381</definedName>
    <definedName name="TrainTop">[26]LookupData!$A$214:$A$278</definedName>
    <definedName name="tt" localSheetId="0">#REF!</definedName>
    <definedName name="tt">#REF!</definedName>
    <definedName name="ttt" localSheetId="0">#REF!</definedName>
    <definedName name="ttt">#REF!</definedName>
    <definedName name="tu" localSheetId="0">#REF!</definedName>
    <definedName name="tu">#REF!</definedName>
    <definedName name="u" localSheetId="0" hidden="1">'[38]GH-5-06'!$B$6:$V$16</definedName>
    <definedName name="u">#REF!</definedName>
    <definedName name="uk" localSheetId="0">#REF!</definedName>
    <definedName name="uk">#REF!</definedName>
    <definedName name="Uniform">[26]LookupData!$E$223:$E$228</definedName>
    <definedName name="unit" localSheetId="0">[28]data!$B$1:$B$41</definedName>
    <definedName name="unit">[29]data!$B$1:$B$41</definedName>
    <definedName name="US" localSheetId="0">#REF!</definedName>
    <definedName name="US">#REF!</definedName>
    <definedName name="UseNo">[26]LookupData!$E$235:$E$236</definedName>
    <definedName name="Utility" localSheetId="0">#REF!</definedName>
    <definedName name="Utility">#REF!</definedName>
    <definedName name="Vermogen" localSheetId="0">[24]Keuzelijsten!#REF!</definedName>
    <definedName name="Vermogen">[25]Keuzelijsten!#REF!</definedName>
    <definedName name="vv" localSheetId="0">#REF!</definedName>
    <definedName name="vv">#REF!</definedName>
    <definedName name="ws" localSheetId="0">#REF!</definedName>
    <definedName name="ws">#REF!</definedName>
    <definedName name="wsaFasfASFasf" localSheetId="0" hidden="1">{"'Bidfailed'!$D$2:$AB$14","'Bidfailed'!$D$4:$AB$4"}</definedName>
    <definedName name="wsaFasfASFasf" hidden="1">{"'Bidfailed'!$D$2:$AB$14","'Bidfailed'!$D$4:$AB$4"}</definedName>
    <definedName name="ww" localSheetId="0" hidden="1">{"'Bidfailed'!$D$2:$AB$14","'Bidfailed'!$D$4:$AB$4"}</definedName>
    <definedName name="ww" hidden="1">{"'Bidfailed'!$D$2:$AB$14","'Bidfailed'!$D$4:$AB$4"}</definedName>
    <definedName name="wwrewter" localSheetId="0">Act [18]Plan!$B$8:$Q$8</definedName>
    <definedName name="wwrewter">Act [18]Plan!$B$8:$Q$8</definedName>
    <definedName name="www" localSheetId="0">Act [18]Plan!$B$8:$Q$8</definedName>
    <definedName name="www">Act [18]Plan!$B$8:$Q$8</definedName>
    <definedName name="wwwwwww" localSheetId="0">#REF!</definedName>
    <definedName name="wwwwwww">#REF!</definedName>
    <definedName name="x" localSheetId="0" hidden="1">{"'Bidfailed'!$D$2:$AB$14","'Bidfailed'!$D$4:$AB$4"}</definedName>
    <definedName name="x" hidden="1">{"'Bidfailed'!$D$2:$AB$14","'Bidfailed'!$D$4:$AB$4"}</definedName>
    <definedName name="Y_RATE" localSheetId="0">#REF!</definedName>
    <definedName name="Y_RATE">#REF!</definedName>
    <definedName name="YD" localSheetId="0">#REF!</definedName>
    <definedName name="YD">#REF!</definedName>
    <definedName name="year" localSheetId="0">[28]data!$G$1:$G$61</definedName>
    <definedName name="year">[29]data!$G$1:$G$61</definedName>
    <definedName name="YesNo">[26]LookupData!$E$27:$E$28</definedName>
    <definedName name="yn" localSheetId="0">[28]data!$A$1:$A$2</definedName>
    <definedName name="yn">[29]data!$A$1:$A$2</definedName>
    <definedName name="yt" localSheetId="0">#REF!</definedName>
    <definedName name="yt">#REF!</definedName>
    <definedName name="YT_MSG" localSheetId="0">#REF!</definedName>
    <definedName name="YT_MSG">#REF!</definedName>
    <definedName name="yy" localSheetId="0">#REF!</definedName>
    <definedName name="yy">#REF!</definedName>
    <definedName name="z" localSheetId="0">#REF!</definedName>
    <definedName name="z">#REF!</definedName>
    <definedName name="zvcf" localSheetId="0">#REF!</definedName>
    <definedName name="zvcf">#REF!</definedName>
    <definedName name="zz" localSheetId="0">Act [18]Plan!$B$8:$Q$8</definedName>
    <definedName name="zz">Act [18]Plan!$B$8:$Q$8</definedName>
    <definedName name="ก" localSheetId="0">#REF!</definedName>
    <definedName name="ก">#REF!</definedName>
    <definedName name="กำ" localSheetId="0">#REF!</definedName>
    <definedName name="กำ">#REF!</definedName>
    <definedName name="งานฟาร์มกุ้ง" localSheetId="0">#REF!</definedName>
    <definedName name="งานฟาร์มกุ้ง">#REF!</definedName>
    <definedName name="จำนวน" localSheetId="0">#REF!</definedName>
    <definedName name="จำนวน">#REF!</definedName>
    <definedName name="ชื่อร้าน_ฟาร์ม" localSheetId="0">#REF!</definedName>
    <definedName name="ชื่อร้าน_ฟาร์ม">#REF!</definedName>
    <definedName name="ซ่อมบำรุง" localSheetId="0">'[47]สัปดาห์ 2- 03'!#REF!</definedName>
    <definedName name="ซ่อมบำรุง">'[47]สัปดาห์ 2- 03'!#REF!</definedName>
    <definedName name="ด" localSheetId="0">#REF!</definedName>
    <definedName name="ด">#REF!</definedName>
    <definedName name="ตะวันออก" localSheetId="0">#REF!</definedName>
    <definedName name="ตะวันออก">#REF!</definedName>
    <definedName name="ทท" localSheetId="0" hidden="1">{"'Bidfailed'!$D$2:$AB$14","'Bidfailed'!$D$4:$AB$4"}</definedName>
    <definedName name="ทท" hidden="1">{"'Bidfailed'!$D$2:$AB$14","'Bidfailed'!$D$4:$AB$4"}</definedName>
    <definedName name="นคปฐมแอนนัท" localSheetId="0">#REF!</definedName>
    <definedName name="นคปฐมแอนนัท">#REF!</definedName>
    <definedName name="นครปฐฒทแ" localSheetId="0">#REF!</definedName>
    <definedName name="นครปฐฒทแ">#REF!</definedName>
    <definedName name="นครปฐม" localSheetId="0">#REF!</definedName>
    <definedName name="นครปฐม">#REF!</definedName>
    <definedName name="นครปฐมแอน" localSheetId="0">#REF!</definedName>
    <definedName name="นครปฐมแอน">#REF!</definedName>
    <definedName name="น้อง" localSheetId="0">#REF!</definedName>
    <definedName name="น้อง">#REF!</definedName>
    <definedName name="น็อตขาจับขวดขาด" localSheetId="0">'[55]เบคุ่ม3-9'!#REF!</definedName>
    <definedName name="น็อตขาจับขวดขาด">'[55]เบคุ่ม3-9'!#REF!</definedName>
    <definedName name="บ่อ" localSheetId="0">#REF!</definedName>
    <definedName name="บ่อ">#REF!</definedName>
    <definedName name="ประเภท" localSheetId="0">#REF!</definedName>
    <definedName name="ประเภท">#REF!</definedName>
    <definedName name="ปรับปรุง" localSheetId="0">#REF!</definedName>
    <definedName name="ปรับปรุง">#REF!</definedName>
    <definedName name="พนักงานขาย" localSheetId="0">#REF!</definedName>
    <definedName name="พนักงานขาย">#REF!</definedName>
    <definedName name="ฟ" localSheetId="0" hidden="1">{"'Bidfailed'!$D$2:$AB$14","'Bidfailed'!$D$4:$AB$4"}</definedName>
    <definedName name="ฟ" hidden="1">{"'Bidfailed'!$D$2:$AB$14","'Bidfailed'!$D$4:$AB$4"}</definedName>
    <definedName name="ฟ502" localSheetId="0">#REF!</definedName>
    <definedName name="ฟ502">#REF!</definedName>
    <definedName name="ฟฟ" localSheetId="0">Act [18]Plan!$B$8:$Q$8</definedName>
    <definedName name="ฟฟ">Act [18]Plan!$B$8:$Q$8</definedName>
    <definedName name="ฟฟ2" localSheetId="0">Act [18]Plan!$B$8:$Q$8</definedName>
    <definedName name="ฟฟ2">Act [18]Plan!$B$8:$Q$8</definedName>
    <definedName name="ภาคกลาง" localSheetId="0">#REF!</definedName>
    <definedName name="ภาคกลาง">#REF!</definedName>
    <definedName name="ยน" localSheetId="0">#REF!</definedName>
    <definedName name="ยน">#REF!</definedName>
    <definedName name="ยอดรายลูกค้า" localSheetId="0">#REF!</definedName>
    <definedName name="ยอดรายลูกค้า">#REF!</definedName>
    <definedName name="วันที่29" localSheetId="0">#REF!</definedName>
    <definedName name="วันที่29">#REF!</definedName>
    <definedName name="วิธีใช้ไฟล์แบบฟอร์มเอกสารฯ" localSheetId="0">[56]เมนูเอกสาร!#REF!</definedName>
    <definedName name="วิธีใช้ไฟล์แบบฟอร์มเอกสารฯ">[56]เมนูเอกสาร!#REF!</definedName>
    <definedName name="สมุทรสาครสสส" localSheetId="0">#REF!</definedName>
    <definedName name="สมุทรสาครสสส">#REF!</definedName>
    <definedName name="สมุทรสาคารรรรห" localSheetId="0">#REF!</definedName>
    <definedName name="สมุทรสาคารรรรห">#REF!</definedName>
    <definedName name="สรรเสริญ" localSheetId="0">#REF!</definedName>
    <definedName name="สรรเสริญ">#REF!</definedName>
    <definedName name="สารบัญ" localSheetId="0">#REF!</definedName>
    <definedName name="สารบัญ">#REF!</definedName>
    <definedName name="สุพรรณ" localSheetId="0">#REF!</definedName>
    <definedName name="สุพรรณ">#REF!</definedName>
    <definedName name="สุพรรณบุรี" localSheetId="0">#REF!</definedName>
    <definedName name="สุพรรณบุรี">#REF!</definedName>
    <definedName name="ห" localSheetId="0">#REF!</definedName>
    <definedName name="ห">#REF!</definedName>
    <definedName name="หหหห" localSheetId="0">#REF!</definedName>
    <definedName name="หหหห">#REF!</definedName>
    <definedName name="ห้าปี" localSheetId="0" hidden="1">{"'Bidfailed'!$D$2:$AB$14","'Bidfailed'!$D$4:$AB$4"}</definedName>
    <definedName name="ห้าปี" hidden="1">{"'Bidfailed'!$D$2:$AB$14","'Bidfailed'!$D$4:$AB$4"}</definedName>
    <definedName name="อ" localSheetId="0">#REF!</definedName>
    <definedName name="อ">#REF!</definedName>
    <definedName name="ออออออ" localSheetId="0">#REF!</definedName>
    <definedName name="ออออออ">#REF!</definedName>
    <definedName name="าาาา" localSheetId="0">#REF!</definedName>
    <definedName name="าาาา">#REF!</definedName>
    <definedName name="ๆๆๆๆๆ" localSheetId="0">#REF!</definedName>
    <definedName name="ๆๆๆๆๆ">#REF!</definedName>
  </definedNames>
  <calcPr calcId="162913"/>
</workbook>
</file>

<file path=xl/calcChain.xml><?xml version="1.0" encoding="utf-8"?>
<calcChain xmlns="http://schemas.openxmlformats.org/spreadsheetml/2006/main">
  <c r="F356" i="41" l="1"/>
  <c r="G356" i="41"/>
  <c r="H356" i="41"/>
  <c r="I356" i="41"/>
  <c r="J356" i="41"/>
  <c r="E356" i="41"/>
  <c r="E118" i="41" l="1"/>
  <c r="E80" i="41" l="1"/>
  <c r="F80" i="41"/>
  <c r="G80" i="41"/>
  <c r="H80" i="41"/>
  <c r="J104" i="41" l="1"/>
  <c r="J118" i="41" s="1"/>
  <c r="I104" i="41"/>
  <c r="I118" i="41" s="1"/>
  <c r="H104" i="41"/>
  <c r="H118" i="41" s="1"/>
  <c r="G104" i="41"/>
  <c r="G118" i="41" s="1"/>
  <c r="F104" i="41"/>
  <c r="F118" i="41" s="1"/>
  <c r="E104" i="41"/>
  <c r="J80" i="41"/>
  <c r="I80" i="41"/>
  <c r="E53" i="41"/>
  <c r="F53" i="41"/>
  <c r="J53" i="41"/>
  <c r="I53" i="41"/>
  <c r="H53" i="41"/>
  <c r="G53" i="41"/>
  <c r="E25" i="41" l="1"/>
  <c r="E360" i="41" s="1"/>
  <c r="J25" i="41" l="1"/>
  <c r="J360" i="41" s="1"/>
  <c r="I25" i="41"/>
  <c r="I360" i="41" s="1"/>
  <c r="H25" i="41"/>
  <c r="H360" i="41" s="1"/>
  <c r="G25" i="41"/>
  <c r="G360" i="41" s="1"/>
  <c r="F25" i="41"/>
  <c r="F360" i="41" s="1"/>
  <c r="F364" i="41" s="1"/>
  <c r="F365" i="41" l="1"/>
  <c r="F366" i="41"/>
</calcChain>
</file>

<file path=xl/sharedStrings.xml><?xml version="1.0" encoding="utf-8"?>
<sst xmlns="http://schemas.openxmlformats.org/spreadsheetml/2006/main" count="504" uniqueCount="254">
  <si>
    <t>M2</t>
  </si>
  <si>
    <t>M5</t>
  </si>
  <si>
    <t>PLC</t>
  </si>
  <si>
    <t>SCREW CONVEYOR</t>
  </si>
  <si>
    <t>Control</t>
  </si>
  <si>
    <t>MCC</t>
  </si>
  <si>
    <t>NAME</t>
  </si>
  <si>
    <t>Input24V mag</t>
  </si>
  <si>
    <t>Input24V sensor</t>
  </si>
  <si>
    <t>Output24V</t>
  </si>
  <si>
    <t>Output220V</t>
  </si>
  <si>
    <t>Input 4-20 mA</t>
  </si>
  <si>
    <t>Output 4-20 mA</t>
  </si>
  <si>
    <t>BUCKET ELEVATOR</t>
  </si>
  <si>
    <t>SLIDE GATE</t>
  </si>
  <si>
    <t>FLAP BOX</t>
  </si>
  <si>
    <t>FEED CLEANER</t>
  </si>
  <si>
    <t>CHAIN CONVEYOR</t>
  </si>
  <si>
    <t>ALL</t>
  </si>
  <si>
    <t>SCREW FEEDER</t>
  </si>
  <si>
    <t>VSD</t>
  </si>
  <si>
    <t>TURBO FAN</t>
  </si>
  <si>
    <t>LEVEL</t>
  </si>
  <si>
    <t>ALL IO</t>
  </si>
  <si>
    <t>IN</t>
  </si>
  <si>
    <t>OUT</t>
  </si>
  <si>
    <t>ANALOG</t>
  </si>
  <si>
    <t>VIBRATOR</t>
  </si>
  <si>
    <t>Remark MCC</t>
  </si>
  <si>
    <t>PLC1 Floor4</t>
  </si>
  <si>
    <t>บ่อเท M5 (D2)</t>
  </si>
  <si>
    <t>M8</t>
  </si>
  <si>
    <t>PROXIMITY M8</t>
  </si>
  <si>
    <t>Y99</t>
  </si>
  <si>
    <t>Y1</t>
  </si>
  <si>
    <t>Y2</t>
  </si>
  <si>
    <t>บ่อเท M19 (E7)</t>
  </si>
  <si>
    <t>M19</t>
  </si>
  <si>
    <t>M18</t>
  </si>
  <si>
    <t>Y19-1</t>
  </si>
  <si>
    <t>บ่อเท M25 (F3)</t>
  </si>
  <si>
    <t>บ่อเท M7 (D4)</t>
  </si>
  <si>
    <t>M25</t>
  </si>
  <si>
    <t>M24</t>
  </si>
  <si>
    <t>M7</t>
  </si>
  <si>
    <t>M6</t>
  </si>
  <si>
    <t>M20</t>
  </si>
  <si>
    <t>Y100</t>
  </si>
  <si>
    <t>M21</t>
  </si>
  <si>
    <t>M22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</si>
  <si>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</si>
  <si>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</si>
  <si>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</si>
  <si>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</si>
  <si>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</si>
  <si>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</si>
  <si>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</si>
  <si>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</si>
  <si>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</si>
  <si>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</si>
  <si>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</si>
  <si>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M26</t>
  </si>
  <si>
    <t>Y101</t>
  </si>
  <si>
    <t>M27</t>
  </si>
  <si>
    <t>M28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</si>
  <si>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</si>
  <si>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</si>
  <si>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</si>
  <si>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</si>
  <si>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</si>
  <si>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</si>
  <si>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</si>
  <si>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</si>
  <si>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</si>
  <si>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</si>
  <si>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</si>
  <si>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M8-1</t>
  </si>
  <si>
    <t>PROXIMITY M8-1</t>
  </si>
  <si>
    <t>PROXIMITY M26</t>
  </si>
  <si>
    <t>PROXIMITY M20</t>
  </si>
  <si>
    <t>Y99-1</t>
  </si>
  <si>
    <t>M9-1</t>
  </si>
  <si>
    <t>M8-2</t>
  </si>
  <si>
    <t>M9-2</t>
  </si>
  <si>
    <t>M9E</t>
  </si>
  <si>
    <t>M10E</t>
  </si>
  <si>
    <t>M11E</t>
  </si>
  <si>
    <t>PROXIMITY M9E</t>
  </si>
  <si>
    <t>ส่งไป Tower1</t>
  </si>
  <si>
    <t>Parts บด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</si>
  <si>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</si>
  <si>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</si>
  <si>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</si>
  <si>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</si>
  <si>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</si>
  <si>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</si>
  <si>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</si>
  <si>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</si>
  <si>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</si>
  <si>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</si>
  <si>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</si>
  <si>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Y32</t>
  </si>
  <si>
    <t>Y102</t>
  </si>
  <si>
    <t>Y29</t>
  </si>
  <si>
    <t>Y30</t>
  </si>
  <si>
    <t>Y31</t>
  </si>
  <si>
    <t>Y32-R</t>
  </si>
  <si>
    <t>Y32-L</t>
  </si>
  <si>
    <t>Y33</t>
  </si>
  <si>
    <t>Y34-L</t>
  </si>
  <si>
    <t>Y34-R</t>
  </si>
  <si>
    <t>Y35-L</t>
  </si>
  <si>
    <t>Y35-R</t>
  </si>
  <si>
    <t>Y36-L</t>
  </si>
  <si>
    <t>Y36-R</t>
  </si>
  <si>
    <t>Y37-L</t>
  </si>
  <si>
    <t>OVERFLOW</t>
  </si>
  <si>
    <t>AIR JET FILTER</t>
  </si>
  <si>
    <t>DUST FAN</t>
  </si>
  <si>
    <t>DUST FAN BUCKET</t>
  </si>
  <si>
    <t>Y37-R</t>
  </si>
  <si>
    <t>M50D1</t>
  </si>
  <si>
    <t>M50D</t>
  </si>
  <si>
    <t>M50D2</t>
  </si>
  <si>
    <t>M50D3</t>
  </si>
  <si>
    <t>M30.5-1</t>
  </si>
  <si>
    <t>M30.6</t>
  </si>
  <si>
    <t>LEVEL HOPPER</t>
  </si>
  <si>
    <t>VAN ARSSEN</t>
  </si>
  <si>
    <t>MAGNET</t>
  </si>
  <si>
    <t>CLAMP LOCK</t>
  </si>
  <si>
    <t>LAYER</t>
  </si>
  <si>
    <t>PROX CHECK FW RW</t>
  </si>
  <si>
    <t>TEMPERATURE</t>
  </si>
  <si>
    <t>DOOR SWITCH</t>
  </si>
  <si>
    <t>AIR JET</t>
  </si>
  <si>
    <t>DAMPER</t>
  </si>
  <si>
    <t>M50D4</t>
  </si>
  <si>
    <t>M50D5</t>
  </si>
  <si>
    <t>PROXIMITY M50D5</t>
  </si>
  <si>
    <t>M50D5.1</t>
  </si>
  <si>
    <t>M50D5.2</t>
  </si>
  <si>
    <t>ZC06</t>
  </si>
  <si>
    <t>ZC01</t>
  </si>
  <si>
    <t>ZC02</t>
  </si>
  <si>
    <t>ZC03</t>
  </si>
  <si>
    <t>ZC04</t>
  </si>
  <si>
    <t>ZC05</t>
  </si>
  <si>
    <t>ZC07</t>
  </si>
  <si>
    <t>ZC08</t>
  </si>
  <si>
    <t>ZC09</t>
  </si>
  <si>
    <t>ZC10</t>
  </si>
  <si>
    <t>ZC11</t>
  </si>
  <si>
    <t>ZC12</t>
  </si>
  <si>
    <t>ZC13</t>
  </si>
  <si>
    <t>ZC14</t>
  </si>
  <si>
    <t>ZC15</t>
  </si>
  <si>
    <t>ZC16</t>
  </si>
  <si>
    <t>ZC17</t>
  </si>
  <si>
    <t>Y39</t>
  </si>
  <si>
    <t>Y38</t>
  </si>
  <si>
    <t>Y40-L</t>
  </si>
  <si>
    <t>Y40-R</t>
  </si>
  <si>
    <t>Y41-L</t>
  </si>
  <si>
    <t>Y41-R</t>
  </si>
  <si>
    <t>Y42-L</t>
  </si>
  <si>
    <t>Y42-R</t>
  </si>
  <si>
    <t>Y43-L</t>
  </si>
  <si>
    <t>Y43-R</t>
  </si>
  <si>
    <t>Y44-L</t>
  </si>
  <si>
    <t>Y44-R</t>
  </si>
  <si>
    <t>Y45-L</t>
  </si>
  <si>
    <t>Y45-R</t>
  </si>
  <si>
    <t>Y46-L</t>
  </si>
  <si>
    <t>Y46-R</t>
  </si>
  <si>
    <t>Y47-L</t>
  </si>
  <si>
    <t>Y47-R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</si>
  <si>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</si>
  <si>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</si>
  <si>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</si>
  <si>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</si>
  <si>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</si>
  <si>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</si>
  <si>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</si>
  <si>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</si>
  <si>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</si>
  <si>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</si>
  <si>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</si>
  <si>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</si>
  <si>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M44</t>
  </si>
  <si>
    <t>M45</t>
  </si>
  <si>
    <t>M46</t>
  </si>
  <si>
    <t>M47</t>
  </si>
  <si>
    <t>Y47-1</t>
  </si>
  <si>
    <t>M48</t>
  </si>
  <si>
    <t>PROXIMITY</t>
  </si>
  <si>
    <t>Y48</t>
  </si>
  <si>
    <t>M11</t>
  </si>
  <si>
    <t xml:space="preserve">M12 </t>
  </si>
  <si>
    <t>DISTRIBUTOR TO ZC12-17</t>
  </si>
  <si>
    <t>LIMIT</t>
  </si>
  <si>
    <t>M180</t>
  </si>
  <si>
    <t>M181</t>
  </si>
  <si>
    <t>M10</t>
  </si>
  <si>
    <t>Y50</t>
  </si>
  <si>
    <t>M13</t>
  </si>
  <si>
    <t>M13-1</t>
  </si>
  <si>
    <t>M14</t>
  </si>
  <si>
    <t>M15</t>
  </si>
  <si>
    <t>Y51</t>
  </si>
  <si>
    <t>Y52</t>
  </si>
  <si>
    <t>M63</t>
  </si>
  <si>
    <t>FLAP BOX P1-P2</t>
  </si>
  <si>
    <t>DISTRIBUTOR TO P11-22</t>
  </si>
  <si>
    <t>M14-1</t>
  </si>
  <si>
    <t>Y59</t>
  </si>
  <si>
    <t>Y60</t>
  </si>
  <si>
    <t>FLAP BOX P23-24</t>
  </si>
  <si>
    <t>M15-1</t>
  </si>
  <si>
    <t>M142</t>
  </si>
  <si>
    <t>DISTRIBUTOR TO P33-44</t>
  </si>
  <si>
    <t>FLAP BOX ZC2-3</t>
  </si>
  <si>
    <t>M49</t>
  </si>
  <si>
    <t>Y3</t>
  </si>
  <si>
    <t>xxx</t>
  </si>
  <si>
    <t>M10-1</t>
  </si>
  <si>
    <t>Y10-2</t>
  </si>
  <si>
    <t>M48-1</t>
  </si>
  <si>
    <t>M48-2</t>
  </si>
  <si>
    <t>SPEED</t>
  </si>
  <si>
    <t>TEMPRATURE</t>
  </si>
  <si>
    <t>M30.4</t>
  </si>
  <si>
    <t>M30.5</t>
  </si>
  <si>
    <t>M50C4</t>
  </si>
  <si>
    <t>M50C2</t>
  </si>
  <si>
    <t>SCREW REJECT</t>
  </si>
  <si>
    <t>M50C3</t>
  </si>
  <si>
    <t>SCREW LAYER</t>
  </si>
  <si>
    <t>M50C</t>
  </si>
  <si>
    <t>IDAH STOLZ B</t>
  </si>
  <si>
    <t>SIGNAL FW RW</t>
  </si>
  <si>
    <t>M50C8</t>
  </si>
  <si>
    <t>M50C9</t>
  </si>
  <si>
    <t>M50C9-1</t>
  </si>
  <si>
    <t>AIRLOCK</t>
  </si>
  <si>
    <t>M50C10</t>
  </si>
  <si>
    <t>M50C11</t>
  </si>
  <si>
    <t>M50C7</t>
  </si>
  <si>
    <t>XXX</t>
  </si>
  <si>
    <t>MOTOR ใบกวาด</t>
  </si>
  <si>
    <t>AIRJET</t>
  </si>
  <si>
    <t>Y47-2</t>
  </si>
  <si>
    <t>F50B</t>
  </si>
  <si>
    <t>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</si>
</sst>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฿&quot;#,##0.00;[Red]\-&quot;฿&quot;#,##0.00"/>
    <numFmt numFmtId="165" formatCode="_-* #,##0_-;\-* #,##0_-;_-* &quot;-&quot;_-;_-@_-"/>
    <numFmt numFmtId="166" formatCode="_-&quot;฿&quot;* #,##0.00_-;\-&quot;฿&quot;* #,##0.00_-;_-&quot;฿&quot;* &quot;-&quot;??_-;_-@_-"/>
    <numFmt numFmtId="167" formatCode="_-* #,##0.00_-;\-* #,##0.00_-;_-* &quot;-&quot;??_-;_-@_-"/>
    <numFmt numFmtId="168" formatCode="_(* #,##0_);_(* \(#,##0\);_(* &quot;-&quot;??_);_(@_)"/>
    <numFmt numFmtId="169" formatCode=";;;"/>
    <numFmt numFmtId="170" formatCode="_-&quot;$&quot;* #,##0_-;\-&quot;$&quot;* #,##0_-;_-&quot;$&quot;* &quot;-&quot;_-;_-@_-"/>
    <numFmt numFmtId="171" formatCode="_([$€-2]* #,##0.00_);_([$€-2]* \(#,##0.00\);_([$€-2]* &quot;-&quot;??_)"/>
    <numFmt numFmtId="172" formatCode="mmm"/>
    <numFmt numFmtId="173" formatCode="mm/yy"/>
    <numFmt numFmtId="174" formatCode="#,##0.0_ ;[Red]\-#,##0.0\ "/>
    <numFmt numFmtId="175" formatCode="_-* #,##0_-;\-* #,##0_-;_-* &quot;-&quot;??_-;_-@_-"/>
    <numFmt numFmtId="176" formatCode="_-* #,##0.0_-;\-* #,##0.0_-;_-* &quot;-&quot;??_-;_-@_-"/>
    <numFmt numFmtId="177" formatCode="#,##0.0_ ;\-#,##0.0\ "/>
    <numFmt numFmtId="178" formatCode="0.0%"/>
    <numFmt numFmtId="179" formatCode="0.00000"/>
    <numFmt numFmtId="180" formatCode="#,##0;\(#,##0\)"/>
    <numFmt numFmtId="181" formatCode="#,##0\ &quot;Fr.&quot;;\-#,##0\ &quot;Fr.&quot;"/>
    <numFmt numFmtId="182" formatCode="\$#,##0\ ;\(\$#,##0\)"/>
    <numFmt numFmtId="183" formatCode="\$#,##0.00;\(\$#,##0.00\)"/>
    <numFmt numFmtId="184" formatCode="_(* #,##0.0000_);_(* \(#,##0.0000\);_(* &quot;-&quot;??_);_(@_)"/>
    <numFmt numFmtId="185" formatCode="\$#,##0;\(\$#,##0\)"/>
    <numFmt numFmtId="186" formatCode="_(* #,##0.000000_);_(* \(#,##0.000000\);_(* &quot;-&quot;??_);_(@_)"/>
    <numFmt numFmtId="187" formatCode="#,##0.00;\(#,##0.00\)"/>
    <numFmt numFmtId="188" formatCode="_-[$€]* #,##0.00_-;\-[$€]* #,##0.00_-;_-[$€]* &quot;-&quot;??_-;_-@_-"/>
    <numFmt numFmtId="189" formatCode="_-&quot;$&quot;* #,##0.00_-;\-&quot;$&quot;* #,##0.00_-;_-&quot;$&quot;* &quot;-&quot;??_-;_-@_-"/>
    <numFmt numFmtId="190" formatCode="#,##0\ &quot;F&quot;;[Red]\-#,##0\ &quot;F&quot;"/>
    <numFmt numFmtId="191" formatCode="#,##0.00\ &quot;F&quot;;[Red]\-#,##0.00\ &quot;F&quot;"/>
    <numFmt numFmtId="192" formatCode="0.00_)"/>
    <numFmt numFmtId="193" formatCode="General_)"/>
    <numFmt numFmtId="194" formatCode="[$-1010409]\ mmm\ yy;@"/>
    <numFmt numFmtId="195" formatCode="d"/>
    <numFmt numFmtId="196" formatCode="0;\-0;;@"/>
    <numFmt numFmtId="197" formatCode="_(* #,##0.000_);_(* \(#,##0.000\);_(* &quot;-&quot;??_);_(@_)"/>
    <numFmt numFmtId="198" formatCode="_(* #,##0.0_);_(* \(#,##0.0\);_(* &quot;-&quot;??_);_(@_)"/>
    <numFmt numFmtId="199" formatCode="B1mmm\-yy"/>
    <numFmt numFmtId="200" formatCode="0.0"/>
    <numFmt numFmtId="201" formatCode="&quot;ฃ&quot;#,##0;[Red]\-&quot;ฃ&quot;#,##0"/>
    <numFmt numFmtId="202" formatCode="&quot;ฃ&quot;#,##0.00;[Red]\-&quot;ฃ&quot;#,##0.00"/>
    <numFmt numFmtId="203" formatCode="&quot;ฃ&quot;#,##0;\-&quot;ฃ&quot;#,##0"/>
    <numFmt numFmtId="204" formatCode="&quot;ฃ&quot;#,##0.00;\-&quot;ฃ&quot;#,##0.00"/>
    <numFmt numFmtId="205" formatCode="&quot;\&quot;#,##0;[Red]&quot;\&quot;&quot;\&quot;\-#,##0"/>
    <numFmt numFmtId="206" formatCode="&quot;\&quot;#,##0.00;[Red]&quot;\&quot;&quot;\&quot;&quot;\&quot;&quot;\&quot;&quot;\&quot;&quot;\&quot;\-#,##0.00"/>
    <numFmt numFmtId="207" formatCode="&quot;\&quot;#,##0.00;[Red]&quot;\&quot;\-#,##0.00"/>
    <numFmt numFmtId="208" formatCode="_ &quot;\&quot;* #,##0.00_ ;_ &quot;\&quot;* \-#,##0.00_ ;_ &quot;\&quot;* &quot;-&quot;??_ ;_ @_ "/>
    <numFmt numFmtId="209" formatCode="_ * #,##0.00_ ;_ * \-#,##0.00_ ;_ * &quot;-&quot;??_ ;_ @_ "/>
    <numFmt numFmtId="210" formatCode="_ * #,##0_ ;_ * \-#,##0_ ;_ * &quot;-&quot;_ ;_ @_ "/>
  </numFmts>
  <fonts count="1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name val="VNtimes new roman"/>
    </font>
    <font>
      <sz val="12"/>
      <name val="Helv"/>
    </font>
    <font>
      <sz val="10"/>
      <name val="Arial"/>
      <family val="2"/>
    </font>
    <font>
      <sz val="12"/>
      <name val="바탕체"/>
      <family val="1"/>
      <charset val="129"/>
    </font>
    <font>
      <sz val="14"/>
      <name val="–พ’ฉ"/>
      <charset val="128"/>
    </font>
    <font>
      <b/>
      <u/>
      <sz val="14"/>
      <color indexed="8"/>
      <name val=".VnBook-AntiquaH"/>
      <family val="2"/>
    </font>
    <font>
      <sz val="14"/>
      <name val="BrowalliaUPC"/>
      <family val="1"/>
    </font>
    <font>
      <i/>
      <sz val="12"/>
      <color indexed="8"/>
      <name val=".VnBook-AntiquaH"/>
      <family val="2"/>
    </font>
    <font>
      <sz val="11"/>
      <color indexed="8"/>
      <name val="Tahoma"/>
      <family val="2"/>
      <charset val="22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Tahoma"/>
      <family val="2"/>
      <charset val="222"/>
    </font>
    <font>
      <sz val="14"/>
      <name val="AngsanaUPC"/>
      <family val="1"/>
    </font>
    <font>
      <sz val="11"/>
      <color indexed="8"/>
      <name val="Cordia New"/>
      <family val="2"/>
      <charset val="222"/>
    </font>
    <font>
      <sz val="11"/>
      <color indexed="9"/>
      <name val="Cordia New"/>
      <family val="2"/>
      <charset val="222"/>
    </font>
    <font>
      <b/>
      <sz val="12"/>
      <name val="¹UAAA¼"/>
      <family val="1"/>
      <charset val="129"/>
    </font>
    <font>
      <sz val="8"/>
      <name val="Times New Roman"/>
      <family val="1"/>
    </font>
    <font>
      <sz val="11"/>
      <color indexed="20"/>
      <name val="Tahoma"/>
      <family val="2"/>
      <charset val="222"/>
    </font>
    <font>
      <sz val="12"/>
      <name val="¹UAAA¼"/>
      <family val="3"/>
      <charset val="129"/>
    </font>
    <font>
      <b/>
      <sz val="11"/>
      <color indexed="52"/>
      <name val="Tahoma"/>
      <family val="2"/>
      <charset val="222"/>
    </font>
    <font>
      <b/>
      <sz val="10"/>
      <name val="Helv"/>
    </font>
    <font>
      <b/>
      <sz val="11"/>
      <color indexed="9"/>
      <name val="Tahoma"/>
      <family val="2"/>
      <charset val="222"/>
    </font>
    <font>
      <sz val="14"/>
      <name val="Cordia New"/>
      <family val="2"/>
    </font>
    <font>
      <sz val="11"/>
      <color indexed="8"/>
      <name val="Calibri"/>
      <family val="2"/>
    </font>
    <font>
      <sz val="10"/>
      <color theme="1"/>
      <name val="Calibri"/>
      <family val="2"/>
      <charset val="222"/>
      <scheme val="minor"/>
    </font>
    <font>
      <i/>
      <sz val="15.95"/>
      <color indexed="8"/>
      <name val="CordiaUPC"/>
      <family val="2"/>
    </font>
    <font>
      <sz val="12"/>
      <name val="Arial"/>
      <family val="2"/>
    </font>
    <font>
      <sz val="11"/>
      <color indexed="8"/>
      <name val="Calibri"/>
      <family val="2"/>
      <charset val="222"/>
    </font>
    <font>
      <sz val="14"/>
      <name val="CordiaUPC"/>
      <family val="2"/>
      <charset val="222"/>
    </font>
    <font>
      <sz val="16"/>
      <name val="CordiaUPC"/>
      <family val="2"/>
      <charset val="222"/>
    </font>
    <font>
      <i/>
      <sz val="15.95"/>
      <color indexed="8"/>
      <name val="CordiaUPC"/>
      <family val="2"/>
      <charset val="222"/>
    </font>
    <font>
      <sz val="14"/>
      <color theme="1"/>
      <name val="CordiaUPC"/>
      <family val="2"/>
      <charset val="222"/>
    </font>
    <font>
      <sz val="10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b/>
      <sz val="11.2"/>
      <color indexed="8"/>
      <name val="AngsanaUPC"/>
      <family val="1"/>
      <charset val="222"/>
    </font>
    <font>
      <sz val="9"/>
      <name val="Geneva"/>
    </font>
    <font>
      <sz val="14"/>
      <name val="AngsanaUPC"/>
      <family val="1"/>
      <charset val="222"/>
    </font>
    <font>
      <b/>
      <sz val="12"/>
      <name val="Cordia New"/>
      <family val="2"/>
      <charset val="222"/>
    </font>
    <font>
      <b/>
      <sz val="11"/>
      <color indexed="8"/>
      <name val="Cordia New"/>
      <family val="2"/>
      <charset val="222"/>
    </font>
    <font>
      <sz val="10"/>
      <color indexed="16"/>
      <name val="MS Serif"/>
      <family val="1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b/>
      <sz val="18"/>
      <name val="Arial"/>
      <family val="2"/>
    </font>
    <font>
      <u/>
      <sz val="9.9"/>
      <color theme="10"/>
      <name val="Tahoma"/>
      <family val="2"/>
    </font>
    <font>
      <u/>
      <sz val="9.9"/>
      <color theme="10"/>
      <name val="Tahoma"/>
      <family val="2"/>
      <charset val="222"/>
    </font>
    <font>
      <u/>
      <sz val="11"/>
      <color theme="10"/>
      <name val="Calibri"/>
      <family val="2"/>
      <scheme val="minor"/>
    </font>
    <font>
      <u/>
      <sz val="8.8000000000000007"/>
      <color theme="10"/>
      <name val="Tahoma"/>
      <family val="2"/>
      <charset val="222"/>
    </font>
    <font>
      <u/>
      <sz val="11"/>
      <color theme="10"/>
      <name val="Calibri"/>
      <family val="2"/>
      <charset val="222"/>
    </font>
    <font>
      <u/>
      <sz val="11"/>
      <color theme="10"/>
      <name val="Calibri"/>
      <family val="2"/>
      <charset val="222"/>
      <scheme val="minor"/>
    </font>
    <font>
      <u/>
      <sz val="11"/>
      <color theme="10"/>
      <name val="Tahoma"/>
      <family val="2"/>
      <charset val="222"/>
    </font>
    <font>
      <u/>
      <sz val="8.8000000000000007"/>
      <color theme="10"/>
      <name val="Calibri"/>
      <family val="2"/>
      <charset val="222"/>
    </font>
    <font>
      <u/>
      <sz val="11"/>
      <color theme="10"/>
      <name val="Arial"/>
      <family val="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4"/>
      <name val="Helv"/>
    </font>
    <font>
      <sz val="24"/>
      <name val="Helv"/>
    </font>
    <font>
      <b/>
      <sz val="11"/>
      <name val="Helv"/>
    </font>
    <font>
      <sz val="10"/>
      <name val="MS Sans Serif"/>
      <family val="2"/>
      <charset val="222"/>
    </font>
    <font>
      <sz val="11"/>
      <color indexed="60"/>
      <name val="Tahoma"/>
      <family val="2"/>
      <charset val="222"/>
    </font>
    <font>
      <sz val="7"/>
      <name val="Small Fonts"/>
      <family val="2"/>
    </font>
    <font>
      <b/>
      <i/>
      <sz val="16"/>
      <name val="Helv"/>
      <charset val="222"/>
    </font>
    <font>
      <sz val="12"/>
      <name val="CORDIAUP"/>
    </font>
    <font>
      <sz val="10"/>
      <color indexed="8"/>
      <name val="MS Sans Serif"/>
      <family val="2"/>
      <charset val="222"/>
    </font>
    <font>
      <sz val="11"/>
      <color indexed="8"/>
      <name val="Tahoma"/>
      <family val="2"/>
    </font>
    <font>
      <sz val="16"/>
      <name val="CordiaUPC"/>
      <family val="2"/>
    </font>
    <font>
      <sz val="11"/>
      <color theme="1"/>
      <name val="Cordia New"/>
      <family val="2"/>
      <charset val="222"/>
    </font>
    <font>
      <sz val="14"/>
      <name val="Cordia New"/>
      <family val="2"/>
      <charset val="222"/>
    </font>
    <font>
      <sz val="11"/>
      <name val="Arial"/>
      <family val="2"/>
    </font>
    <font>
      <sz val="16"/>
      <name val="AngsanaUPC"/>
      <family val="1"/>
      <charset val="222"/>
    </font>
    <font>
      <b/>
      <sz val="11"/>
      <color indexed="63"/>
      <name val="Tahoma"/>
      <family val="2"/>
      <charset val="222"/>
    </font>
    <font>
      <sz val="10"/>
      <color indexed="8"/>
      <name val="Arial"/>
      <family val="2"/>
    </font>
    <font>
      <sz val="10"/>
      <name val="MS Sans Serif"/>
      <family val="2"/>
    </font>
    <font>
      <b/>
      <sz val="10"/>
      <name val="MS Sans Serif"/>
      <family val="2"/>
      <charset val="222"/>
    </font>
    <font>
      <b/>
      <sz val="10"/>
      <name val="Arial"/>
      <family val="2"/>
    </font>
    <font>
      <b/>
      <sz val="18"/>
      <color indexed="62"/>
      <name val="Angsana New"/>
      <family val="2"/>
      <charset val="222"/>
    </font>
    <font>
      <b/>
      <sz val="8"/>
      <color indexed="8"/>
      <name val="Helv"/>
      <family val="2"/>
    </font>
    <font>
      <sz val="10"/>
      <color indexed="22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2"/>
      <color indexed="18"/>
      <name val="Arial"/>
      <family val="2"/>
    </font>
    <font>
      <b/>
      <sz val="14"/>
      <color indexed="18"/>
      <name val="Arial"/>
      <family val="2"/>
    </font>
    <font>
      <b/>
      <sz val="20"/>
      <color indexed="18"/>
      <name val="Arial"/>
      <family val="2"/>
    </font>
    <font>
      <sz val="14"/>
      <name val=".Vn3DH"/>
      <family val="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0"/>
      <name val="VNtimes new roman"/>
    </font>
    <font>
      <sz val="11"/>
      <color indexed="10"/>
      <name val="Tahoma"/>
      <family val="2"/>
      <charset val="222"/>
    </font>
    <font>
      <sz val="22"/>
      <name val="ＭＳ 明朝"/>
      <family val="1"/>
      <charset val="128"/>
    </font>
    <font>
      <sz val="10"/>
      <color theme="1"/>
      <name val="Tahoma"/>
      <family val="2"/>
      <charset val="222"/>
    </font>
    <font>
      <u/>
      <sz val="12.6"/>
      <color indexed="12"/>
      <name val="CordiaUPC"/>
      <family val="2"/>
      <charset val="222"/>
    </font>
    <font>
      <sz val="12"/>
      <name val="ทsฒำฉ๚ล้"/>
      <charset val="136"/>
    </font>
    <font>
      <u/>
      <sz val="12.6"/>
      <color indexed="36"/>
      <name val="CordiaUPC"/>
      <family val="2"/>
      <charset val="222"/>
    </font>
    <font>
      <sz val="12"/>
      <name val="นูลมรผ"/>
      <charset val="129"/>
    </font>
    <font>
      <sz val="11"/>
      <color theme="1"/>
      <name val="Calibri"/>
      <family val="2"/>
    </font>
    <font>
      <sz val="14"/>
      <name val="CordiaUPC"/>
      <family val="2"/>
    </font>
    <font>
      <sz val="11"/>
      <color theme="1"/>
      <name val="Tahoma"/>
      <family val="2"/>
      <charset val="22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2"/>
      <name val="新細明體"/>
      <charset val="136"/>
    </font>
    <font>
      <u/>
      <sz val="12"/>
      <color indexed="36"/>
      <name val="宋体"/>
      <charset val="134"/>
    </font>
    <font>
      <sz val="11"/>
      <name val="ＭＳ Ｐゴシック"/>
      <family val="3"/>
      <charset val="128"/>
    </font>
    <font>
      <u/>
      <sz val="12"/>
      <color indexed="12"/>
      <name val="宋体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33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494">
    <xf numFmtId="0" fontId="0" fillId="0" borderId="0"/>
    <xf numFmtId="0" fontId="1" fillId="0" borderId="0"/>
    <xf numFmtId="0" fontId="2" fillId="0" borderId="0"/>
    <xf numFmtId="168" fontId="3" fillId="0" borderId="12" applyFont="0" applyBorder="0"/>
    <xf numFmtId="169" fontId="4" fillId="0" borderId="0" applyNumberFormat="0" applyAlignment="0">
      <alignment horizontal="center"/>
      <protection hidden="1"/>
    </xf>
    <xf numFmtId="0" fontId="5" fillId="0" borderId="0"/>
    <xf numFmtId="170" fontId="5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8" fillId="17" borderId="0"/>
    <xf numFmtId="0" fontId="9" fillId="0" borderId="0">
      <alignment vertical="center"/>
    </xf>
    <xf numFmtId="0" fontId="10" fillId="17" borderId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171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171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171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171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17" borderId="0"/>
    <xf numFmtId="0" fontId="13" fillId="0" borderId="0">
      <alignment wrapText="1"/>
    </xf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171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171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71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71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9" fontId="15" fillId="0" borderId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7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7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6" fillId="35" borderId="0" applyNumberFormat="0" applyBorder="0" applyAlignment="0" applyProtection="0"/>
    <xf numFmtId="0" fontId="16" fillId="39" borderId="0" applyNumberFormat="0" applyBorder="0" applyAlignment="0" applyProtection="0"/>
    <xf numFmtId="0" fontId="17" fillId="36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6" fillId="32" borderId="0" applyNumberFormat="0" applyBorder="0" applyAlignment="0" applyProtection="0"/>
    <xf numFmtId="0" fontId="16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6" fillId="41" borderId="0" applyNumberFormat="0" applyBorder="0" applyAlignment="0" applyProtection="0"/>
    <xf numFmtId="0" fontId="16" fillId="32" borderId="0" applyNumberFormat="0" applyBorder="0" applyAlignment="0" applyProtection="0"/>
    <xf numFmtId="0" fontId="17" fillId="33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6" fillId="35" borderId="0" applyNumberFormat="0" applyBorder="0" applyAlignment="0" applyProtection="0"/>
    <xf numFmtId="0" fontId="16" fillId="42" borderId="0" applyNumberFormat="0" applyBorder="0" applyAlignment="0" applyProtection="0"/>
    <xf numFmtId="0" fontId="17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0" borderId="0"/>
    <xf numFmtId="0" fontId="21" fillId="0" borderId="0"/>
    <xf numFmtId="172" fontId="5" fillId="0" borderId="0" applyFill="0" applyBorder="0" applyAlignment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3" fillId="0" borderId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167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25" fillId="0" borderId="0" applyFont="0" applyFill="0" applyBorder="0" applyAlignment="0" applyProtection="0"/>
    <xf numFmtId="174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4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25" fillId="0" borderId="0" applyFont="0" applyFill="0" applyBorder="0" applyAlignment="0" applyProtection="0"/>
    <xf numFmtId="174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25" fillId="0" borderId="0" applyFont="0" applyFill="0" applyBorder="0" applyAlignment="0" applyProtection="0"/>
    <xf numFmtId="174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7" fontId="11" fillId="0" borderId="0" applyFont="0" applyFill="0" applyBorder="0" applyAlignment="0" applyProtection="0"/>
    <xf numFmtId="175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25" fillId="0" borderId="0" applyFont="0" applyFill="0" applyBorder="0" applyAlignment="0" applyProtection="0"/>
    <xf numFmtId="171" fontId="2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8" fontId="2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26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8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31" fillId="0" borderId="1" applyFont="0" applyFill="0" applyProtection="0">
      <alignment horizontal="center"/>
    </xf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73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35" fillId="0" borderId="0"/>
    <xf numFmtId="181" fontId="25" fillId="0" borderId="0"/>
    <xf numFmtId="181" fontId="25" fillId="0" borderId="0"/>
    <xf numFmtId="181" fontId="25" fillId="0" borderId="0"/>
    <xf numFmtId="181" fontId="25" fillId="0" borderId="0"/>
    <xf numFmtId="181" fontId="25" fillId="0" borderId="0"/>
    <xf numFmtId="181" fontId="25" fillId="0" borderId="0"/>
    <xf numFmtId="181" fontId="25" fillId="0" borderId="0"/>
    <xf numFmtId="181" fontId="25" fillId="0" borderId="0"/>
    <xf numFmtId="3" fontId="5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0" fontId="38" fillId="0" borderId="0" applyNumberFormat="0" applyFill="0" applyBorder="0" applyProtection="0">
      <alignment horizontal="left" vertical="center"/>
    </xf>
    <xf numFmtId="171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8" fillId="0" borderId="0" applyNumberFormat="0" applyFill="0" applyBorder="0" applyProtection="0">
      <alignment horizontal="left" vertical="center"/>
    </xf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8" fillId="0" borderId="0" applyNumberFormat="0" applyFill="0" applyBorder="0" applyProtection="0">
      <alignment horizontal="left" vertical="center"/>
    </xf>
    <xf numFmtId="0" fontId="38" fillId="0" borderId="0" applyNumberFormat="0" applyFill="0" applyBorder="0" applyProtection="0">
      <alignment horizontal="left" vertical="center"/>
    </xf>
    <xf numFmtId="0" fontId="38" fillId="0" borderId="0" applyNumberFormat="0" applyFill="0" applyBorder="0" applyProtection="0">
      <alignment horizontal="left" vertical="center"/>
    </xf>
    <xf numFmtId="0" fontId="38" fillId="0" borderId="0" applyNumberFormat="0" applyFill="0" applyBorder="0" applyProtection="0">
      <alignment horizontal="left" vertical="center"/>
    </xf>
    <xf numFmtId="0" fontId="38" fillId="0" borderId="0" applyNumberFormat="0" applyFill="0" applyBorder="0" applyProtection="0">
      <alignment horizontal="left" vertical="center"/>
    </xf>
    <xf numFmtId="0" fontId="38" fillId="0" borderId="0" applyNumberFormat="0" applyFill="0" applyBorder="0" applyProtection="0">
      <alignment horizontal="left" vertical="center"/>
    </xf>
    <xf numFmtId="0" fontId="38" fillId="0" borderId="0" applyNumberFormat="0" applyFill="0" applyBorder="0" applyProtection="0">
      <alignment horizontal="left" vertical="center"/>
    </xf>
    <xf numFmtId="166" fontId="2" fillId="0" borderId="0" applyFont="0" applyFill="0" applyBorder="0" applyAlignment="0" applyProtection="0"/>
    <xf numFmtId="171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3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15" fillId="0" borderId="0"/>
    <xf numFmtId="184" fontId="40" fillId="0" borderId="0"/>
    <xf numFmtId="0" fontId="29" fillId="0" borderId="0" applyProtection="0"/>
    <xf numFmtId="15" fontId="41" fillId="0" borderId="7"/>
    <xf numFmtId="185" fontId="3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40" fillId="0" borderId="0"/>
    <xf numFmtId="187" fontId="41" fillId="0" borderId="1" applyBorder="0"/>
    <xf numFmtId="187" fontId="41" fillId="0" borderId="1" applyBorder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3" fillId="0" borderId="0" applyNumberFormat="0" applyAlignment="0">
      <alignment horizontal="left"/>
    </xf>
    <xf numFmtId="18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2" fontId="29" fillId="0" borderId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38" fontId="46" fillId="49" borderId="0" applyNumberFormat="0" applyBorder="0" applyAlignment="0" applyProtection="0"/>
    <xf numFmtId="38" fontId="46" fillId="17" borderId="0" applyNumberFormat="0" applyBorder="0" applyAlignment="0" applyProtection="0"/>
    <xf numFmtId="38" fontId="46" fillId="17" borderId="0" applyNumberFormat="0" applyBorder="0" applyAlignment="0" applyProtection="0"/>
    <xf numFmtId="38" fontId="46" fillId="17" borderId="0" applyNumberFormat="0" applyBorder="0" applyAlignment="0" applyProtection="0"/>
    <xf numFmtId="0" fontId="47" fillId="0" borderId="0">
      <alignment horizontal="left"/>
    </xf>
    <xf numFmtId="0" fontId="48" fillId="0" borderId="9" applyNumberFormat="0" applyAlignment="0" applyProtection="0">
      <alignment horizontal="left" vertical="center"/>
    </xf>
    <xf numFmtId="0" fontId="48" fillId="0" borderId="6">
      <alignment horizontal="left" vertical="center"/>
    </xf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Protection="0"/>
    <xf numFmtId="0" fontId="48" fillId="0" borderId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10" fontId="46" fillId="49" borderId="1" applyNumberFormat="0" applyBorder="0" applyAlignment="0" applyProtection="0"/>
    <xf numFmtId="10" fontId="46" fillId="50" borderId="1" applyNumberFormat="0" applyBorder="0" applyAlignment="0" applyProtection="0"/>
    <xf numFmtId="10" fontId="46" fillId="50" borderId="1" applyNumberFormat="0" applyBorder="0" applyAlignment="0" applyProtection="0"/>
    <xf numFmtId="10" fontId="46" fillId="50" borderId="1" applyNumberFormat="0" applyBorder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5" fillId="51" borderId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5" fillId="52" borderId="0"/>
    <xf numFmtId="0" fontId="64" fillId="0" borderId="0"/>
    <xf numFmtId="0" fontId="4" fillId="0" borderId="0"/>
    <xf numFmtId="0" fontId="64" fillId="0" borderId="0"/>
    <xf numFmtId="0" fontId="4" fillId="0" borderId="0"/>
    <xf numFmtId="0" fontId="65" fillId="0" borderId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66" fillId="0" borderId="8"/>
    <xf numFmtId="170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90" fontId="67" fillId="0" borderId="0" applyFont="0" applyFill="0" applyBorder="0" applyAlignment="0" applyProtection="0"/>
    <xf numFmtId="191" fontId="67" fillId="0" borderId="0" applyFont="0" applyFill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37" fontId="69" fillId="0" borderId="0"/>
    <xf numFmtId="0" fontId="64" fillId="0" borderId="0"/>
    <xf numFmtId="0" fontId="4" fillId="0" borderId="0"/>
    <xf numFmtId="0" fontId="4" fillId="0" borderId="0"/>
    <xf numFmtId="192" fontId="70" fillId="0" borderId="0"/>
    <xf numFmtId="193" fontId="71" fillId="0" borderId="0"/>
    <xf numFmtId="193" fontId="71" fillId="0" borderId="0"/>
    <xf numFmtId="193" fontId="7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171" fontId="2" fillId="0" borderId="0"/>
    <xf numFmtId="171" fontId="2" fillId="0" borderId="0"/>
    <xf numFmtId="171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15" fillId="0" borderId="0"/>
    <xf numFmtId="0" fontId="2" fillId="0" borderId="0"/>
    <xf numFmtId="0" fontId="2" fillId="0" borderId="0"/>
    <xf numFmtId="171" fontId="2" fillId="0" borderId="0"/>
    <xf numFmtId="0" fontId="7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5" fillId="0" borderId="0"/>
    <xf numFmtId="171" fontId="73" fillId="0" borderId="0"/>
    <xf numFmtId="0" fontId="2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0" fontId="7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1" fillId="0" borderId="0"/>
    <xf numFmtId="0" fontId="2" fillId="0" borderId="0"/>
    <xf numFmtId="171" fontId="2" fillId="0" borderId="0"/>
    <xf numFmtId="0" fontId="1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72" fillId="0" borderId="0"/>
    <xf numFmtId="0" fontId="72" fillId="0" borderId="0"/>
    <xf numFmtId="0" fontId="11" fillId="0" borderId="0"/>
    <xf numFmtId="0" fontId="72" fillId="0" borderId="0"/>
    <xf numFmtId="0" fontId="72" fillId="0" borderId="0"/>
    <xf numFmtId="0" fontId="7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/>
    <xf numFmtId="0" fontId="72" fillId="0" borderId="0"/>
    <xf numFmtId="0" fontId="7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/>
    <xf numFmtId="0" fontId="5" fillId="0" borderId="0"/>
    <xf numFmtId="171" fontId="2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/>
    <xf numFmtId="0" fontId="5" fillId="0" borderId="0"/>
    <xf numFmtId="171" fontId="2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171" fontId="2" fillId="0" borderId="0"/>
    <xf numFmtId="0" fontId="11" fillId="0" borderId="0"/>
    <xf numFmtId="171" fontId="2" fillId="0" borderId="0"/>
    <xf numFmtId="171" fontId="2" fillId="0" borderId="0"/>
    <xf numFmtId="171" fontId="2" fillId="0" borderId="0"/>
    <xf numFmtId="0" fontId="11" fillId="0" borderId="0"/>
    <xf numFmtId="0" fontId="2" fillId="0" borderId="0"/>
    <xf numFmtId="0" fontId="5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5" fillId="0" borderId="0"/>
    <xf numFmtId="171" fontId="73" fillId="0" borderId="0"/>
    <xf numFmtId="0" fontId="25" fillId="0" borderId="0"/>
    <xf numFmtId="171" fontId="73" fillId="0" borderId="0"/>
    <xf numFmtId="0" fontId="2" fillId="0" borderId="0"/>
    <xf numFmtId="0" fontId="2" fillId="0" borderId="0"/>
    <xf numFmtId="171" fontId="2" fillId="0" borderId="0"/>
    <xf numFmtId="0" fontId="74" fillId="0" borderId="0"/>
    <xf numFmtId="171" fontId="73" fillId="0" borderId="0"/>
    <xf numFmtId="0" fontId="5" fillId="0" borderId="0"/>
    <xf numFmtId="171" fontId="73" fillId="0" borderId="0"/>
    <xf numFmtId="0" fontId="2" fillId="0" borderId="0"/>
    <xf numFmtId="0" fontId="2" fillId="0" borderId="0"/>
    <xf numFmtId="171" fontId="2" fillId="0" borderId="0"/>
    <xf numFmtId="171" fontId="73" fillId="0" borderId="0"/>
    <xf numFmtId="171" fontId="2" fillId="0" borderId="0"/>
    <xf numFmtId="0" fontId="1" fillId="0" borderId="0"/>
    <xf numFmtId="171" fontId="73" fillId="0" borderId="0"/>
    <xf numFmtId="0" fontId="73" fillId="0" borderId="0"/>
    <xf numFmtId="171" fontId="7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" fillId="0" borderId="0"/>
    <xf numFmtId="171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71" fontId="2" fillId="0" borderId="0"/>
    <xf numFmtId="171" fontId="25" fillId="0" borderId="0"/>
    <xf numFmtId="0" fontId="2" fillId="0" borderId="0"/>
    <xf numFmtId="0" fontId="2" fillId="0" borderId="0"/>
    <xf numFmtId="171" fontId="2" fillId="0" borderId="0"/>
    <xf numFmtId="171" fontId="1" fillId="0" borderId="0"/>
    <xf numFmtId="171" fontId="2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71" fontId="2" fillId="0" borderId="0"/>
    <xf numFmtId="171" fontId="2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71" fontId="2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171" fontId="73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5" fillId="0" borderId="0"/>
    <xf numFmtId="171" fontId="2" fillId="0" borderId="0"/>
    <xf numFmtId="171" fontId="2" fillId="0" borderId="0"/>
    <xf numFmtId="171" fontId="76" fillId="0" borderId="0"/>
    <xf numFmtId="171" fontId="76" fillId="0" borderId="0"/>
    <xf numFmtId="171" fontId="76" fillId="0" borderId="0"/>
    <xf numFmtId="171" fontId="76" fillId="0" borderId="0"/>
    <xf numFmtId="0" fontId="5" fillId="0" borderId="0"/>
    <xf numFmtId="0" fontId="1" fillId="0" borderId="0"/>
    <xf numFmtId="0" fontId="1" fillId="0" borderId="0"/>
    <xf numFmtId="0" fontId="1" fillId="0" borderId="0"/>
    <xf numFmtId="171" fontId="76" fillId="0" borderId="0"/>
    <xf numFmtId="171" fontId="76" fillId="0" borderId="0"/>
    <xf numFmtId="171" fontId="39" fillId="0" borderId="0"/>
    <xf numFmtId="0" fontId="39" fillId="0" borderId="0"/>
    <xf numFmtId="0" fontId="39" fillId="0" borderId="0"/>
    <xf numFmtId="171" fontId="2" fillId="0" borderId="0"/>
    <xf numFmtId="0" fontId="2" fillId="0" borderId="0"/>
    <xf numFmtId="0" fontId="2" fillId="0" borderId="0"/>
    <xf numFmtId="0" fontId="76" fillId="0" borderId="0"/>
    <xf numFmtId="0" fontId="76" fillId="0" borderId="0"/>
    <xf numFmtId="0" fontId="5" fillId="0" borderId="0"/>
    <xf numFmtId="0" fontId="72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171" fontId="2" fillId="0" borderId="0"/>
    <xf numFmtId="171" fontId="2" fillId="0" borderId="0"/>
    <xf numFmtId="0" fontId="72" fillId="0" borderId="0"/>
    <xf numFmtId="0" fontId="2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1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5" fillId="0" borderId="0"/>
    <xf numFmtId="0" fontId="15" fillId="0" borderId="0"/>
    <xf numFmtId="0" fontId="5" fillId="0" borderId="0"/>
    <xf numFmtId="0" fontId="72" fillId="0" borderId="0"/>
    <xf numFmtId="171" fontId="2" fillId="0" borderId="0"/>
    <xf numFmtId="171" fontId="2" fillId="0" borderId="0"/>
    <xf numFmtId="171" fontId="11" fillId="0" borderId="0"/>
    <xf numFmtId="0" fontId="2" fillId="0" borderId="0"/>
    <xf numFmtId="171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7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30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0" fontId="5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7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71" fontId="25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0" fontId="2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171" fontId="1" fillId="0" borderId="0"/>
    <xf numFmtId="0" fontId="2" fillId="0" borderId="0"/>
    <xf numFmtId="171" fontId="2" fillId="0" borderId="0"/>
    <xf numFmtId="0" fontId="72" fillId="0" borderId="0"/>
    <xf numFmtId="0" fontId="25" fillId="0" borderId="0"/>
    <xf numFmtId="0" fontId="5" fillId="0" borderId="0"/>
    <xf numFmtId="171" fontId="7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2" fillId="0" borderId="0"/>
    <xf numFmtId="0" fontId="7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171" fontId="5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1" fillId="0" borderId="0"/>
    <xf numFmtId="171" fontId="2" fillId="0" borderId="0"/>
    <xf numFmtId="171" fontId="2" fillId="0" borderId="0"/>
    <xf numFmtId="0" fontId="78" fillId="0" borderId="0" applyFill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5" fillId="0" borderId="0"/>
    <xf numFmtId="171" fontId="2" fillId="0" borderId="0"/>
    <xf numFmtId="0" fontId="2" fillId="0" borderId="0"/>
    <xf numFmtId="0" fontId="5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5" fillId="0" borderId="0"/>
    <xf numFmtId="171" fontId="2" fillId="0" borderId="0"/>
    <xf numFmtId="0" fontId="2" fillId="0" borderId="0"/>
    <xf numFmtId="194" fontId="5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5" fillId="0" borderId="0"/>
    <xf numFmtId="171" fontId="2" fillId="0" borderId="0"/>
    <xf numFmtId="171" fontId="2" fillId="0" borderId="0"/>
    <xf numFmtId="0" fontId="7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171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11" fillId="54" borderId="19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14" fontId="19" fillId="0" borderId="0">
      <alignment horizontal="center" wrapText="1"/>
      <protection locked="0"/>
    </xf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0" fillId="0" borderId="0" applyFont="0" applyFill="0" applyBorder="0" applyAlignment="0" applyProtection="0">
      <alignment vertical="top"/>
    </xf>
    <xf numFmtId="9" fontId="3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1" fillId="0" borderId="10" applyNumberFormat="0" applyBorder="0"/>
    <xf numFmtId="0" fontId="4" fillId="0" borderId="0"/>
    <xf numFmtId="0" fontId="67" fillId="0" borderId="0" applyNumberFormat="0" applyFont="0" applyFill="0" applyBorder="0" applyAlignment="0" applyProtection="0">
      <alignment horizontal="left"/>
    </xf>
    <xf numFmtId="0" fontId="82" fillId="0" borderId="8">
      <alignment horizontal="center"/>
    </xf>
    <xf numFmtId="195" fontId="5" fillId="0" borderId="0" applyNumberFormat="0" applyFill="0" applyBorder="0" applyAlignment="0" applyProtection="0">
      <alignment horizontal="left"/>
    </xf>
    <xf numFmtId="0" fontId="83" fillId="55" borderId="1" applyProtection="0">
      <alignment horizontal="left" vertical="top" wrapText="1"/>
    </xf>
    <xf numFmtId="0" fontId="84" fillId="0" borderId="0" applyNumberFormat="0" applyFill="0" applyBorder="0" applyAlignment="0" applyProtection="0"/>
    <xf numFmtId="0" fontId="5" fillId="0" borderId="0"/>
    <xf numFmtId="0" fontId="1" fillId="0" borderId="0"/>
    <xf numFmtId="0" fontId="67" fillId="0" borderId="0"/>
    <xf numFmtId="0" fontId="66" fillId="0" borderId="0"/>
    <xf numFmtId="40" fontId="85" fillId="0" borderId="0" applyBorder="0">
      <alignment horizontal="right"/>
    </xf>
    <xf numFmtId="196" fontId="86" fillId="17" borderId="0" applyNumberFormat="0" applyBorder="0" applyAlignment="0">
      <alignment horizontal="center" vertical="center"/>
      <protection hidden="1"/>
    </xf>
    <xf numFmtId="0" fontId="83" fillId="0" borderId="21">
      <alignment horizontal="center" vertical="center" wrapText="1"/>
      <protection locked="0"/>
    </xf>
    <xf numFmtId="0" fontId="87" fillId="0" borderId="0">
      <protection locked="0"/>
    </xf>
    <xf numFmtId="0" fontId="88" fillId="0" borderId="0"/>
    <xf numFmtId="0" fontId="89" fillId="50" borderId="21">
      <alignment horizontal="right" vertical="center" wrapText="1"/>
      <protection locked="0"/>
    </xf>
    <xf numFmtId="0" fontId="90" fillId="0" borderId="0" applyProtection="0"/>
    <xf numFmtId="0" fontId="91" fillId="0" borderId="0">
      <protection locked="0"/>
    </xf>
    <xf numFmtId="0" fontId="92" fillId="0" borderId="0" applyFont="0">
      <alignment horizontal="centerContinuous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5" fillId="0" borderId="0"/>
    <xf numFmtId="0" fontId="95" fillId="0" borderId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>
      <alignment vertical="center"/>
    </xf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22" fillId="44" borderId="13" applyNumberFormat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9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19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9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9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67" fontId="32" fillId="0" borderId="0" applyFont="0" applyFill="0" applyBorder="0" applyAlignment="0" applyProtection="0"/>
    <xf numFmtId="197" fontId="5" fillId="0" borderId="0" applyFont="0" applyFill="0" applyBorder="0" applyAlignment="0" applyProtection="0"/>
    <xf numFmtId="200" fontId="2" fillId="0" borderId="0" applyFont="0" applyFill="0" applyBorder="0" applyAlignment="0" applyProtection="0"/>
    <xf numFmtId="167" fontId="98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9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9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24" fillId="45" borderId="14" applyNumberFormat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44" fontId="100" fillId="0" borderId="0" applyFont="0" applyFill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9" fontId="102" fillId="0" borderId="0" applyFont="0" applyFill="0" applyBorder="0" applyAlignment="0" applyProtection="0"/>
    <xf numFmtId="0" fontId="74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104" fillId="0" borderId="0"/>
    <xf numFmtId="0" fontId="5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4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98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" fillId="0" borderId="0"/>
    <xf numFmtId="0" fontId="5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3" fillId="0" borderId="0"/>
    <xf numFmtId="0" fontId="26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5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6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1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0" fontId="5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0" fontId="5" fillId="0" borderId="0"/>
    <xf numFmtId="194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4" fontId="2" fillId="0" borderId="0"/>
    <xf numFmtId="171" fontId="2" fillId="0" borderId="0"/>
    <xf numFmtId="194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3" fillId="0" borderId="0"/>
    <xf numFmtId="194" fontId="105" fillId="0" borderId="0"/>
    <xf numFmtId="0" fontId="103" fillId="0" borderId="0"/>
    <xf numFmtId="171" fontId="105" fillId="0" borderId="0"/>
    <xf numFmtId="0" fontId="103" fillId="0" borderId="0"/>
    <xf numFmtId="171" fontId="29" fillId="0" borderId="0"/>
    <xf numFmtId="171" fontId="29" fillId="0" borderId="0"/>
    <xf numFmtId="171" fontId="29" fillId="0" borderId="0"/>
    <xf numFmtId="171" fontId="29" fillId="0" borderId="0"/>
    <xf numFmtId="171" fontId="2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8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1" fillId="0" borderId="0"/>
    <xf numFmtId="171" fontId="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194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74" fillId="0" borderId="0"/>
    <xf numFmtId="0" fontId="2" fillId="0" borderId="0"/>
    <xf numFmtId="0" fontId="2" fillId="0" borderId="0"/>
    <xf numFmtId="0" fontId="103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5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2" fillId="0" borderId="0"/>
    <xf numFmtId="0" fontId="1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5" fillId="0" borderId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2" fillId="23" borderId="13" applyNumberFormat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0" fillId="0" borderId="0" applyFont="0" applyFill="0" applyBorder="0" applyAlignment="0" applyProtection="0">
      <alignment vertical="top"/>
    </xf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0" fillId="0" borderId="0" applyFont="0" applyFill="0" applyBorder="0" applyAlignment="0" applyProtection="0">
      <alignment vertical="top"/>
    </xf>
    <xf numFmtId="9" fontId="32" fillId="0" borderId="0" applyFont="0" applyFill="0" applyBorder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201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2" fillId="0" borderId="0"/>
    <xf numFmtId="171" fontId="2" fillId="0" borderId="0"/>
    <xf numFmtId="171" fontId="2" fillId="0" borderId="0"/>
    <xf numFmtId="171" fontId="2" fillId="0" borderId="0"/>
    <xf numFmtId="0" fontId="102" fillId="0" borderId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79" fillId="44" borderId="20" applyNumberForma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11" fillId="54" borderId="19" applyNumberFormat="0" applyFont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9" fontId="107" fillId="0" borderId="0" applyFont="0" applyFill="0" applyBorder="0" applyAlignment="0" applyProtection="0"/>
    <xf numFmtId="0" fontId="108" fillId="0" borderId="0"/>
    <xf numFmtId="20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109" fillId="0" borderId="0"/>
    <xf numFmtId="0" fontId="110" fillId="0" borderId="0"/>
    <xf numFmtId="165" fontId="110" fillId="0" borderId="0" applyFont="0" applyFill="0" applyBorder="0" applyAlignment="0" applyProtection="0"/>
    <xf numFmtId="167" fontId="110" fillId="0" borderId="0" applyFont="0" applyFill="0" applyBorder="0" applyAlignment="0" applyProtection="0"/>
    <xf numFmtId="0" fontId="111" fillId="0" borderId="0" applyNumberFormat="0" applyFill="0" applyBorder="0" applyAlignment="0" applyProtection="0">
      <alignment vertical="top"/>
      <protection locked="0"/>
    </xf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0" fontId="112" fillId="0" borderId="0"/>
    <xf numFmtId="170" fontId="110" fillId="0" borderId="0" applyFont="0" applyFill="0" applyBorder="0" applyAlignment="0" applyProtection="0"/>
    <xf numFmtId="189" fontId="110" fillId="0" borderId="0" applyFon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4" fillId="0" borderId="0"/>
  </cellStyleXfs>
  <cellXfs count="55">
    <xf numFmtId="0" fontId="0" fillId="0" borderId="0" xfId="0"/>
    <xf numFmtId="0" fontId="5" fillId="0" borderId="1" xfId="30493" applyFont="1" applyBorder="1" applyAlignment="1">
      <alignment horizontal="center"/>
    </xf>
    <xf numFmtId="0" fontId="114" fillId="0" borderId="0" xfId="30493"/>
    <xf numFmtId="0" fontId="5" fillId="0" borderId="5" xfId="30493" applyFont="1" applyBorder="1"/>
    <xf numFmtId="0" fontId="5" fillId="0" borderId="1" xfId="30493" applyFont="1" applyBorder="1"/>
    <xf numFmtId="0" fontId="5" fillId="0" borderId="1" xfId="30493" applyFont="1" applyFill="1" applyBorder="1"/>
    <xf numFmtId="0" fontId="114" fillId="2" borderId="1" xfId="30493" applyFill="1" applyBorder="1" applyAlignment="1">
      <alignment horizontal="center"/>
    </xf>
    <xf numFmtId="0" fontId="115" fillId="0" borderId="1" xfId="30493" applyFont="1" applyFill="1" applyBorder="1" applyAlignment="1">
      <alignment horizontal="center"/>
    </xf>
    <xf numFmtId="0" fontId="115" fillId="0" borderId="1" xfId="30493" applyFont="1" applyFill="1" applyBorder="1" applyAlignment="1"/>
    <xf numFmtId="0" fontId="115" fillId="56" borderId="1" xfId="30493" applyFont="1" applyFill="1" applyBorder="1" applyAlignment="1">
      <alignment horizontal="center"/>
    </xf>
    <xf numFmtId="0" fontId="115" fillId="0" borderId="1" xfId="30493" applyFont="1" applyBorder="1"/>
    <xf numFmtId="0" fontId="115" fillId="0" borderId="1" xfId="30493" applyFont="1" applyBorder="1" applyAlignment="1">
      <alignment horizontal="center"/>
    </xf>
    <xf numFmtId="0" fontId="114" fillId="0" borderId="0" xfId="30493" applyFill="1" applyBorder="1" applyAlignment="1">
      <alignment vertical="center"/>
    </xf>
    <xf numFmtId="0" fontId="114" fillId="0" borderId="0" xfId="30493" applyAlignment="1">
      <alignment horizontal="center"/>
    </xf>
    <xf numFmtId="0" fontId="114" fillId="0" borderId="0" xfId="30493" applyBorder="1"/>
    <xf numFmtId="0" fontId="5" fillId="0" borderId="0" xfId="30493" applyFont="1"/>
    <xf numFmtId="0" fontId="114" fillId="3" borderId="1" xfId="30493" applyFill="1" applyBorder="1" applyAlignment="1">
      <alignment horizontal="center"/>
    </xf>
    <xf numFmtId="0" fontId="5" fillId="58" borderId="1" xfId="30493" applyFont="1" applyFill="1" applyBorder="1" applyAlignment="1">
      <alignment horizontal="center"/>
    </xf>
    <xf numFmtId="0" fontId="5" fillId="0" borderId="1" xfId="30493" applyFont="1" applyFill="1" applyBorder="1" applyAlignment="1">
      <alignment horizontal="center"/>
    </xf>
    <xf numFmtId="0" fontId="115" fillId="0" borderId="1" xfId="30493" applyFont="1" applyFill="1" applyBorder="1"/>
    <xf numFmtId="0" fontId="114" fillId="0" borderId="0" xfId="30493" applyBorder="1" applyAlignment="1">
      <alignment vertical="center"/>
    </xf>
    <xf numFmtId="0" fontId="5" fillId="0" borderId="5" xfId="30493" applyFont="1" applyBorder="1" applyAlignment="1">
      <alignment horizontal="center"/>
    </xf>
    <xf numFmtId="0" fontId="5" fillId="0" borderId="0" xfId="30493" applyFont="1" applyFill="1" applyBorder="1" applyAlignment="1">
      <alignment horizontal="center"/>
    </xf>
    <xf numFmtId="0" fontId="115" fillId="0" borderId="0" xfId="30493" applyFont="1" applyFill="1" applyBorder="1" applyAlignment="1">
      <alignment horizontal="center"/>
    </xf>
    <xf numFmtId="0" fontId="114" fillId="0" borderId="0" xfId="30493" applyFill="1" applyAlignment="1">
      <alignment horizontal="center"/>
    </xf>
    <xf numFmtId="0" fontId="114" fillId="0" borderId="0" xfId="30493" applyFill="1" applyBorder="1" applyAlignment="1">
      <alignment horizontal="center" vertical="center"/>
    </xf>
    <xf numFmtId="0" fontId="116" fillId="0" borderId="0" xfId="30493" applyFont="1" applyFill="1" applyBorder="1" applyAlignment="1">
      <alignment horizontal="center"/>
    </xf>
    <xf numFmtId="0" fontId="5" fillId="57" borderId="3" xfId="30493" applyFont="1" applyFill="1" applyBorder="1" applyAlignment="1">
      <alignment vertical="center"/>
    </xf>
    <xf numFmtId="0" fontId="5" fillId="57" borderId="4" xfId="30493" applyFont="1" applyFill="1" applyBorder="1" applyAlignment="1">
      <alignment vertical="center"/>
    </xf>
    <xf numFmtId="0" fontId="5" fillId="57" borderId="5" xfId="30493" applyFont="1" applyFill="1" applyBorder="1" applyAlignment="1">
      <alignment vertical="center"/>
    </xf>
    <xf numFmtId="0" fontId="114" fillId="0" borderId="0" xfId="30493" applyFill="1"/>
    <xf numFmtId="0" fontId="115" fillId="56" borderId="1" xfId="30493" applyFont="1" applyFill="1" applyBorder="1" applyAlignment="1">
      <alignment horizontal="center"/>
    </xf>
    <xf numFmtId="0" fontId="115" fillId="56" borderId="1" xfId="30493" applyFont="1" applyFill="1" applyBorder="1" applyAlignment="1">
      <alignment horizontal="center"/>
    </xf>
    <xf numFmtId="0" fontId="115" fillId="56" borderId="1" xfId="30493" applyFont="1" applyFill="1" applyBorder="1" applyAlignment="1">
      <alignment horizontal="center"/>
    </xf>
    <xf numFmtId="0" fontId="116" fillId="0" borderId="5" xfId="30493" applyFont="1" applyBorder="1" applyAlignment="1">
      <alignment horizontal="center"/>
    </xf>
    <xf numFmtId="0" fontId="115" fillId="0" borderId="5" xfId="30493" applyFont="1" applyBorder="1" applyAlignment="1">
      <alignment horizontal="center"/>
    </xf>
    <xf numFmtId="0" fontId="115" fillId="0" borderId="5" xfId="30493" applyFont="1" applyFill="1" applyBorder="1" applyAlignment="1">
      <alignment horizontal="center"/>
    </xf>
    <xf numFmtId="0" fontId="115" fillId="56" borderId="1" xfId="30493" applyFont="1" applyFill="1" applyBorder="1" applyAlignment="1">
      <alignment horizontal="center"/>
    </xf>
    <xf numFmtId="0" fontId="115" fillId="0" borderId="5" xfId="30493" applyFont="1" applyBorder="1"/>
    <xf numFmtId="0" fontId="5" fillId="0" borderId="1" xfId="30493" applyFont="1" applyBorder="1" applyAlignment="1">
      <alignment horizontal="center" vertical="center"/>
    </xf>
    <xf numFmtId="0" fontId="114" fillId="0" borderId="3" xfId="30493" applyBorder="1" applyAlignment="1">
      <alignment horizontal="center" vertical="center"/>
    </xf>
    <xf numFmtId="0" fontId="114" fillId="0" borderId="5" xfId="30493" applyBorder="1" applyAlignment="1">
      <alignment horizontal="center" vertical="center"/>
    </xf>
    <xf numFmtId="0" fontId="115" fillId="56" borderId="7" xfId="30493" applyFont="1" applyFill="1" applyBorder="1" applyAlignment="1">
      <alignment horizontal="center"/>
    </xf>
    <xf numFmtId="0" fontId="115" fillId="56" borderId="2" xfId="30493" applyFont="1" applyFill="1" applyBorder="1" applyAlignment="1">
      <alignment horizontal="center"/>
    </xf>
    <xf numFmtId="0" fontId="5" fillId="59" borderId="2" xfId="30493" applyFont="1" applyFill="1" applyBorder="1" applyAlignment="1">
      <alignment horizontal="center" vertical="center"/>
    </xf>
    <xf numFmtId="0" fontId="114" fillId="59" borderId="1" xfId="30493" applyFill="1" applyBorder="1" applyAlignment="1">
      <alignment horizontal="center" vertical="center"/>
    </xf>
    <xf numFmtId="0" fontId="114" fillId="59" borderId="2" xfId="30493" applyFill="1" applyBorder="1" applyAlignment="1">
      <alignment horizontal="center" vertical="center"/>
    </xf>
    <xf numFmtId="0" fontId="5" fillId="57" borderId="3" xfId="30493" applyFont="1" applyFill="1" applyBorder="1" applyAlignment="1">
      <alignment horizontal="center" vertical="center"/>
    </xf>
    <xf numFmtId="0" fontId="5" fillId="57" borderId="4" xfId="30493" applyFont="1" applyFill="1" applyBorder="1" applyAlignment="1">
      <alignment horizontal="center" vertical="center"/>
    </xf>
    <xf numFmtId="0" fontId="5" fillId="57" borderId="5" xfId="30493" applyFont="1" applyFill="1" applyBorder="1" applyAlignment="1">
      <alignment horizontal="center" vertical="center"/>
    </xf>
    <xf numFmtId="0" fontId="115" fillId="56" borderId="1" xfId="30493" applyFont="1" applyFill="1" applyBorder="1" applyAlignment="1">
      <alignment horizontal="center"/>
    </xf>
    <xf numFmtId="0" fontId="5" fillId="0" borderId="1" xfId="30493" applyFont="1" applyBorder="1" applyAlignment="1">
      <alignment horizontal="center" vertical="center"/>
    </xf>
    <xf numFmtId="0" fontId="5" fillId="0" borderId="3" xfId="30493" applyFont="1" applyBorder="1" applyAlignment="1">
      <alignment horizontal="center" vertical="center" wrapText="1"/>
    </xf>
    <xf numFmtId="0" fontId="5" fillId="0" borderId="4" xfId="30493" applyFont="1" applyBorder="1" applyAlignment="1">
      <alignment horizontal="center" vertical="center" wrapText="1"/>
    </xf>
    <xf numFmtId="0" fontId="5" fillId="0" borderId="0" xfId="30493" applyFont="1" applyFill="1" applyBorder="1" applyAlignment="1">
      <alignment horizontal="center" vertical="center"/>
    </xf>
  </cellXfs>
  <cellStyles count="30494">
    <cellStyle name="." xfId="3"/>
    <cellStyle name=";;;" xfId="4"/>
    <cellStyle name="??" xfId="5"/>
    <cellStyle name="?? [0]_RESULTS" xfId="6"/>
    <cellStyle name="??&amp;O?&amp;H?_x0008__x000f__x0007_?_x0007__x0001__x0001_" xfId="7"/>
    <cellStyle name="??&amp;O?&amp;H?_x0008_??_x0007__x0001__x0001_" xfId="8"/>
    <cellStyle name="??_kc-elec system check list" xfId="9"/>
    <cellStyle name="•W_1234@PC" xfId="10"/>
    <cellStyle name="0,0_x000d__x000a_NA_x000d__x000a_" xfId="11"/>
    <cellStyle name="1" xfId="12"/>
    <cellStyle name="12" xfId="13"/>
    <cellStyle name="2" xfId="14"/>
    <cellStyle name="20% - Accent1 10" xfId="15"/>
    <cellStyle name="20% - Accent1 10 2" xfId="16"/>
    <cellStyle name="20% - Accent1 10 2 2" xfId="17"/>
    <cellStyle name="20% - Accent1 10 2 2 2" xfId="18"/>
    <cellStyle name="20% - Accent1 10 2 3" xfId="19"/>
    <cellStyle name="20% - Accent1 10 2 3 2" xfId="20"/>
    <cellStyle name="20% - Accent1 10 2 4" xfId="21"/>
    <cellStyle name="20% - Accent1 10 3" xfId="22"/>
    <cellStyle name="20% - Accent1 10 3 2" xfId="23"/>
    <cellStyle name="20% - Accent1 10 3 2 2" xfId="24"/>
    <cellStyle name="20% - Accent1 10 3 3" xfId="25"/>
    <cellStyle name="20% - Accent1 10 3 3 2" xfId="26"/>
    <cellStyle name="20% - Accent1 10 3 4" xfId="27"/>
    <cellStyle name="20% - Accent1 10 4" xfId="28"/>
    <cellStyle name="20% - Accent1 10 4 2" xfId="29"/>
    <cellStyle name="20% - Accent1 10 5" xfId="30"/>
    <cellStyle name="20% - Accent1 10 5 2" xfId="31"/>
    <cellStyle name="20% - Accent1 10 6" xfId="32"/>
    <cellStyle name="20% - Accent1 100" xfId="33"/>
    <cellStyle name="20% - Accent1 100 2" xfId="34"/>
    <cellStyle name="20% - Accent1 100 2 2" xfId="35"/>
    <cellStyle name="20% - Accent1 100 3" xfId="36"/>
    <cellStyle name="20% - Accent1 100 3 2" xfId="37"/>
    <cellStyle name="20% - Accent1 100 4" xfId="38"/>
    <cellStyle name="20% - Accent1 101" xfId="39"/>
    <cellStyle name="20% - Accent1 101 2" xfId="40"/>
    <cellStyle name="20% - Accent1 101 2 2" xfId="41"/>
    <cellStyle name="20% - Accent1 101 3" xfId="42"/>
    <cellStyle name="20% - Accent1 101 3 2" xfId="43"/>
    <cellStyle name="20% - Accent1 101 4" xfId="44"/>
    <cellStyle name="20% - Accent1 102" xfId="45"/>
    <cellStyle name="20% - Accent1 102 2" xfId="46"/>
    <cellStyle name="20% - Accent1 102 2 2" xfId="47"/>
    <cellStyle name="20% - Accent1 102 3" xfId="48"/>
    <cellStyle name="20% - Accent1 102 3 2" xfId="49"/>
    <cellStyle name="20% - Accent1 102 4" xfId="50"/>
    <cellStyle name="20% - Accent1 103" xfId="51"/>
    <cellStyle name="20% - Accent1 103 2" xfId="52"/>
    <cellStyle name="20% - Accent1 103 2 2" xfId="53"/>
    <cellStyle name="20% - Accent1 103 3" xfId="54"/>
    <cellStyle name="20% - Accent1 103 3 2" xfId="55"/>
    <cellStyle name="20% - Accent1 103 4" xfId="56"/>
    <cellStyle name="20% - Accent1 104" xfId="57"/>
    <cellStyle name="20% - Accent1 104 2" xfId="58"/>
    <cellStyle name="20% - Accent1 104 2 2" xfId="59"/>
    <cellStyle name="20% - Accent1 104 3" xfId="60"/>
    <cellStyle name="20% - Accent1 104 3 2" xfId="61"/>
    <cellStyle name="20% - Accent1 104 4" xfId="62"/>
    <cellStyle name="20% - Accent1 105" xfId="63"/>
    <cellStyle name="20% - Accent1 105 2" xfId="64"/>
    <cellStyle name="20% - Accent1 105 2 2" xfId="65"/>
    <cellStyle name="20% - Accent1 105 3" xfId="66"/>
    <cellStyle name="20% - Accent1 105 3 2" xfId="67"/>
    <cellStyle name="20% - Accent1 105 4" xfId="68"/>
    <cellStyle name="20% - Accent1 106" xfId="69"/>
    <cellStyle name="20% - Accent1 106 2" xfId="70"/>
    <cellStyle name="20% - Accent1 106 2 2" xfId="71"/>
    <cellStyle name="20% - Accent1 106 3" xfId="72"/>
    <cellStyle name="20% - Accent1 106 3 2" xfId="73"/>
    <cellStyle name="20% - Accent1 106 4" xfId="74"/>
    <cellStyle name="20% - Accent1 107" xfId="75"/>
    <cellStyle name="20% - Accent1 107 2" xfId="76"/>
    <cellStyle name="20% - Accent1 107 2 2" xfId="77"/>
    <cellStyle name="20% - Accent1 107 3" xfId="78"/>
    <cellStyle name="20% - Accent1 107 3 2" xfId="79"/>
    <cellStyle name="20% - Accent1 107 4" xfId="80"/>
    <cellStyle name="20% - Accent1 108" xfId="81"/>
    <cellStyle name="20% - Accent1 108 2" xfId="82"/>
    <cellStyle name="20% - Accent1 108 2 2" xfId="83"/>
    <cellStyle name="20% - Accent1 108 3" xfId="84"/>
    <cellStyle name="20% - Accent1 108 3 2" xfId="85"/>
    <cellStyle name="20% - Accent1 108 4" xfId="86"/>
    <cellStyle name="20% - Accent1 109" xfId="87"/>
    <cellStyle name="20% - Accent1 109 2" xfId="88"/>
    <cellStyle name="20% - Accent1 109 2 2" xfId="89"/>
    <cellStyle name="20% - Accent1 109 3" xfId="90"/>
    <cellStyle name="20% - Accent1 109 3 2" xfId="91"/>
    <cellStyle name="20% - Accent1 109 4" xfId="92"/>
    <cellStyle name="20% - Accent1 11" xfId="93"/>
    <cellStyle name="20% - Accent1 11 2" xfId="94"/>
    <cellStyle name="20% - Accent1 11 2 2" xfId="95"/>
    <cellStyle name="20% - Accent1 11 2 2 2" xfId="96"/>
    <cellStyle name="20% - Accent1 11 2 3" xfId="97"/>
    <cellStyle name="20% - Accent1 11 2 3 2" xfId="98"/>
    <cellStyle name="20% - Accent1 11 2 4" xfId="99"/>
    <cellStyle name="20% - Accent1 11 3" xfId="100"/>
    <cellStyle name="20% - Accent1 11 3 2" xfId="101"/>
    <cellStyle name="20% - Accent1 11 3 2 2" xfId="102"/>
    <cellStyle name="20% - Accent1 11 3 3" xfId="103"/>
    <cellStyle name="20% - Accent1 11 3 3 2" xfId="104"/>
    <cellStyle name="20% - Accent1 11 3 4" xfId="105"/>
    <cellStyle name="20% - Accent1 11 4" xfId="106"/>
    <cellStyle name="20% - Accent1 11 4 2" xfId="107"/>
    <cellStyle name="20% - Accent1 11 5" xfId="108"/>
    <cellStyle name="20% - Accent1 11 5 2" xfId="109"/>
    <cellStyle name="20% - Accent1 11 6" xfId="110"/>
    <cellStyle name="20% - Accent1 110" xfId="111"/>
    <cellStyle name="20% - Accent1 110 2" xfId="112"/>
    <cellStyle name="20% - Accent1 110 2 2" xfId="113"/>
    <cellStyle name="20% - Accent1 110 3" xfId="114"/>
    <cellStyle name="20% - Accent1 110 3 2" xfId="115"/>
    <cellStyle name="20% - Accent1 110 4" xfId="116"/>
    <cellStyle name="20% - Accent1 111" xfId="117"/>
    <cellStyle name="20% - Accent1 111 2" xfId="118"/>
    <cellStyle name="20% - Accent1 111 2 2" xfId="119"/>
    <cellStyle name="20% - Accent1 111 3" xfId="120"/>
    <cellStyle name="20% - Accent1 111 3 2" xfId="121"/>
    <cellStyle name="20% - Accent1 111 4" xfId="122"/>
    <cellStyle name="20% - Accent1 112" xfId="123"/>
    <cellStyle name="20% - Accent1 112 2" xfId="124"/>
    <cellStyle name="20% - Accent1 112 2 2" xfId="125"/>
    <cellStyle name="20% - Accent1 112 3" xfId="126"/>
    <cellStyle name="20% - Accent1 112 3 2" xfId="127"/>
    <cellStyle name="20% - Accent1 112 4" xfId="128"/>
    <cellStyle name="20% - Accent1 113" xfId="129"/>
    <cellStyle name="20% - Accent1 113 2" xfId="130"/>
    <cellStyle name="20% - Accent1 113 2 2" xfId="131"/>
    <cellStyle name="20% - Accent1 113 3" xfId="132"/>
    <cellStyle name="20% - Accent1 113 3 2" xfId="133"/>
    <cellStyle name="20% - Accent1 113 4" xfId="134"/>
    <cellStyle name="20% - Accent1 114" xfId="135"/>
    <cellStyle name="20% - Accent1 114 2" xfId="136"/>
    <cellStyle name="20% - Accent1 114 2 2" xfId="137"/>
    <cellStyle name="20% - Accent1 114 3" xfId="138"/>
    <cellStyle name="20% - Accent1 114 3 2" xfId="139"/>
    <cellStyle name="20% - Accent1 114 4" xfId="140"/>
    <cellStyle name="20% - Accent1 115" xfId="141"/>
    <cellStyle name="20% - Accent1 115 2" xfId="142"/>
    <cellStyle name="20% - Accent1 115 2 2" xfId="143"/>
    <cellStyle name="20% - Accent1 115 3" xfId="144"/>
    <cellStyle name="20% - Accent1 115 3 2" xfId="145"/>
    <cellStyle name="20% - Accent1 115 4" xfId="146"/>
    <cellStyle name="20% - Accent1 116" xfId="147"/>
    <cellStyle name="20% - Accent1 116 2" xfId="148"/>
    <cellStyle name="20% - Accent1 116 2 2" xfId="149"/>
    <cellStyle name="20% - Accent1 116 3" xfId="150"/>
    <cellStyle name="20% - Accent1 116 3 2" xfId="151"/>
    <cellStyle name="20% - Accent1 116 4" xfId="152"/>
    <cellStyle name="20% - Accent1 117" xfId="153"/>
    <cellStyle name="20% - Accent1 117 2" xfId="154"/>
    <cellStyle name="20% - Accent1 117 2 2" xfId="155"/>
    <cellStyle name="20% - Accent1 117 3" xfId="156"/>
    <cellStyle name="20% - Accent1 117 3 2" xfId="157"/>
    <cellStyle name="20% - Accent1 117 4" xfId="158"/>
    <cellStyle name="20% - Accent1 118" xfId="159"/>
    <cellStyle name="20% - Accent1 118 2" xfId="160"/>
    <cellStyle name="20% - Accent1 118 2 2" xfId="161"/>
    <cellStyle name="20% - Accent1 118 3" xfId="162"/>
    <cellStyle name="20% - Accent1 118 3 2" xfId="163"/>
    <cellStyle name="20% - Accent1 118 4" xfId="164"/>
    <cellStyle name="20% - Accent1 119" xfId="165"/>
    <cellStyle name="20% - Accent1 119 2" xfId="166"/>
    <cellStyle name="20% - Accent1 119 2 2" xfId="167"/>
    <cellStyle name="20% - Accent1 119 3" xfId="168"/>
    <cellStyle name="20% - Accent1 119 3 2" xfId="169"/>
    <cellStyle name="20% - Accent1 119 4" xfId="170"/>
    <cellStyle name="20% - Accent1 12" xfId="171"/>
    <cellStyle name="20% - Accent1 12 2" xfId="172"/>
    <cellStyle name="20% - Accent1 12 2 2" xfId="173"/>
    <cellStyle name="20% - Accent1 12 2 2 2" xfId="174"/>
    <cellStyle name="20% - Accent1 12 2 3" xfId="175"/>
    <cellStyle name="20% - Accent1 12 2 3 2" xfId="176"/>
    <cellStyle name="20% - Accent1 12 2 4" xfId="177"/>
    <cellStyle name="20% - Accent1 12 3" xfId="178"/>
    <cellStyle name="20% - Accent1 12 3 2" xfId="179"/>
    <cellStyle name="20% - Accent1 12 3 2 2" xfId="180"/>
    <cellStyle name="20% - Accent1 12 3 3" xfId="181"/>
    <cellStyle name="20% - Accent1 12 3 3 2" xfId="182"/>
    <cellStyle name="20% - Accent1 12 3 4" xfId="183"/>
    <cellStyle name="20% - Accent1 12 4" xfId="184"/>
    <cellStyle name="20% - Accent1 12 4 2" xfId="185"/>
    <cellStyle name="20% - Accent1 12 5" xfId="186"/>
    <cellStyle name="20% - Accent1 12 5 2" xfId="187"/>
    <cellStyle name="20% - Accent1 12 6" xfId="188"/>
    <cellStyle name="20% - Accent1 120" xfId="189"/>
    <cellStyle name="20% - Accent1 120 2" xfId="190"/>
    <cellStyle name="20% - Accent1 120 2 2" xfId="191"/>
    <cellStyle name="20% - Accent1 120 3" xfId="192"/>
    <cellStyle name="20% - Accent1 120 3 2" xfId="193"/>
    <cellStyle name="20% - Accent1 120 4" xfId="194"/>
    <cellStyle name="20% - Accent1 121" xfId="195"/>
    <cellStyle name="20% - Accent1 121 2" xfId="196"/>
    <cellStyle name="20% - Accent1 121 2 2" xfId="197"/>
    <cellStyle name="20% - Accent1 121 3" xfId="198"/>
    <cellStyle name="20% - Accent1 121 3 2" xfId="199"/>
    <cellStyle name="20% - Accent1 121 4" xfId="200"/>
    <cellStyle name="20% - Accent1 122" xfId="201"/>
    <cellStyle name="20% - Accent1 122 2" xfId="202"/>
    <cellStyle name="20% - Accent1 122 2 2" xfId="203"/>
    <cellStyle name="20% - Accent1 122 3" xfId="204"/>
    <cellStyle name="20% - Accent1 122 3 2" xfId="205"/>
    <cellStyle name="20% - Accent1 122 4" xfId="206"/>
    <cellStyle name="20% - Accent1 123" xfId="207"/>
    <cellStyle name="20% - Accent1 123 2" xfId="208"/>
    <cellStyle name="20% - Accent1 123 2 2" xfId="209"/>
    <cellStyle name="20% - Accent1 123 3" xfId="210"/>
    <cellStyle name="20% - Accent1 123 3 2" xfId="211"/>
    <cellStyle name="20% - Accent1 123 4" xfId="212"/>
    <cellStyle name="20% - Accent1 124" xfId="213"/>
    <cellStyle name="20% - Accent1 124 2" xfId="214"/>
    <cellStyle name="20% - Accent1 124 2 2" xfId="215"/>
    <cellStyle name="20% - Accent1 124 3" xfId="216"/>
    <cellStyle name="20% - Accent1 124 3 2" xfId="217"/>
    <cellStyle name="20% - Accent1 124 4" xfId="218"/>
    <cellStyle name="20% - Accent1 125" xfId="219"/>
    <cellStyle name="20% - Accent1 125 2" xfId="220"/>
    <cellStyle name="20% - Accent1 125 2 2" xfId="221"/>
    <cellStyle name="20% - Accent1 125 3" xfId="222"/>
    <cellStyle name="20% - Accent1 125 3 2" xfId="223"/>
    <cellStyle name="20% - Accent1 125 4" xfId="224"/>
    <cellStyle name="20% - Accent1 126" xfId="225"/>
    <cellStyle name="20% - Accent1 126 2" xfId="226"/>
    <cellStyle name="20% - Accent1 126 2 2" xfId="227"/>
    <cellStyle name="20% - Accent1 126 3" xfId="228"/>
    <cellStyle name="20% - Accent1 126 3 2" xfId="229"/>
    <cellStyle name="20% - Accent1 126 4" xfId="230"/>
    <cellStyle name="20% - Accent1 127" xfId="231"/>
    <cellStyle name="20% - Accent1 127 2" xfId="232"/>
    <cellStyle name="20% - Accent1 127 2 2" xfId="233"/>
    <cellStyle name="20% - Accent1 127 3" xfId="234"/>
    <cellStyle name="20% - Accent1 127 3 2" xfId="235"/>
    <cellStyle name="20% - Accent1 127 4" xfId="236"/>
    <cellStyle name="20% - Accent1 128" xfId="237"/>
    <cellStyle name="20% - Accent1 128 2" xfId="238"/>
    <cellStyle name="20% - Accent1 128 2 2" xfId="239"/>
    <cellStyle name="20% - Accent1 128 3" xfId="240"/>
    <cellStyle name="20% - Accent1 128 3 2" xfId="241"/>
    <cellStyle name="20% - Accent1 128 4" xfId="242"/>
    <cellStyle name="20% - Accent1 129" xfId="243"/>
    <cellStyle name="20% - Accent1 129 2" xfId="244"/>
    <cellStyle name="20% - Accent1 129 2 2" xfId="245"/>
    <cellStyle name="20% - Accent1 129 3" xfId="246"/>
    <cellStyle name="20% - Accent1 129 3 2" xfId="247"/>
    <cellStyle name="20% - Accent1 129 4" xfId="248"/>
    <cellStyle name="20% - Accent1 13" xfId="249"/>
    <cellStyle name="20% - Accent1 13 2" xfId="250"/>
    <cellStyle name="20% - Accent1 13 2 2" xfId="251"/>
    <cellStyle name="20% - Accent1 13 2 2 2" xfId="252"/>
    <cellStyle name="20% - Accent1 13 2 3" xfId="253"/>
    <cellStyle name="20% - Accent1 13 2 3 2" xfId="254"/>
    <cellStyle name="20% - Accent1 13 2 4" xfId="255"/>
    <cellStyle name="20% - Accent1 13 3" xfId="256"/>
    <cellStyle name="20% - Accent1 13 3 2" xfId="257"/>
    <cellStyle name="20% - Accent1 13 3 2 2" xfId="258"/>
    <cellStyle name="20% - Accent1 13 3 3" xfId="259"/>
    <cellStyle name="20% - Accent1 13 3 3 2" xfId="260"/>
    <cellStyle name="20% - Accent1 13 3 4" xfId="261"/>
    <cellStyle name="20% - Accent1 13 4" xfId="262"/>
    <cellStyle name="20% - Accent1 13 4 2" xfId="263"/>
    <cellStyle name="20% - Accent1 13 5" xfId="264"/>
    <cellStyle name="20% - Accent1 13 5 2" xfId="265"/>
    <cellStyle name="20% - Accent1 13 6" xfId="266"/>
    <cellStyle name="20% - Accent1 130" xfId="267"/>
    <cellStyle name="20% - Accent1 130 2" xfId="268"/>
    <cellStyle name="20% - Accent1 130 2 2" xfId="269"/>
    <cellStyle name="20% - Accent1 130 3" xfId="270"/>
    <cellStyle name="20% - Accent1 130 3 2" xfId="271"/>
    <cellStyle name="20% - Accent1 130 4" xfId="272"/>
    <cellStyle name="20% - Accent1 131" xfId="273"/>
    <cellStyle name="20% - Accent1 131 2" xfId="274"/>
    <cellStyle name="20% - Accent1 131 2 2" xfId="275"/>
    <cellStyle name="20% - Accent1 131 3" xfId="276"/>
    <cellStyle name="20% - Accent1 131 3 2" xfId="277"/>
    <cellStyle name="20% - Accent1 131 4" xfId="278"/>
    <cellStyle name="20% - Accent1 132" xfId="279"/>
    <cellStyle name="20% - Accent1 132 2" xfId="280"/>
    <cellStyle name="20% - Accent1 132 2 2" xfId="281"/>
    <cellStyle name="20% - Accent1 132 3" xfId="282"/>
    <cellStyle name="20% - Accent1 132 3 2" xfId="283"/>
    <cellStyle name="20% - Accent1 132 4" xfId="284"/>
    <cellStyle name="20% - Accent1 133" xfId="285"/>
    <cellStyle name="20% - Accent1 133 2" xfId="286"/>
    <cellStyle name="20% - Accent1 133 2 2" xfId="287"/>
    <cellStyle name="20% - Accent1 133 3" xfId="288"/>
    <cellStyle name="20% - Accent1 133 3 2" xfId="289"/>
    <cellStyle name="20% - Accent1 133 4" xfId="290"/>
    <cellStyle name="20% - Accent1 134" xfId="291"/>
    <cellStyle name="20% - Accent1 134 2" xfId="292"/>
    <cellStyle name="20% - Accent1 134 2 2" xfId="293"/>
    <cellStyle name="20% - Accent1 134 3" xfId="294"/>
    <cellStyle name="20% - Accent1 134 3 2" xfId="295"/>
    <cellStyle name="20% - Accent1 134 4" xfId="296"/>
    <cellStyle name="20% - Accent1 135" xfId="297"/>
    <cellStyle name="20% - Accent1 135 2" xfId="298"/>
    <cellStyle name="20% - Accent1 135 2 2" xfId="299"/>
    <cellStyle name="20% - Accent1 135 3" xfId="300"/>
    <cellStyle name="20% - Accent1 135 3 2" xfId="301"/>
    <cellStyle name="20% - Accent1 135 4" xfId="302"/>
    <cellStyle name="20% - Accent1 136" xfId="303"/>
    <cellStyle name="20% - Accent1 136 2" xfId="304"/>
    <cellStyle name="20% - Accent1 136 2 2" xfId="305"/>
    <cellStyle name="20% - Accent1 136 3" xfId="306"/>
    <cellStyle name="20% - Accent1 136 3 2" xfId="307"/>
    <cellStyle name="20% - Accent1 136 4" xfId="308"/>
    <cellStyle name="20% - Accent1 137" xfId="309"/>
    <cellStyle name="20% - Accent1 137 2" xfId="310"/>
    <cellStyle name="20% - Accent1 137 2 2" xfId="311"/>
    <cellStyle name="20% - Accent1 137 3" xfId="312"/>
    <cellStyle name="20% - Accent1 137 3 2" xfId="313"/>
    <cellStyle name="20% - Accent1 137 4" xfId="314"/>
    <cellStyle name="20% - Accent1 138" xfId="315"/>
    <cellStyle name="20% - Accent1 138 2" xfId="316"/>
    <cellStyle name="20% - Accent1 138 2 2" xfId="317"/>
    <cellStyle name="20% - Accent1 138 3" xfId="318"/>
    <cellStyle name="20% - Accent1 138 3 2" xfId="319"/>
    <cellStyle name="20% - Accent1 138 4" xfId="320"/>
    <cellStyle name="20% - Accent1 139" xfId="321"/>
    <cellStyle name="20% - Accent1 139 2" xfId="322"/>
    <cellStyle name="20% - Accent1 139 2 2" xfId="323"/>
    <cellStyle name="20% - Accent1 139 3" xfId="324"/>
    <cellStyle name="20% - Accent1 139 3 2" xfId="325"/>
    <cellStyle name="20% - Accent1 139 4" xfId="326"/>
    <cellStyle name="20% - Accent1 14" xfId="327"/>
    <cellStyle name="20% - Accent1 14 2" xfId="328"/>
    <cellStyle name="20% - Accent1 14 2 2" xfId="329"/>
    <cellStyle name="20% - Accent1 14 2 2 2" xfId="330"/>
    <cellStyle name="20% - Accent1 14 2 3" xfId="331"/>
    <cellStyle name="20% - Accent1 14 2 3 2" xfId="332"/>
    <cellStyle name="20% - Accent1 14 2 4" xfId="333"/>
    <cellStyle name="20% - Accent1 14 3" xfId="334"/>
    <cellStyle name="20% - Accent1 14 3 2" xfId="335"/>
    <cellStyle name="20% - Accent1 14 3 2 2" xfId="336"/>
    <cellStyle name="20% - Accent1 14 3 3" xfId="337"/>
    <cellStyle name="20% - Accent1 14 3 3 2" xfId="338"/>
    <cellStyle name="20% - Accent1 14 3 4" xfId="339"/>
    <cellStyle name="20% - Accent1 14 4" xfId="340"/>
    <cellStyle name="20% - Accent1 14 4 2" xfId="341"/>
    <cellStyle name="20% - Accent1 14 5" xfId="342"/>
    <cellStyle name="20% - Accent1 14 5 2" xfId="343"/>
    <cellStyle name="20% - Accent1 14 6" xfId="344"/>
    <cellStyle name="20% - Accent1 140" xfId="345"/>
    <cellStyle name="20% - Accent1 140 2" xfId="346"/>
    <cellStyle name="20% - Accent1 140 2 2" xfId="347"/>
    <cellStyle name="20% - Accent1 140 3" xfId="348"/>
    <cellStyle name="20% - Accent1 140 3 2" xfId="349"/>
    <cellStyle name="20% - Accent1 140 4" xfId="350"/>
    <cellStyle name="20% - Accent1 141" xfId="351"/>
    <cellStyle name="20% - Accent1 141 2" xfId="352"/>
    <cellStyle name="20% - Accent1 141 2 2" xfId="353"/>
    <cellStyle name="20% - Accent1 141 3" xfId="354"/>
    <cellStyle name="20% - Accent1 141 3 2" xfId="355"/>
    <cellStyle name="20% - Accent1 141 4" xfId="356"/>
    <cellStyle name="20% - Accent1 142" xfId="357"/>
    <cellStyle name="20% - Accent1 142 2" xfId="358"/>
    <cellStyle name="20% - Accent1 142 2 2" xfId="359"/>
    <cellStyle name="20% - Accent1 142 3" xfId="360"/>
    <cellStyle name="20% - Accent1 142 3 2" xfId="361"/>
    <cellStyle name="20% - Accent1 142 4" xfId="362"/>
    <cellStyle name="20% - Accent1 143" xfId="363"/>
    <cellStyle name="20% - Accent1 143 2" xfId="364"/>
    <cellStyle name="20% - Accent1 143 2 2" xfId="365"/>
    <cellStyle name="20% - Accent1 143 3" xfId="366"/>
    <cellStyle name="20% - Accent1 143 3 2" xfId="367"/>
    <cellStyle name="20% - Accent1 143 4" xfId="368"/>
    <cellStyle name="20% - Accent1 144" xfId="369"/>
    <cellStyle name="20% - Accent1 144 2" xfId="370"/>
    <cellStyle name="20% - Accent1 144 2 2" xfId="371"/>
    <cellStyle name="20% - Accent1 144 3" xfId="372"/>
    <cellStyle name="20% - Accent1 144 3 2" xfId="373"/>
    <cellStyle name="20% - Accent1 144 4" xfId="374"/>
    <cellStyle name="20% - Accent1 145" xfId="375"/>
    <cellStyle name="20% - Accent1 145 2" xfId="376"/>
    <cellStyle name="20% - Accent1 145 2 2" xfId="377"/>
    <cellStyle name="20% - Accent1 145 3" xfId="378"/>
    <cellStyle name="20% - Accent1 145 3 2" xfId="379"/>
    <cellStyle name="20% - Accent1 145 4" xfId="380"/>
    <cellStyle name="20% - Accent1 146" xfId="381"/>
    <cellStyle name="20% - Accent1 146 2" xfId="382"/>
    <cellStyle name="20% - Accent1 146 2 2" xfId="383"/>
    <cellStyle name="20% - Accent1 146 3" xfId="384"/>
    <cellStyle name="20% - Accent1 146 3 2" xfId="385"/>
    <cellStyle name="20% - Accent1 146 4" xfId="386"/>
    <cellStyle name="20% - Accent1 147" xfId="387"/>
    <cellStyle name="20% - Accent1 147 2" xfId="388"/>
    <cellStyle name="20% - Accent1 147 2 2" xfId="389"/>
    <cellStyle name="20% - Accent1 147 3" xfId="390"/>
    <cellStyle name="20% - Accent1 147 3 2" xfId="391"/>
    <cellStyle name="20% - Accent1 147 4" xfId="392"/>
    <cellStyle name="20% - Accent1 148" xfId="393"/>
    <cellStyle name="20% - Accent1 148 2" xfId="394"/>
    <cellStyle name="20% - Accent1 148 2 2" xfId="395"/>
    <cellStyle name="20% - Accent1 148 3" xfId="396"/>
    <cellStyle name="20% - Accent1 148 3 2" xfId="397"/>
    <cellStyle name="20% - Accent1 148 4" xfId="398"/>
    <cellStyle name="20% - Accent1 149" xfId="399"/>
    <cellStyle name="20% - Accent1 149 2" xfId="400"/>
    <cellStyle name="20% - Accent1 149 2 2" xfId="401"/>
    <cellStyle name="20% - Accent1 149 3" xfId="402"/>
    <cellStyle name="20% - Accent1 149 3 2" xfId="403"/>
    <cellStyle name="20% - Accent1 149 4" xfId="404"/>
    <cellStyle name="20% - Accent1 15" xfId="405"/>
    <cellStyle name="20% - Accent1 15 2" xfId="406"/>
    <cellStyle name="20% - Accent1 15 2 2" xfId="407"/>
    <cellStyle name="20% - Accent1 15 2 2 2" xfId="408"/>
    <cellStyle name="20% - Accent1 15 2 3" xfId="409"/>
    <cellStyle name="20% - Accent1 15 2 3 2" xfId="410"/>
    <cellStyle name="20% - Accent1 15 2 4" xfId="411"/>
    <cellStyle name="20% - Accent1 15 3" xfId="412"/>
    <cellStyle name="20% - Accent1 15 3 2" xfId="413"/>
    <cellStyle name="20% - Accent1 15 3 2 2" xfId="414"/>
    <cellStyle name="20% - Accent1 15 3 3" xfId="415"/>
    <cellStyle name="20% - Accent1 15 3 3 2" xfId="416"/>
    <cellStyle name="20% - Accent1 15 3 4" xfId="417"/>
    <cellStyle name="20% - Accent1 15 4" xfId="418"/>
    <cellStyle name="20% - Accent1 15 4 2" xfId="419"/>
    <cellStyle name="20% - Accent1 15 5" xfId="420"/>
    <cellStyle name="20% - Accent1 15 5 2" xfId="421"/>
    <cellStyle name="20% - Accent1 15 6" xfId="422"/>
    <cellStyle name="20% - Accent1 150" xfId="423"/>
    <cellStyle name="20% - Accent1 150 2" xfId="424"/>
    <cellStyle name="20% - Accent1 150 2 2" xfId="425"/>
    <cellStyle name="20% - Accent1 150 3" xfId="426"/>
    <cellStyle name="20% - Accent1 150 3 2" xfId="427"/>
    <cellStyle name="20% - Accent1 150 4" xfId="428"/>
    <cellStyle name="20% - Accent1 151" xfId="429"/>
    <cellStyle name="20% - Accent1 151 2" xfId="430"/>
    <cellStyle name="20% - Accent1 151 2 2" xfId="431"/>
    <cellStyle name="20% - Accent1 151 3" xfId="432"/>
    <cellStyle name="20% - Accent1 151 3 2" xfId="433"/>
    <cellStyle name="20% - Accent1 151 4" xfId="434"/>
    <cellStyle name="20% - Accent1 152" xfId="435"/>
    <cellStyle name="20% - Accent1 152 2" xfId="436"/>
    <cellStyle name="20% - Accent1 152 2 2" xfId="437"/>
    <cellStyle name="20% - Accent1 152 3" xfId="438"/>
    <cellStyle name="20% - Accent1 152 3 2" xfId="439"/>
    <cellStyle name="20% - Accent1 152 4" xfId="440"/>
    <cellStyle name="20% - Accent1 153" xfId="441"/>
    <cellStyle name="20% - Accent1 153 2" xfId="442"/>
    <cellStyle name="20% - Accent1 153 2 2" xfId="443"/>
    <cellStyle name="20% - Accent1 153 3" xfId="444"/>
    <cellStyle name="20% - Accent1 153 3 2" xfId="445"/>
    <cellStyle name="20% - Accent1 153 4" xfId="446"/>
    <cellStyle name="20% - Accent1 154" xfId="447"/>
    <cellStyle name="20% - Accent1 154 2" xfId="448"/>
    <cellStyle name="20% - Accent1 154 2 2" xfId="449"/>
    <cellStyle name="20% - Accent1 154 3" xfId="450"/>
    <cellStyle name="20% - Accent1 154 3 2" xfId="451"/>
    <cellStyle name="20% - Accent1 154 4" xfId="452"/>
    <cellStyle name="20% - Accent1 155" xfId="453"/>
    <cellStyle name="20% - Accent1 155 2" xfId="454"/>
    <cellStyle name="20% - Accent1 155 2 2" xfId="455"/>
    <cellStyle name="20% - Accent1 155 3" xfId="456"/>
    <cellStyle name="20% - Accent1 155 3 2" xfId="457"/>
    <cellStyle name="20% - Accent1 155 4" xfId="458"/>
    <cellStyle name="20% - Accent1 156" xfId="459"/>
    <cellStyle name="20% - Accent1 156 2" xfId="460"/>
    <cellStyle name="20% - Accent1 156 2 2" xfId="461"/>
    <cellStyle name="20% - Accent1 156 3" xfId="462"/>
    <cellStyle name="20% - Accent1 156 3 2" xfId="463"/>
    <cellStyle name="20% - Accent1 156 4" xfId="464"/>
    <cellStyle name="20% - Accent1 157" xfId="465"/>
    <cellStyle name="20% - Accent1 157 2" xfId="466"/>
    <cellStyle name="20% - Accent1 157 2 2" xfId="467"/>
    <cellStyle name="20% - Accent1 157 3" xfId="468"/>
    <cellStyle name="20% - Accent1 157 3 2" xfId="469"/>
    <cellStyle name="20% - Accent1 157 4" xfId="470"/>
    <cellStyle name="20% - Accent1 158" xfId="471"/>
    <cellStyle name="20% - Accent1 158 2" xfId="472"/>
    <cellStyle name="20% - Accent1 158 2 2" xfId="473"/>
    <cellStyle name="20% - Accent1 158 3" xfId="474"/>
    <cellStyle name="20% - Accent1 158 3 2" xfId="475"/>
    <cellStyle name="20% - Accent1 158 4" xfId="476"/>
    <cellStyle name="20% - Accent1 159" xfId="477"/>
    <cellStyle name="20% - Accent1 159 2" xfId="478"/>
    <cellStyle name="20% - Accent1 159 2 2" xfId="479"/>
    <cellStyle name="20% - Accent1 159 3" xfId="480"/>
    <cellStyle name="20% - Accent1 159 3 2" xfId="481"/>
    <cellStyle name="20% - Accent1 159 4" xfId="482"/>
    <cellStyle name="20% - Accent1 16" xfId="483"/>
    <cellStyle name="20% - Accent1 16 2" xfId="484"/>
    <cellStyle name="20% - Accent1 16 2 2" xfId="485"/>
    <cellStyle name="20% - Accent1 16 2 2 2" xfId="486"/>
    <cellStyle name="20% - Accent1 16 2 3" xfId="487"/>
    <cellStyle name="20% - Accent1 16 2 3 2" xfId="488"/>
    <cellStyle name="20% - Accent1 16 2 4" xfId="489"/>
    <cellStyle name="20% - Accent1 16 3" xfId="490"/>
    <cellStyle name="20% - Accent1 16 3 2" xfId="491"/>
    <cellStyle name="20% - Accent1 16 3 2 2" xfId="492"/>
    <cellStyle name="20% - Accent1 16 3 3" xfId="493"/>
    <cellStyle name="20% - Accent1 16 3 3 2" xfId="494"/>
    <cellStyle name="20% - Accent1 16 3 4" xfId="495"/>
    <cellStyle name="20% - Accent1 16 4" xfId="496"/>
    <cellStyle name="20% - Accent1 16 4 2" xfId="497"/>
    <cellStyle name="20% - Accent1 16 5" xfId="498"/>
    <cellStyle name="20% - Accent1 16 5 2" xfId="499"/>
    <cellStyle name="20% - Accent1 16 6" xfId="500"/>
    <cellStyle name="20% - Accent1 160" xfId="501"/>
    <cellStyle name="20% - Accent1 160 2" xfId="502"/>
    <cellStyle name="20% - Accent1 160 2 2" xfId="503"/>
    <cellStyle name="20% - Accent1 160 3" xfId="504"/>
    <cellStyle name="20% - Accent1 160 3 2" xfId="505"/>
    <cellStyle name="20% - Accent1 160 4" xfId="506"/>
    <cellStyle name="20% - Accent1 161" xfId="507"/>
    <cellStyle name="20% - Accent1 161 2" xfId="508"/>
    <cellStyle name="20% - Accent1 161 2 2" xfId="509"/>
    <cellStyle name="20% - Accent1 161 3" xfId="510"/>
    <cellStyle name="20% - Accent1 161 3 2" xfId="511"/>
    <cellStyle name="20% - Accent1 161 4" xfId="512"/>
    <cellStyle name="20% - Accent1 162" xfId="513"/>
    <cellStyle name="20% - Accent1 162 2" xfId="514"/>
    <cellStyle name="20% - Accent1 162 2 2" xfId="515"/>
    <cellStyle name="20% - Accent1 162 3" xfId="516"/>
    <cellStyle name="20% - Accent1 162 3 2" xfId="517"/>
    <cellStyle name="20% - Accent1 162 4" xfId="518"/>
    <cellStyle name="20% - Accent1 163" xfId="519"/>
    <cellStyle name="20% - Accent1 163 2" xfId="520"/>
    <cellStyle name="20% - Accent1 163 2 2" xfId="521"/>
    <cellStyle name="20% - Accent1 163 3" xfId="522"/>
    <cellStyle name="20% - Accent1 163 3 2" xfId="523"/>
    <cellStyle name="20% - Accent1 163 4" xfId="524"/>
    <cellStyle name="20% - Accent1 164" xfId="525"/>
    <cellStyle name="20% - Accent1 164 2" xfId="526"/>
    <cellStyle name="20% - Accent1 164 2 2" xfId="527"/>
    <cellStyle name="20% - Accent1 164 3" xfId="528"/>
    <cellStyle name="20% - Accent1 164 3 2" xfId="529"/>
    <cellStyle name="20% - Accent1 164 4" xfId="530"/>
    <cellStyle name="20% - Accent1 165" xfId="531"/>
    <cellStyle name="20% - Accent1 165 2" xfId="532"/>
    <cellStyle name="20% - Accent1 165 2 2" xfId="533"/>
    <cellStyle name="20% - Accent1 165 3" xfId="534"/>
    <cellStyle name="20% - Accent1 165 3 2" xfId="535"/>
    <cellStyle name="20% - Accent1 165 4" xfId="536"/>
    <cellStyle name="20% - Accent1 166" xfId="537"/>
    <cellStyle name="20% - Accent1 166 2" xfId="538"/>
    <cellStyle name="20% - Accent1 166 2 2" xfId="539"/>
    <cellStyle name="20% - Accent1 166 3" xfId="540"/>
    <cellStyle name="20% - Accent1 166 3 2" xfId="541"/>
    <cellStyle name="20% - Accent1 166 4" xfId="542"/>
    <cellStyle name="20% - Accent1 167" xfId="543"/>
    <cellStyle name="20% - Accent1 167 2" xfId="544"/>
    <cellStyle name="20% - Accent1 167 2 2" xfId="545"/>
    <cellStyle name="20% - Accent1 167 3" xfId="546"/>
    <cellStyle name="20% - Accent1 167 3 2" xfId="547"/>
    <cellStyle name="20% - Accent1 167 4" xfId="548"/>
    <cellStyle name="20% - Accent1 168" xfId="549"/>
    <cellStyle name="20% - Accent1 168 2" xfId="550"/>
    <cellStyle name="20% - Accent1 168 2 2" xfId="551"/>
    <cellStyle name="20% - Accent1 168 3" xfId="552"/>
    <cellStyle name="20% - Accent1 168 3 2" xfId="553"/>
    <cellStyle name="20% - Accent1 168 4" xfId="554"/>
    <cellStyle name="20% - Accent1 169" xfId="555"/>
    <cellStyle name="20% - Accent1 169 2" xfId="556"/>
    <cellStyle name="20% - Accent1 169 2 2" xfId="557"/>
    <cellStyle name="20% - Accent1 169 3" xfId="558"/>
    <cellStyle name="20% - Accent1 169 3 2" xfId="559"/>
    <cellStyle name="20% - Accent1 169 4" xfId="560"/>
    <cellStyle name="20% - Accent1 17" xfId="561"/>
    <cellStyle name="20% - Accent1 17 2" xfId="562"/>
    <cellStyle name="20% - Accent1 17 2 2" xfId="563"/>
    <cellStyle name="20% - Accent1 17 2 2 2" xfId="564"/>
    <cellStyle name="20% - Accent1 17 2 3" xfId="565"/>
    <cellStyle name="20% - Accent1 17 2 3 2" xfId="566"/>
    <cellStyle name="20% - Accent1 17 2 4" xfId="567"/>
    <cellStyle name="20% - Accent1 17 3" xfId="568"/>
    <cellStyle name="20% - Accent1 17 3 2" xfId="569"/>
    <cellStyle name="20% - Accent1 17 3 2 2" xfId="570"/>
    <cellStyle name="20% - Accent1 17 3 3" xfId="571"/>
    <cellStyle name="20% - Accent1 17 3 3 2" xfId="572"/>
    <cellStyle name="20% - Accent1 17 3 4" xfId="573"/>
    <cellStyle name="20% - Accent1 17 4" xfId="574"/>
    <cellStyle name="20% - Accent1 17 4 2" xfId="575"/>
    <cellStyle name="20% - Accent1 17 5" xfId="576"/>
    <cellStyle name="20% - Accent1 17 5 2" xfId="577"/>
    <cellStyle name="20% - Accent1 17 6" xfId="578"/>
    <cellStyle name="20% - Accent1 170" xfId="579"/>
    <cellStyle name="20% - Accent1 170 2" xfId="580"/>
    <cellStyle name="20% - Accent1 170 2 2" xfId="581"/>
    <cellStyle name="20% - Accent1 170 3" xfId="582"/>
    <cellStyle name="20% - Accent1 170 3 2" xfId="583"/>
    <cellStyle name="20% - Accent1 170 4" xfId="584"/>
    <cellStyle name="20% - Accent1 171" xfId="585"/>
    <cellStyle name="20% - Accent1 171 2" xfId="586"/>
    <cellStyle name="20% - Accent1 171 2 2" xfId="587"/>
    <cellStyle name="20% - Accent1 171 3" xfId="588"/>
    <cellStyle name="20% - Accent1 171 3 2" xfId="589"/>
    <cellStyle name="20% - Accent1 171 4" xfId="590"/>
    <cellStyle name="20% - Accent1 172" xfId="591"/>
    <cellStyle name="20% - Accent1 172 2" xfId="592"/>
    <cellStyle name="20% - Accent1 172 2 2" xfId="593"/>
    <cellStyle name="20% - Accent1 172 3" xfId="594"/>
    <cellStyle name="20% - Accent1 172 3 2" xfId="595"/>
    <cellStyle name="20% - Accent1 172 4" xfId="596"/>
    <cellStyle name="20% - Accent1 173" xfId="597"/>
    <cellStyle name="20% - Accent1 173 2" xfId="598"/>
    <cellStyle name="20% - Accent1 173 2 2" xfId="599"/>
    <cellStyle name="20% - Accent1 173 3" xfId="600"/>
    <cellStyle name="20% - Accent1 173 3 2" xfId="601"/>
    <cellStyle name="20% - Accent1 173 4" xfId="602"/>
    <cellStyle name="20% - Accent1 174" xfId="603"/>
    <cellStyle name="20% - Accent1 174 2" xfId="604"/>
    <cellStyle name="20% - Accent1 174 2 2" xfId="605"/>
    <cellStyle name="20% - Accent1 174 3" xfId="606"/>
    <cellStyle name="20% - Accent1 174 3 2" xfId="607"/>
    <cellStyle name="20% - Accent1 174 4" xfId="608"/>
    <cellStyle name="20% - Accent1 175" xfId="609"/>
    <cellStyle name="20% - Accent1 175 2" xfId="610"/>
    <cellStyle name="20% - Accent1 175 2 2" xfId="611"/>
    <cellStyle name="20% - Accent1 175 3" xfId="612"/>
    <cellStyle name="20% - Accent1 175 3 2" xfId="613"/>
    <cellStyle name="20% - Accent1 175 4" xfId="614"/>
    <cellStyle name="20% - Accent1 176" xfId="615"/>
    <cellStyle name="20% - Accent1 176 2" xfId="616"/>
    <cellStyle name="20% - Accent1 176 2 2" xfId="617"/>
    <cellStyle name="20% - Accent1 176 3" xfId="618"/>
    <cellStyle name="20% - Accent1 176 3 2" xfId="619"/>
    <cellStyle name="20% - Accent1 176 4" xfId="620"/>
    <cellStyle name="20% - Accent1 177" xfId="621"/>
    <cellStyle name="20% - Accent1 177 2" xfId="622"/>
    <cellStyle name="20% - Accent1 177 2 2" xfId="623"/>
    <cellStyle name="20% - Accent1 177 3" xfId="624"/>
    <cellStyle name="20% - Accent1 177 3 2" xfId="625"/>
    <cellStyle name="20% - Accent1 177 4" xfId="626"/>
    <cellStyle name="20% - Accent1 178" xfId="627"/>
    <cellStyle name="20% - Accent1 178 2" xfId="628"/>
    <cellStyle name="20% - Accent1 178 2 2" xfId="629"/>
    <cellStyle name="20% - Accent1 178 3" xfId="630"/>
    <cellStyle name="20% - Accent1 178 3 2" xfId="631"/>
    <cellStyle name="20% - Accent1 178 4" xfId="632"/>
    <cellStyle name="20% - Accent1 179" xfId="633"/>
    <cellStyle name="20% - Accent1 179 2" xfId="634"/>
    <cellStyle name="20% - Accent1 179 2 2" xfId="635"/>
    <cellStyle name="20% - Accent1 179 3" xfId="636"/>
    <cellStyle name="20% - Accent1 179 3 2" xfId="637"/>
    <cellStyle name="20% - Accent1 179 4" xfId="638"/>
    <cellStyle name="20% - Accent1 18" xfId="639"/>
    <cellStyle name="20% - Accent1 18 2" xfId="640"/>
    <cellStyle name="20% - Accent1 18 2 2" xfId="641"/>
    <cellStyle name="20% - Accent1 18 2 2 2" xfId="642"/>
    <cellStyle name="20% - Accent1 18 2 3" xfId="643"/>
    <cellStyle name="20% - Accent1 18 2 3 2" xfId="644"/>
    <cellStyle name="20% - Accent1 18 2 4" xfId="645"/>
    <cellStyle name="20% - Accent1 18 3" xfId="646"/>
    <cellStyle name="20% - Accent1 18 3 2" xfId="647"/>
    <cellStyle name="20% - Accent1 18 3 2 2" xfId="648"/>
    <cellStyle name="20% - Accent1 18 3 3" xfId="649"/>
    <cellStyle name="20% - Accent1 18 3 3 2" xfId="650"/>
    <cellStyle name="20% - Accent1 18 3 4" xfId="651"/>
    <cellStyle name="20% - Accent1 18 4" xfId="652"/>
    <cellStyle name="20% - Accent1 18 4 2" xfId="653"/>
    <cellStyle name="20% - Accent1 18 5" xfId="654"/>
    <cellStyle name="20% - Accent1 18 5 2" xfId="655"/>
    <cellStyle name="20% - Accent1 18 6" xfId="656"/>
    <cellStyle name="20% - Accent1 180" xfId="657"/>
    <cellStyle name="20% - Accent1 180 2" xfId="658"/>
    <cellStyle name="20% - Accent1 180 2 2" xfId="659"/>
    <cellStyle name="20% - Accent1 180 3" xfId="660"/>
    <cellStyle name="20% - Accent1 180 3 2" xfId="661"/>
    <cellStyle name="20% - Accent1 180 4" xfId="662"/>
    <cellStyle name="20% - Accent1 181" xfId="663"/>
    <cellStyle name="20% - Accent1 181 2" xfId="664"/>
    <cellStyle name="20% - Accent1 181 2 2" xfId="665"/>
    <cellStyle name="20% - Accent1 181 3" xfId="666"/>
    <cellStyle name="20% - Accent1 181 3 2" xfId="667"/>
    <cellStyle name="20% - Accent1 181 4" xfId="668"/>
    <cellStyle name="20% - Accent1 182" xfId="669"/>
    <cellStyle name="20% - Accent1 182 2" xfId="670"/>
    <cellStyle name="20% - Accent1 182 2 2" xfId="671"/>
    <cellStyle name="20% - Accent1 182 3" xfId="672"/>
    <cellStyle name="20% - Accent1 182 3 2" xfId="673"/>
    <cellStyle name="20% - Accent1 182 4" xfId="674"/>
    <cellStyle name="20% - Accent1 183" xfId="675"/>
    <cellStyle name="20% - Accent1 183 2" xfId="676"/>
    <cellStyle name="20% - Accent1 183 2 2" xfId="677"/>
    <cellStyle name="20% - Accent1 183 3" xfId="678"/>
    <cellStyle name="20% - Accent1 183 3 2" xfId="679"/>
    <cellStyle name="20% - Accent1 183 4" xfId="680"/>
    <cellStyle name="20% - Accent1 184" xfId="681"/>
    <cellStyle name="20% - Accent1 184 2" xfId="682"/>
    <cellStyle name="20% - Accent1 184 2 2" xfId="683"/>
    <cellStyle name="20% - Accent1 184 3" xfId="684"/>
    <cellStyle name="20% - Accent1 184 3 2" xfId="685"/>
    <cellStyle name="20% - Accent1 184 4" xfId="686"/>
    <cellStyle name="20% - Accent1 185" xfId="687"/>
    <cellStyle name="20% - Accent1 185 2" xfId="688"/>
    <cellStyle name="20% - Accent1 185 2 2" xfId="689"/>
    <cellStyle name="20% - Accent1 185 3" xfId="690"/>
    <cellStyle name="20% - Accent1 185 3 2" xfId="691"/>
    <cellStyle name="20% - Accent1 185 4" xfId="692"/>
    <cellStyle name="20% - Accent1 186" xfId="693"/>
    <cellStyle name="20% - Accent1 186 2" xfId="694"/>
    <cellStyle name="20% - Accent1 186 2 2" xfId="695"/>
    <cellStyle name="20% - Accent1 186 3" xfId="696"/>
    <cellStyle name="20% - Accent1 186 3 2" xfId="697"/>
    <cellStyle name="20% - Accent1 186 4" xfId="698"/>
    <cellStyle name="20% - Accent1 187" xfId="699"/>
    <cellStyle name="20% - Accent1 187 2" xfId="700"/>
    <cellStyle name="20% - Accent1 187 2 2" xfId="701"/>
    <cellStyle name="20% - Accent1 187 3" xfId="702"/>
    <cellStyle name="20% - Accent1 187 3 2" xfId="703"/>
    <cellStyle name="20% - Accent1 187 4" xfId="704"/>
    <cellStyle name="20% - Accent1 188" xfId="705"/>
    <cellStyle name="20% - Accent1 188 2" xfId="706"/>
    <cellStyle name="20% - Accent1 188 2 2" xfId="707"/>
    <cellStyle name="20% - Accent1 188 3" xfId="708"/>
    <cellStyle name="20% - Accent1 188 3 2" xfId="709"/>
    <cellStyle name="20% - Accent1 188 4" xfId="710"/>
    <cellStyle name="20% - Accent1 189" xfId="711"/>
    <cellStyle name="20% - Accent1 189 2" xfId="712"/>
    <cellStyle name="20% - Accent1 189 2 2" xfId="713"/>
    <cellStyle name="20% - Accent1 189 3" xfId="714"/>
    <cellStyle name="20% - Accent1 189 3 2" xfId="715"/>
    <cellStyle name="20% - Accent1 189 4" xfId="716"/>
    <cellStyle name="20% - Accent1 19" xfId="717"/>
    <cellStyle name="20% - Accent1 19 2" xfId="718"/>
    <cellStyle name="20% - Accent1 19 2 2" xfId="719"/>
    <cellStyle name="20% - Accent1 19 2 2 2" xfId="720"/>
    <cellStyle name="20% - Accent1 19 2 3" xfId="721"/>
    <cellStyle name="20% - Accent1 19 2 3 2" xfId="722"/>
    <cellStyle name="20% - Accent1 19 2 4" xfId="723"/>
    <cellStyle name="20% - Accent1 19 3" xfId="724"/>
    <cellStyle name="20% - Accent1 19 3 2" xfId="725"/>
    <cellStyle name="20% - Accent1 19 3 2 2" xfId="726"/>
    <cellStyle name="20% - Accent1 19 3 3" xfId="727"/>
    <cellStyle name="20% - Accent1 19 3 3 2" xfId="728"/>
    <cellStyle name="20% - Accent1 19 3 4" xfId="729"/>
    <cellStyle name="20% - Accent1 19 4" xfId="730"/>
    <cellStyle name="20% - Accent1 19 4 2" xfId="731"/>
    <cellStyle name="20% - Accent1 19 5" xfId="732"/>
    <cellStyle name="20% - Accent1 19 5 2" xfId="733"/>
    <cellStyle name="20% - Accent1 19 6" xfId="734"/>
    <cellStyle name="20% - Accent1 190" xfId="735"/>
    <cellStyle name="20% - Accent1 190 2" xfId="736"/>
    <cellStyle name="20% - Accent1 190 2 2" xfId="737"/>
    <cellStyle name="20% - Accent1 190 3" xfId="738"/>
    <cellStyle name="20% - Accent1 190 3 2" xfId="739"/>
    <cellStyle name="20% - Accent1 190 4" xfId="740"/>
    <cellStyle name="20% - Accent1 191" xfId="741"/>
    <cellStyle name="20% - Accent1 191 2" xfId="742"/>
    <cellStyle name="20% - Accent1 191 2 2" xfId="743"/>
    <cellStyle name="20% - Accent1 191 3" xfId="744"/>
    <cellStyle name="20% - Accent1 191 3 2" xfId="745"/>
    <cellStyle name="20% - Accent1 191 4" xfId="746"/>
    <cellStyle name="20% - Accent1 192" xfId="747"/>
    <cellStyle name="20% - Accent1 192 2" xfId="748"/>
    <cellStyle name="20% - Accent1 192 2 2" xfId="749"/>
    <cellStyle name="20% - Accent1 192 3" xfId="750"/>
    <cellStyle name="20% - Accent1 192 3 2" xfId="751"/>
    <cellStyle name="20% - Accent1 192 4" xfId="752"/>
    <cellStyle name="20% - Accent1 193" xfId="753"/>
    <cellStyle name="20% - Accent1 193 2" xfId="754"/>
    <cellStyle name="20% - Accent1 193 2 2" xfId="755"/>
    <cellStyle name="20% - Accent1 193 3" xfId="756"/>
    <cellStyle name="20% - Accent1 193 3 2" xfId="757"/>
    <cellStyle name="20% - Accent1 193 4" xfId="758"/>
    <cellStyle name="20% - Accent1 194" xfId="759"/>
    <cellStyle name="20% - Accent1 194 2" xfId="760"/>
    <cellStyle name="20% - Accent1 194 2 2" xfId="761"/>
    <cellStyle name="20% - Accent1 194 3" xfId="762"/>
    <cellStyle name="20% - Accent1 194 3 2" xfId="763"/>
    <cellStyle name="20% - Accent1 194 4" xfId="764"/>
    <cellStyle name="20% - Accent1 195" xfId="765"/>
    <cellStyle name="20% - Accent1 195 2" xfId="766"/>
    <cellStyle name="20% - Accent1 195 2 2" xfId="767"/>
    <cellStyle name="20% - Accent1 195 3" xfId="768"/>
    <cellStyle name="20% - Accent1 195 3 2" xfId="769"/>
    <cellStyle name="20% - Accent1 195 4" xfId="770"/>
    <cellStyle name="20% - Accent1 196" xfId="771"/>
    <cellStyle name="20% - Accent1 196 2" xfId="772"/>
    <cellStyle name="20% - Accent1 196 2 2" xfId="773"/>
    <cellStyle name="20% - Accent1 196 3" xfId="774"/>
    <cellStyle name="20% - Accent1 196 3 2" xfId="775"/>
    <cellStyle name="20% - Accent1 196 4" xfId="776"/>
    <cellStyle name="20% - Accent1 197" xfId="777"/>
    <cellStyle name="20% - Accent1 197 2" xfId="778"/>
    <cellStyle name="20% - Accent1 197 2 2" xfId="779"/>
    <cellStyle name="20% - Accent1 197 3" xfId="780"/>
    <cellStyle name="20% - Accent1 197 3 2" xfId="781"/>
    <cellStyle name="20% - Accent1 197 4" xfId="782"/>
    <cellStyle name="20% - Accent1 198" xfId="783"/>
    <cellStyle name="20% - Accent1 198 2" xfId="784"/>
    <cellStyle name="20% - Accent1 198 2 2" xfId="785"/>
    <cellStyle name="20% - Accent1 198 3" xfId="786"/>
    <cellStyle name="20% - Accent1 198 3 2" xfId="787"/>
    <cellStyle name="20% - Accent1 198 4" xfId="788"/>
    <cellStyle name="20% - Accent1 199" xfId="789"/>
    <cellStyle name="20% - Accent1 199 2" xfId="790"/>
    <cellStyle name="20% - Accent1 199 2 2" xfId="791"/>
    <cellStyle name="20% - Accent1 199 3" xfId="792"/>
    <cellStyle name="20% - Accent1 199 3 2" xfId="793"/>
    <cellStyle name="20% - Accent1 199 4" xfId="794"/>
    <cellStyle name="20% - Accent1 2" xfId="795"/>
    <cellStyle name="20% - Accent1 2 2" xfId="796"/>
    <cellStyle name="20% - Accent1 2 2 2" xfId="797"/>
    <cellStyle name="20% - Accent1 2 2 2 2" xfId="798"/>
    <cellStyle name="20% - Accent1 2 2 3" xfId="799"/>
    <cellStyle name="20% - Accent1 2 2 3 2" xfId="800"/>
    <cellStyle name="20% - Accent1 2 2 4" xfId="801"/>
    <cellStyle name="20% - Accent1 2 3" xfId="802"/>
    <cellStyle name="20% - Accent1 2 3 2" xfId="803"/>
    <cellStyle name="20% - Accent1 2 3 2 2" xfId="804"/>
    <cellStyle name="20% - Accent1 2 3 3" xfId="805"/>
    <cellStyle name="20% - Accent1 2 3 3 2" xfId="806"/>
    <cellStyle name="20% - Accent1 2 3 4" xfId="807"/>
    <cellStyle name="20% - Accent1 2 4" xfId="808"/>
    <cellStyle name="20% - Accent1 2 4 2" xfId="809"/>
    <cellStyle name="20% - Accent1 2 5" xfId="810"/>
    <cellStyle name="20% - Accent1 2 5 2" xfId="811"/>
    <cellStyle name="20% - Accent1 2 6" xfId="812"/>
    <cellStyle name="20% - Accent1 20" xfId="813"/>
    <cellStyle name="20% - Accent1 20 2" xfId="814"/>
    <cellStyle name="20% - Accent1 20 2 2" xfId="815"/>
    <cellStyle name="20% - Accent1 20 2 2 2" xfId="816"/>
    <cellStyle name="20% - Accent1 20 2 3" xfId="817"/>
    <cellStyle name="20% - Accent1 20 2 3 2" xfId="818"/>
    <cellStyle name="20% - Accent1 20 2 4" xfId="819"/>
    <cellStyle name="20% - Accent1 20 3" xfId="820"/>
    <cellStyle name="20% - Accent1 20 3 2" xfId="821"/>
    <cellStyle name="20% - Accent1 20 3 2 2" xfId="822"/>
    <cellStyle name="20% - Accent1 20 3 3" xfId="823"/>
    <cellStyle name="20% - Accent1 20 3 3 2" xfId="824"/>
    <cellStyle name="20% - Accent1 20 3 4" xfId="825"/>
    <cellStyle name="20% - Accent1 20 4" xfId="826"/>
    <cellStyle name="20% - Accent1 20 4 2" xfId="827"/>
    <cellStyle name="20% - Accent1 20 5" xfId="828"/>
    <cellStyle name="20% - Accent1 20 5 2" xfId="829"/>
    <cellStyle name="20% - Accent1 20 6" xfId="830"/>
    <cellStyle name="20% - Accent1 200" xfId="831"/>
    <cellStyle name="20% - Accent1 200 2" xfId="832"/>
    <cellStyle name="20% - Accent1 200 2 2" xfId="833"/>
    <cellStyle name="20% - Accent1 200 3" xfId="834"/>
    <cellStyle name="20% - Accent1 200 3 2" xfId="835"/>
    <cellStyle name="20% - Accent1 200 4" xfId="836"/>
    <cellStyle name="20% - Accent1 201" xfId="837"/>
    <cellStyle name="20% - Accent1 201 2" xfId="838"/>
    <cellStyle name="20% - Accent1 201 2 2" xfId="839"/>
    <cellStyle name="20% - Accent1 201 3" xfId="840"/>
    <cellStyle name="20% - Accent1 201 3 2" xfId="841"/>
    <cellStyle name="20% - Accent1 201 4" xfId="842"/>
    <cellStyle name="20% - Accent1 202" xfId="843"/>
    <cellStyle name="20% - Accent1 202 2" xfId="844"/>
    <cellStyle name="20% - Accent1 202 2 2" xfId="845"/>
    <cellStyle name="20% - Accent1 202 3" xfId="846"/>
    <cellStyle name="20% - Accent1 202 3 2" xfId="847"/>
    <cellStyle name="20% - Accent1 202 4" xfId="848"/>
    <cellStyle name="20% - Accent1 203" xfId="849"/>
    <cellStyle name="20% - Accent1 203 2" xfId="850"/>
    <cellStyle name="20% - Accent1 203 2 2" xfId="851"/>
    <cellStyle name="20% - Accent1 203 3" xfId="852"/>
    <cellStyle name="20% - Accent1 203 3 2" xfId="853"/>
    <cellStyle name="20% - Accent1 203 4" xfId="854"/>
    <cellStyle name="20% - Accent1 204" xfId="855"/>
    <cellStyle name="20% - Accent1 204 2" xfId="856"/>
    <cellStyle name="20% - Accent1 204 2 2" xfId="857"/>
    <cellStyle name="20% - Accent1 204 3" xfId="858"/>
    <cellStyle name="20% - Accent1 204 3 2" xfId="859"/>
    <cellStyle name="20% - Accent1 204 4" xfId="860"/>
    <cellStyle name="20% - Accent1 205" xfId="861"/>
    <cellStyle name="20% - Accent1 205 2" xfId="862"/>
    <cellStyle name="20% - Accent1 205 2 2" xfId="863"/>
    <cellStyle name="20% - Accent1 205 3" xfId="864"/>
    <cellStyle name="20% - Accent1 205 3 2" xfId="865"/>
    <cellStyle name="20% - Accent1 205 4" xfId="866"/>
    <cellStyle name="20% - Accent1 206" xfId="867"/>
    <cellStyle name="20% - Accent1 206 2" xfId="868"/>
    <cellStyle name="20% - Accent1 206 2 2" xfId="869"/>
    <cellStyle name="20% - Accent1 206 3" xfId="870"/>
    <cellStyle name="20% - Accent1 206 3 2" xfId="871"/>
    <cellStyle name="20% - Accent1 206 4" xfId="872"/>
    <cellStyle name="20% - Accent1 207" xfId="873"/>
    <cellStyle name="20% - Accent1 207 2" xfId="874"/>
    <cellStyle name="20% - Accent1 207 2 2" xfId="875"/>
    <cellStyle name="20% - Accent1 207 3" xfId="876"/>
    <cellStyle name="20% - Accent1 207 3 2" xfId="877"/>
    <cellStyle name="20% - Accent1 207 4" xfId="878"/>
    <cellStyle name="20% - Accent1 208" xfId="879"/>
    <cellStyle name="20% - Accent1 208 2" xfId="880"/>
    <cellStyle name="20% - Accent1 208 2 2" xfId="881"/>
    <cellStyle name="20% - Accent1 208 3" xfId="882"/>
    <cellStyle name="20% - Accent1 208 3 2" xfId="883"/>
    <cellStyle name="20% - Accent1 208 4" xfId="884"/>
    <cellStyle name="20% - Accent1 209" xfId="885"/>
    <cellStyle name="20% - Accent1 209 2" xfId="886"/>
    <cellStyle name="20% - Accent1 209 2 2" xfId="887"/>
    <cellStyle name="20% - Accent1 209 3" xfId="888"/>
    <cellStyle name="20% - Accent1 209 3 2" xfId="889"/>
    <cellStyle name="20% - Accent1 209 4" xfId="890"/>
    <cellStyle name="20% - Accent1 21" xfId="891"/>
    <cellStyle name="20% - Accent1 21 2" xfId="892"/>
    <cellStyle name="20% - Accent1 21 2 2" xfId="893"/>
    <cellStyle name="20% - Accent1 21 2 2 2" xfId="894"/>
    <cellStyle name="20% - Accent1 21 2 3" xfId="895"/>
    <cellStyle name="20% - Accent1 21 2 3 2" xfId="896"/>
    <cellStyle name="20% - Accent1 21 2 4" xfId="897"/>
    <cellStyle name="20% - Accent1 21 3" xfId="898"/>
    <cellStyle name="20% - Accent1 21 3 2" xfId="899"/>
    <cellStyle name="20% - Accent1 21 3 2 2" xfId="900"/>
    <cellStyle name="20% - Accent1 21 3 3" xfId="901"/>
    <cellStyle name="20% - Accent1 21 3 3 2" xfId="902"/>
    <cellStyle name="20% - Accent1 21 3 4" xfId="903"/>
    <cellStyle name="20% - Accent1 21 4" xfId="904"/>
    <cellStyle name="20% - Accent1 21 4 2" xfId="905"/>
    <cellStyle name="20% - Accent1 21 5" xfId="906"/>
    <cellStyle name="20% - Accent1 21 5 2" xfId="907"/>
    <cellStyle name="20% - Accent1 21 6" xfId="908"/>
    <cellStyle name="20% - Accent1 210" xfId="909"/>
    <cellStyle name="20% - Accent1 210 2" xfId="910"/>
    <cellStyle name="20% - Accent1 210 2 2" xfId="911"/>
    <cellStyle name="20% - Accent1 210 3" xfId="912"/>
    <cellStyle name="20% - Accent1 210 3 2" xfId="913"/>
    <cellStyle name="20% - Accent1 210 4" xfId="914"/>
    <cellStyle name="20% - Accent1 211" xfId="915"/>
    <cellStyle name="20% - Accent1 211 2" xfId="916"/>
    <cellStyle name="20% - Accent1 211 2 2" xfId="917"/>
    <cellStyle name="20% - Accent1 211 3" xfId="918"/>
    <cellStyle name="20% - Accent1 211 3 2" xfId="919"/>
    <cellStyle name="20% - Accent1 211 4" xfId="920"/>
    <cellStyle name="20% - Accent1 212" xfId="921"/>
    <cellStyle name="20% - Accent1 212 2" xfId="922"/>
    <cellStyle name="20% - Accent1 212 2 2" xfId="923"/>
    <cellStyle name="20% - Accent1 212 3" xfId="924"/>
    <cellStyle name="20% - Accent1 212 3 2" xfId="925"/>
    <cellStyle name="20% - Accent1 212 4" xfId="926"/>
    <cellStyle name="20% - Accent1 213" xfId="927"/>
    <cellStyle name="20% - Accent1 213 2" xfId="928"/>
    <cellStyle name="20% - Accent1 213 2 2" xfId="929"/>
    <cellStyle name="20% - Accent1 213 3" xfId="930"/>
    <cellStyle name="20% - Accent1 213 3 2" xfId="931"/>
    <cellStyle name="20% - Accent1 213 4" xfId="932"/>
    <cellStyle name="20% - Accent1 214" xfId="933"/>
    <cellStyle name="20% - Accent1 214 2" xfId="934"/>
    <cellStyle name="20% - Accent1 214 2 2" xfId="935"/>
    <cellStyle name="20% - Accent1 214 3" xfId="936"/>
    <cellStyle name="20% - Accent1 214 3 2" xfId="937"/>
    <cellStyle name="20% - Accent1 214 4" xfId="938"/>
    <cellStyle name="20% - Accent1 215" xfId="939"/>
    <cellStyle name="20% - Accent1 215 2" xfId="940"/>
    <cellStyle name="20% - Accent1 215 2 2" xfId="941"/>
    <cellStyle name="20% - Accent1 215 3" xfId="942"/>
    <cellStyle name="20% - Accent1 215 3 2" xfId="943"/>
    <cellStyle name="20% - Accent1 215 4" xfId="944"/>
    <cellStyle name="20% - Accent1 216" xfId="945"/>
    <cellStyle name="20% - Accent1 216 2" xfId="946"/>
    <cellStyle name="20% - Accent1 216 2 2" xfId="947"/>
    <cellStyle name="20% - Accent1 216 3" xfId="948"/>
    <cellStyle name="20% - Accent1 216 3 2" xfId="949"/>
    <cellStyle name="20% - Accent1 216 4" xfId="950"/>
    <cellStyle name="20% - Accent1 217" xfId="951"/>
    <cellStyle name="20% - Accent1 217 2" xfId="952"/>
    <cellStyle name="20% - Accent1 217 2 2" xfId="953"/>
    <cellStyle name="20% - Accent1 217 3" xfId="954"/>
    <cellStyle name="20% - Accent1 217 3 2" xfId="955"/>
    <cellStyle name="20% - Accent1 217 4" xfId="956"/>
    <cellStyle name="20% - Accent1 218" xfId="957"/>
    <cellStyle name="20% - Accent1 218 2" xfId="958"/>
    <cellStyle name="20% - Accent1 218 2 2" xfId="959"/>
    <cellStyle name="20% - Accent1 218 3" xfId="960"/>
    <cellStyle name="20% - Accent1 218 3 2" xfId="961"/>
    <cellStyle name="20% - Accent1 218 4" xfId="962"/>
    <cellStyle name="20% - Accent1 219" xfId="963"/>
    <cellStyle name="20% - Accent1 219 2" xfId="964"/>
    <cellStyle name="20% - Accent1 219 2 2" xfId="965"/>
    <cellStyle name="20% - Accent1 219 3" xfId="966"/>
    <cellStyle name="20% - Accent1 219 3 2" xfId="967"/>
    <cellStyle name="20% - Accent1 219 4" xfId="968"/>
    <cellStyle name="20% - Accent1 22" xfId="969"/>
    <cellStyle name="20% - Accent1 22 2" xfId="970"/>
    <cellStyle name="20% - Accent1 22 2 2" xfId="971"/>
    <cellStyle name="20% - Accent1 22 2 2 2" xfId="972"/>
    <cellStyle name="20% - Accent1 22 2 3" xfId="973"/>
    <cellStyle name="20% - Accent1 22 2 3 2" xfId="974"/>
    <cellStyle name="20% - Accent1 22 2 4" xfId="975"/>
    <cellStyle name="20% - Accent1 22 3" xfId="976"/>
    <cellStyle name="20% - Accent1 22 3 2" xfId="977"/>
    <cellStyle name="20% - Accent1 22 3 2 2" xfId="978"/>
    <cellStyle name="20% - Accent1 22 3 3" xfId="979"/>
    <cellStyle name="20% - Accent1 22 3 3 2" xfId="980"/>
    <cellStyle name="20% - Accent1 22 3 4" xfId="981"/>
    <cellStyle name="20% - Accent1 22 4" xfId="982"/>
    <cellStyle name="20% - Accent1 22 4 2" xfId="983"/>
    <cellStyle name="20% - Accent1 22 5" xfId="984"/>
    <cellStyle name="20% - Accent1 22 5 2" xfId="985"/>
    <cellStyle name="20% - Accent1 22 6" xfId="986"/>
    <cellStyle name="20% - Accent1 220" xfId="987"/>
    <cellStyle name="20% - Accent1 220 2" xfId="988"/>
    <cellStyle name="20% - Accent1 220 2 2" xfId="989"/>
    <cellStyle name="20% - Accent1 220 3" xfId="990"/>
    <cellStyle name="20% - Accent1 220 3 2" xfId="991"/>
    <cellStyle name="20% - Accent1 220 4" xfId="992"/>
    <cellStyle name="20% - Accent1 221" xfId="993"/>
    <cellStyle name="20% - Accent1 221 2" xfId="994"/>
    <cellStyle name="20% - Accent1 221 2 2" xfId="995"/>
    <cellStyle name="20% - Accent1 221 3" xfId="996"/>
    <cellStyle name="20% - Accent1 221 3 2" xfId="997"/>
    <cellStyle name="20% - Accent1 221 4" xfId="998"/>
    <cellStyle name="20% - Accent1 222" xfId="999"/>
    <cellStyle name="20% - Accent1 222 2" xfId="1000"/>
    <cellStyle name="20% - Accent1 223" xfId="1001"/>
    <cellStyle name="20% - Accent1 223 2" xfId="1002"/>
    <cellStyle name="20% - Accent1 224" xfId="1003"/>
    <cellStyle name="20% - Accent1 23" xfId="1004"/>
    <cellStyle name="20% - Accent1 23 2" xfId="1005"/>
    <cellStyle name="20% - Accent1 23 2 2" xfId="1006"/>
    <cellStyle name="20% - Accent1 23 2 2 2" xfId="1007"/>
    <cellStyle name="20% - Accent1 23 2 3" xfId="1008"/>
    <cellStyle name="20% - Accent1 23 2 3 2" xfId="1009"/>
    <cellStyle name="20% - Accent1 23 2 4" xfId="1010"/>
    <cellStyle name="20% - Accent1 23 3" xfId="1011"/>
    <cellStyle name="20% - Accent1 23 3 2" xfId="1012"/>
    <cellStyle name="20% - Accent1 23 3 2 2" xfId="1013"/>
    <cellStyle name="20% - Accent1 23 3 3" xfId="1014"/>
    <cellStyle name="20% - Accent1 23 3 3 2" xfId="1015"/>
    <cellStyle name="20% - Accent1 23 3 4" xfId="1016"/>
    <cellStyle name="20% - Accent1 23 4" xfId="1017"/>
    <cellStyle name="20% - Accent1 23 4 2" xfId="1018"/>
    <cellStyle name="20% - Accent1 23 5" xfId="1019"/>
    <cellStyle name="20% - Accent1 23 5 2" xfId="1020"/>
    <cellStyle name="20% - Accent1 23 6" xfId="1021"/>
    <cellStyle name="20% - Accent1 24" xfId="1022"/>
    <cellStyle name="20% - Accent1 24 2" xfId="1023"/>
    <cellStyle name="20% - Accent1 24 2 2" xfId="1024"/>
    <cellStyle name="20% - Accent1 24 2 2 2" xfId="1025"/>
    <cellStyle name="20% - Accent1 24 2 3" xfId="1026"/>
    <cellStyle name="20% - Accent1 24 2 3 2" xfId="1027"/>
    <cellStyle name="20% - Accent1 24 2 4" xfId="1028"/>
    <cellStyle name="20% - Accent1 24 3" xfId="1029"/>
    <cellStyle name="20% - Accent1 24 3 2" xfId="1030"/>
    <cellStyle name="20% - Accent1 24 3 2 2" xfId="1031"/>
    <cellStyle name="20% - Accent1 24 3 3" xfId="1032"/>
    <cellStyle name="20% - Accent1 24 3 3 2" xfId="1033"/>
    <cellStyle name="20% - Accent1 24 3 4" xfId="1034"/>
    <cellStyle name="20% - Accent1 24 4" xfId="1035"/>
    <cellStyle name="20% - Accent1 24 4 2" xfId="1036"/>
    <cellStyle name="20% - Accent1 24 5" xfId="1037"/>
    <cellStyle name="20% - Accent1 24 5 2" xfId="1038"/>
    <cellStyle name="20% - Accent1 24 6" xfId="1039"/>
    <cellStyle name="20% - Accent1 24 7" xfId="1040"/>
    <cellStyle name="20% - Accent1 25" xfId="1041"/>
    <cellStyle name="20% - Accent1 25 2" xfId="1042"/>
    <cellStyle name="20% - Accent1 25 2 2" xfId="1043"/>
    <cellStyle name="20% - Accent1 25 2 2 2" xfId="1044"/>
    <cellStyle name="20% - Accent1 25 2 3" xfId="1045"/>
    <cellStyle name="20% - Accent1 25 2 3 2" xfId="1046"/>
    <cellStyle name="20% - Accent1 25 2 4" xfId="1047"/>
    <cellStyle name="20% - Accent1 25 3" xfId="1048"/>
    <cellStyle name="20% - Accent1 25 3 2" xfId="1049"/>
    <cellStyle name="20% - Accent1 25 3 2 2" xfId="1050"/>
    <cellStyle name="20% - Accent1 25 3 3" xfId="1051"/>
    <cellStyle name="20% - Accent1 25 3 3 2" xfId="1052"/>
    <cellStyle name="20% - Accent1 25 3 4" xfId="1053"/>
    <cellStyle name="20% - Accent1 25 4" xfId="1054"/>
    <cellStyle name="20% - Accent1 25 4 2" xfId="1055"/>
    <cellStyle name="20% - Accent1 25 5" xfId="1056"/>
    <cellStyle name="20% - Accent1 25 5 2" xfId="1057"/>
    <cellStyle name="20% - Accent1 25 6" xfId="1058"/>
    <cellStyle name="20% - Accent1 25 7" xfId="1059"/>
    <cellStyle name="20% - Accent1 26" xfId="1060"/>
    <cellStyle name="20% - Accent1 26 2" xfId="1061"/>
    <cellStyle name="20% - Accent1 26 2 2" xfId="1062"/>
    <cellStyle name="20% - Accent1 26 2 2 2" xfId="1063"/>
    <cellStyle name="20% - Accent1 26 2 3" xfId="1064"/>
    <cellStyle name="20% - Accent1 26 2 3 2" xfId="1065"/>
    <cellStyle name="20% - Accent1 26 2 4" xfId="1066"/>
    <cellStyle name="20% - Accent1 26 3" xfId="1067"/>
    <cellStyle name="20% - Accent1 26 3 2" xfId="1068"/>
    <cellStyle name="20% - Accent1 26 3 2 2" xfId="1069"/>
    <cellStyle name="20% - Accent1 26 3 3" xfId="1070"/>
    <cellStyle name="20% - Accent1 26 3 3 2" xfId="1071"/>
    <cellStyle name="20% - Accent1 26 3 4" xfId="1072"/>
    <cellStyle name="20% - Accent1 26 4" xfId="1073"/>
    <cellStyle name="20% - Accent1 26 4 2" xfId="1074"/>
    <cellStyle name="20% - Accent1 26 5" xfId="1075"/>
    <cellStyle name="20% - Accent1 26 5 2" xfId="1076"/>
    <cellStyle name="20% - Accent1 26 6" xfId="1077"/>
    <cellStyle name="20% - Accent1 26 7" xfId="1078"/>
    <cellStyle name="20% - Accent1 27" xfId="1079"/>
    <cellStyle name="20% - Accent1 27 2" xfId="1080"/>
    <cellStyle name="20% - Accent1 27 2 2" xfId="1081"/>
    <cellStyle name="20% - Accent1 27 2 2 2" xfId="1082"/>
    <cellStyle name="20% - Accent1 27 2 3" xfId="1083"/>
    <cellStyle name="20% - Accent1 27 2 3 2" xfId="1084"/>
    <cellStyle name="20% - Accent1 27 2 4" xfId="1085"/>
    <cellStyle name="20% - Accent1 27 3" xfId="1086"/>
    <cellStyle name="20% - Accent1 27 3 2" xfId="1087"/>
    <cellStyle name="20% - Accent1 27 3 2 2" xfId="1088"/>
    <cellStyle name="20% - Accent1 27 3 3" xfId="1089"/>
    <cellStyle name="20% - Accent1 27 3 3 2" xfId="1090"/>
    <cellStyle name="20% - Accent1 27 3 4" xfId="1091"/>
    <cellStyle name="20% - Accent1 27 4" xfId="1092"/>
    <cellStyle name="20% - Accent1 27 4 2" xfId="1093"/>
    <cellStyle name="20% - Accent1 27 5" xfId="1094"/>
    <cellStyle name="20% - Accent1 27 5 2" xfId="1095"/>
    <cellStyle name="20% - Accent1 27 6" xfId="1096"/>
    <cellStyle name="20% - Accent1 27 7" xfId="1097"/>
    <cellStyle name="20% - Accent1 28" xfId="1098"/>
    <cellStyle name="20% - Accent1 28 2" xfId="1099"/>
    <cellStyle name="20% - Accent1 28 2 2" xfId="1100"/>
    <cellStyle name="20% - Accent1 28 2 2 2" xfId="1101"/>
    <cellStyle name="20% - Accent1 28 2 3" xfId="1102"/>
    <cellStyle name="20% - Accent1 28 2 3 2" xfId="1103"/>
    <cellStyle name="20% - Accent1 28 2 4" xfId="1104"/>
    <cellStyle name="20% - Accent1 28 3" xfId="1105"/>
    <cellStyle name="20% - Accent1 28 3 2" xfId="1106"/>
    <cellStyle name="20% - Accent1 28 3 2 2" xfId="1107"/>
    <cellStyle name="20% - Accent1 28 3 3" xfId="1108"/>
    <cellStyle name="20% - Accent1 28 3 3 2" xfId="1109"/>
    <cellStyle name="20% - Accent1 28 3 4" xfId="1110"/>
    <cellStyle name="20% - Accent1 28 4" xfId="1111"/>
    <cellStyle name="20% - Accent1 28 4 2" xfId="1112"/>
    <cellStyle name="20% - Accent1 28 5" xfId="1113"/>
    <cellStyle name="20% - Accent1 28 5 2" xfId="1114"/>
    <cellStyle name="20% - Accent1 28 6" xfId="1115"/>
    <cellStyle name="20% - Accent1 28 7" xfId="1116"/>
    <cellStyle name="20% - Accent1 29" xfId="1117"/>
    <cellStyle name="20% - Accent1 29 2" xfId="1118"/>
    <cellStyle name="20% - Accent1 29 2 2" xfId="1119"/>
    <cellStyle name="20% - Accent1 29 2 2 2" xfId="1120"/>
    <cellStyle name="20% - Accent1 29 2 3" xfId="1121"/>
    <cellStyle name="20% - Accent1 29 2 3 2" xfId="1122"/>
    <cellStyle name="20% - Accent1 29 2 4" xfId="1123"/>
    <cellStyle name="20% - Accent1 29 3" xfId="1124"/>
    <cellStyle name="20% - Accent1 29 3 2" xfId="1125"/>
    <cellStyle name="20% - Accent1 29 3 2 2" xfId="1126"/>
    <cellStyle name="20% - Accent1 29 3 3" xfId="1127"/>
    <cellStyle name="20% - Accent1 29 3 3 2" xfId="1128"/>
    <cellStyle name="20% - Accent1 29 3 4" xfId="1129"/>
    <cellStyle name="20% - Accent1 29 4" xfId="1130"/>
    <cellStyle name="20% - Accent1 29 4 2" xfId="1131"/>
    <cellStyle name="20% - Accent1 29 5" xfId="1132"/>
    <cellStyle name="20% - Accent1 29 5 2" xfId="1133"/>
    <cellStyle name="20% - Accent1 29 6" xfId="1134"/>
    <cellStyle name="20% - Accent1 29 7" xfId="1135"/>
    <cellStyle name="20% - Accent1 3" xfId="1136"/>
    <cellStyle name="20% - Accent1 3 2" xfId="1137"/>
    <cellStyle name="20% - Accent1 3 2 2" xfId="1138"/>
    <cellStyle name="20% - Accent1 3 2 2 2" xfId="1139"/>
    <cellStyle name="20% - Accent1 3 2 3" xfId="1140"/>
    <cellStyle name="20% - Accent1 3 2 3 2" xfId="1141"/>
    <cellStyle name="20% - Accent1 3 2 4" xfId="1142"/>
    <cellStyle name="20% - Accent1 3 3" xfId="1143"/>
    <cellStyle name="20% - Accent1 3 3 2" xfId="1144"/>
    <cellStyle name="20% - Accent1 3 3 2 2" xfId="1145"/>
    <cellStyle name="20% - Accent1 3 3 3" xfId="1146"/>
    <cellStyle name="20% - Accent1 3 3 3 2" xfId="1147"/>
    <cellStyle name="20% - Accent1 3 3 4" xfId="1148"/>
    <cellStyle name="20% - Accent1 3 4" xfId="1149"/>
    <cellStyle name="20% - Accent1 3 4 2" xfId="1150"/>
    <cellStyle name="20% - Accent1 3 5" xfId="1151"/>
    <cellStyle name="20% - Accent1 3 5 2" xfId="1152"/>
    <cellStyle name="20% - Accent1 3 6" xfId="1153"/>
    <cellStyle name="20% - Accent1 30" xfId="1154"/>
    <cellStyle name="20% - Accent1 30 2" xfId="1155"/>
    <cellStyle name="20% - Accent1 30 2 2" xfId="1156"/>
    <cellStyle name="20% - Accent1 30 2 2 2" xfId="1157"/>
    <cellStyle name="20% - Accent1 30 2 3" xfId="1158"/>
    <cellStyle name="20% - Accent1 30 2 3 2" xfId="1159"/>
    <cellStyle name="20% - Accent1 30 2 4" xfId="1160"/>
    <cellStyle name="20% - Accent1 30 3" xfId="1161"/>
    <cellStyle name="20% - Accent1 30 3 2" xfId="1162"/>
    <cellStyle name="20% - Accent1 30 3 2 2" xfId="1163"/>
    <cellStyle name="20% - Accent1 30 3 3" xfId="1164"/>
    <cellStyle name="20% - Accent1 30 3 3 2" xfId="1165"/>
    <cellStyle name="20% - Accent1 30 3 4" xfId="1166"/>
    <cellStyle name="20% - Accent1 30 4" xfId="1167"/>
    <cellStyle name="20% - Accent1 30 4 2" xfId="1168"/>
    <cellStyle name="20% - Accent1 30 5" xfId="1169"/>
    <cellStyle name="20% - Accent1 30 5 2" xfId="1170"/>
    <cellStyle name="20% - Accent1 30 6" xfId="1171"/>
    <cellStyle name="20% - Accent1 30 7" xfId="1172"/>
    <cellStyle name="20% - Accent1 31" xfId="1173"/>
    <cellStyle name="20% - Accent1 31 2" xfId="1174"/>
    <cellStyle name="20% - Accent1 31 2 2" xfId="1175"/>
    <cellStyle name="20% - Accent1 31 2 2 2" xfId="1176"/>
    <cellStyle name="20% - Accent1 31 2 3" xfId="1177"/>
    <cellStyle name="20% - Accent1 31 2 3 2" xfId="1178"/>
    <cellStyle name="20% - Accent1 31 2 4" xfId="1179"/>
    <cellStyle name="20% - Accent1 31 3" xfId="1180"/>
    <cellStyle name="20% - Accent1 31 3 2" xfId="1181"/>
    <cellStyle name="20% - Accent1 31 3 2 2" xfId="1182"/>
    <cellStyle name="20% - Accent1 31 3 3" xfId="1183"/>
    <cellStyle name="20% - Accent1 31 3 3 2" xfId="1184"/>
    <cellStyle name="20% - Accent1 31 3 4" xfId="1185"/>
    <cellStyle name="20% - Accent1 31 4" xfId="1186"/>
    <cellStyle name="20% - Accent1 31 4 2" xfId="1187"/>
    <cellStyle name="20% - Accent1 31 5" xfId="1188"/>
    <cellStyle name="20% - Accent1 31 5 2" xfId="1189"/>
    <cellStyle name="20% - Accent1 31 6" xfId="1190"/>
    <cellStyle name="20% - Accent1 31 7" xfId="1191"/>
    <cellStyle name="20% - Accent1 32" xfId="1192"/>
    <cellStyle name="20% - Accent1 32 2" xfId="1193"/>
    <cellStyle name="20% - Accent1 32 2 2" xfId="1194"/>
    <cellStyle name="20% - Accent1 32 2 2 2" xfId="1195"/>
    <cellStyle name="20% - Accent1 32 2 3" xfId="1196"/>
    <cellStyle name="20% - Accent1 32 2 3 2" xfId="1197"/>
    <cellStyle name="20% - Accent1 32 2 4" xfId="1198"/>
    <cellStyle name="20% - Accent1 32 3" xfId="1199"/>
    <cellStyle name="20% - Accent1 32 3 2" xfId="1200"/>
    <cellStyle name="20% - Accent1 32 3 2 2" xfId="1201"/>
    <cellStyle name="20% - Accent1 32 3 3" xfId="1202"/>
    <cellStyle name="20% - Accent1 32 3 3 2" xfId="1203"/>
    <cellStyle name="20% - Accent1 32 3 4" xfId="1204"/>
    <cellStyle name="20% - Accent1 32 4" xfId="1205"/>
    <cellStyle name="20% - Accent1 32 4 2" xfId="1206"/>
    <cellStyle name="20% - Accent1 32 5" xfId="1207"/>
    <cellStyle name="20% - Accent1 32 5 2" xfId="1208"/>
    <cellStyle name="20% - Accent1 32 6" xfId="1209"/>
    <cellStyle name="20% - Accent1 32 7" xfId="1210"/>
    <cellStyle name="20% - Accent1 33" xfId="1211"/>
    <cellStyle name="20% - Accent1 33 2" xfId="1212"/>
    <cellStyle name="20% - Accent1 33 2 2" xfId="1213"/>
    <cellStyle name="20% - Accent1 33 2 2 2" xfId="1214"/>
    <cellStyle name="20% - Accent1 33 2 3" xfId="1215"/>
    <cellStyle name="20% - Accent1 33 2 3 2" xfId="1216"/>
    <cellStyle name="20% - Accent1 33 2 4" xfId="1217"/>
    <cellStyle name="20% - Accent1 33 3" xfId="1218"/>
    <cellStyle name="20% - Accent1 33 3 2" xfId="1219"/>
    <cellStyle name="20% - Accent1 33 3 2 2" xfId="1220"/>
    <cellStyle name="20% - Accent1 33 3 3" xfId="1221"/>
    <cellStyle name="20% - Accent1 33 3 3 2" xfId="1222"/>
    <cellStyle name="20% - Accent1 33 3 4" xfId="1223"/>
    <cellStyle name="20% - Accent1 33 4" xfId="1224"/>
    <cellStyle name="20% - Accent1 33 4 2" xfId="1225"/>
    <cellStyle name="20% - Accent1 33 5" xfId="1226"/>
    <cellStyle name="20% - Accent1 33 5 2" xfId="1227"/>
    <cellStyle name="20% - Accent1 33 6" xfId="1228"/>
    <cellStyle name="20% - Accent1 33 7" xfId="1229"/>
    <cellStyle name="20% - Accent1 34" xfId="1230"/>
    <cellStyle name="20% - Accent1 34 2" xfId="1231"/>
    <cellStyle name="20% - Accent1 34 2 2" xfId="1232"/>
    <cellStyle name="20% - Accent1 34 2 2 2" xfId="1233"/>
    <cellStyle name="20% - Accent1 34 2 3" xfId="1234"/>
    <cellStyle name="20% - Accent1 34 2 3 2" xfId="1235"/>
    <cellStyle name="20% - Accent1 34 2 4" xfId="1236"/>
    <cellStyle name="20% - Accent1 34 3" xfId="1237"/>
    <cellStyle name="20% - Accent1 34 3 2" xfId="1238"/>
    <cellStyle name="20% - Accent1 34 3 2 2" xfId="1239"/>
    <cellStyle name="20% - Accent1 34 3 3" xfId="1240"/>
    <cellStyle name="20% - Accent1 34 3 3 2" xfId="1241"/>
    <cellStyle name="20% - Accent1 34 3 4" xfId="1242"/>
    <cellStyle name="20% - Accent1 34 4" xfId="1243"/>
    <cellStyle name="20% - Accent1 34 4 2" xfId="1244"/>
    <cellStyle name="20% - Accent1 34 5" xfId="1245"/>
    <cellStyle name="20% - Accent1 34 5 2" xfId="1246"/>
    <cellStyle name="20% - Accent1 34 6" xfId="1247"/>
    <cellStyle name="20% - Accent1 34 7" xfId="1248"/>
    <cellStyle name="20% - Accent1 35" xfId="1249"/>
    <cellStyle name="20% - Accent1 35 2" xfId="1250"/>
    <cellStyle name="20% - Accent1 35 2 2" xfId="1251"/>
    <cellStyle name="20% - Accent1 35 2 2 2" xfId="1252"/>
    <cellStyle name="20% - Accent1 35 2 3" xfId="1253"/>
    <cellStyle name="20% - Accent1 35 2 3 2" xfId="1254"/>
    <cellStyle name="20% - Accent1 35 2 4" xfId="1255"/>
    <cellStyle name="20% - Accent1 35 3" xfId="1256"/>
    <cellStyle name="20% - Accent1 35 3 2" xfId="1257"/>
    <cellStyle name="20% - Accent1 35 3 2 2" xfId="1258"/>
    <cellStyle name="20% - Accent1 35 3 3" xfId="1259"/>
    <cellStyle name="20% - Accent1 35 3 3 2" xfId="1260"/>
    <cellStyle name="20% - Accent1 35 3 4" xfId="1261"/>
    <cellStyle name="20% - Accent1 35 4" xfId="1262"/>
    <cellStyle name="20% - Accent1 35 4 2" xfId="1263"/>
    <cellStyle name="20% - Accent1 35 5" xfId="1264"/>
    <cellStyle name="20% - Accent1 35 5 2" xfId="1265"/>
    <cellStyle name="20% - Accent1 35 6" xfId="1266"/>
    <cellStyle name="20% - Accent1 35 7" xfId="1267"/>
    <cellStyle name="20% - Accent1 36" xfId="1268"/>
    <cellStyle name="20% - Accent1 36 2" xfId="1269"/>
    <cellStyle name="20% - Accent1 36 2 2" xfId="1270"/>
    <cellStyle name="20% - Accent1 36 2 2 2" xfId="1271"/>
    <cellStyle name="20% - Accent1 36 2 3" xfId="1272"/>
    <cellStyle name="20% - Accent1 36 2 3 2" xfId="1273"/>
    <cellStyle name="20% - Accent1 36 2 4" xfId="1274"/>
    <cellStyle name="20% - Accent1 36 3" xfId="1275"/>
    <cellStyle name="20% - Accent1 36 3 2" xfId="1276"/>
    <cellStyle name="20% - Accent1 36 3 2 2" xfId="1277"/>
    <cellStyle name="20% - Accent1 36 3 3" xfId="1278"/>
    <cellStyle name="20% - Accent1 36 3 3 2" xfId="1279"/>
    <cellStyle name="20% - Accent1 36 3 4" xfId="1280"/>
    <cellStyle name="20% - Accent1 36 4" xfId="1281"/>
    <cellStyle name="20% - Accent1 36 4 2" xfId="1282"/>
    <cellStyle name="20% - Accent1 36 5" xfId="1283"/>
    <cellStyle name="20% - Accent1 36 5 2" xfId="1284"/>
    <cellStyle name="20% - Accent1 36 6" xfId="1285"/>
    <cellStyle name="20% - Accent1 36 7" xfId="1286"/>
    <cellStyle name="20% - Accent1 37" xfId="1287"/>
    <cellStyle name="20% - Accent1 37 2" xfId="1288"/>
    <cellStyle name="20% - Accent1 37 2 2" xfId="1289"/>
    <cellStyle name="20% - Accent1 37 2 2 2" xfId="1290"/>
    <cellStyle name="20% - Accent1 37 2 3" xfId="1291"/>
    <cellStyle name="20% - Accent1 37 2 3 2" xfId="1292"/>
    <cellStyle name="20% - Accent1 37 2 4" xfId="1293"/>
    <cellStyle name="20% - Accent1 37 3" xfId="1294"/>
    <cellStyle name="20% - Accent1 37 3 2" xfId="1295"/>
    <cellStyle name="20% - Accent1 37 3 2 2" xfId="1296"/>
    <cellStyle name="20% - Accent1 37 3 3" xfId="1297"/>
    <cellStyle name="20% - Accent1 37 3 3 2" xfId="1298"/>
    <cellStyle name="20% - Accent1 37 3 4" xfId="1299"/>
    <cellStyle name="20% - Accent1 37 4" xfId="1300"/>
    <cellStyle name="20% - Accent1 37 4 2" xfId="1301"/>
    <cellStyle name="20% - Accent1 37 5" xfId="1302"/>
    <cellStyle name="20% - Accent1 37 5 2" xfId="1303"/>
    <cellStyle name="20% - Accent1 37 6" xfId="1304"/>
    <cellStyle name="20% - Accent1 37 7" xfId="1305"/>
    <cellStyle name="20% - Accent1 38" xfId="1306"/>
    <cellStyle name="20% - Accent1 38 2" xfId="1307"/>
    <cellStyle name="20% - Accent1 38 2 2" xfId="1308"/>
    <cellStyle name="20% - Accent1 38 2 2 2" xfId="1309"/>
    <cellStyle name="20% - Accent1 38 2 3" xfId="1310"/>
    <cellStyle name="20% - Accent1 38 2 3 2" xfId="1311"/>
    <cellStyle name="20% - Accent1 38 2 4" xfId="1312"/>
    <cellStyle name="20% - Accent1 38 3" xfId="1313"/>
    <cellStyle name="20% - Accent1 38 3 2" xfId="1314"/>
    <cellStyle name="20% - Accent1 38 3 2 2" xfId="1315"/>
    <cellStyle name="20% - Accent1 38 3 3" xfId="1316"/>
    <cellStyle name="20% - Accent1 38 3 3 2" xfId="1317"/>
    <cellStyle name="20% - Accent1 38 3 4" xfId="1318"/>
    <cellStyle name="20% - Accent1 38 4" xfId="1319"/>
    <cellStyle name="20% - Accent1 38 4 2" xfId="1320"/>
    <cellStyle name="20% - Accent1 38 5" xfId="1321"/>
    <cellStyle name="20% - Accent1 38 5 2" xfId="1322"/>
    <cellStyle name="20% - Accent1 38 6" xfId="1323"/>
    <cellStyle name="20% - Accent1 38 7" xfId="1324"/>
    <cellStyle name="20% - Accent1 39" xfId="1325"/>
    <cellStyle name="20% - Accent1 39 2" xfId="1326"/>
    <cellStyle name="20% - Accent1 39 2 2" xfId="1327"/>
    <cellStyle name="20% - Accent1 39 2 2 2" xfId="1328"/>
    <cellStyle name="20% - Accent1 39 2 3" xfId="1329"/>
    <cellStyle name="20% - Accent1 39 2 3 2" xfId="1330"/>
    <cellStyle name="20% - Accent1 39 2 4" xfId="1331"/>
    <cellStyle name="20% - Accent1 39 3" xfId="1332"/>
    <cellStyle name="20% - Accent1 39 3 2" xfId="1333"/>
    <cellStyle name="20% - Accent1 39 3 2 2" xfId="1334"/>
    <cellStyle name="20% - Accent1 39 3 3" xfId="1335"/>
    <cellStyle name="20% - Accent1 39 3 3 2" xfId="1336"/>
    <cellStyle name="20% - Accent1 39 3 4" xfId="1337"/>
    <cellStyle name="20% - Accent1 39 4" xfId="1338"/>
    <cellStyle name="20% - Accent1 39 4 2" xfId="1339"/>
    <cellStyle name="20% - Accent1 39 5" xfId="1340"/>
    <cellStyle name="20% - Accent1 39 5 2" xfId="1341"/>
    <cellStyle name="20% - Accent1 39 6" xfId="1342"/>
    <cellStyle name="20% - Accent1 39 7" xfId="1343"/>
    <cellStyle name="20% - Accent1 4" xfId="1344"/>
    <cellStyle name="20% - Accent1 4 2" xfId="1345"/>
    <cellStyle name="20% - Accent1 4 2 2" xfId="1346"/>
    <cellStyle name="20% - Accent1 4 2 2 2" xfId="1347"/>
    <cellStyle name="20% - Accent1 4 2 3" xfId="1348"/>
    <cellStyle name="20% - Accent1 4 2 3 2" xfId="1349"/>
    <cellStyle name="20% - Accent1 4 2 4" xfId="1350"/>
    <cellStyle name="20% - Accent1 4 3" xfId="1351"/>
    <cellStyle name="20% - Accent1 4 3 2" xfId="1352"/>
    <cellStyle name="20% - Accent1 4 3 2 2" xfId="1353"/>
    <cellStyle name="20% - Accent1 4 3 3" xfId="1354"/>
    <cellStyle name="20% - Accent1 4 3 3 2" xfId="1355"/>
    <cellStyle name="20% - Accent1 4 3 4" xfId="1356"/>
    <cellStyle name="20% - Accent1 4 4" xfId="1357"/>
    <cellStyle name="20% - Accent1 4 4 2" xfId="1358"/>
    <cellStyle name="20% - Accent1 4 5" xfId="1359"/>
    <cellStyle name="20% - Accent1 4 5 2" xfId="1360"/>
    <cellStyle name="20% - Accent1 4 6" xfId="1361"/>
    <cellStyle name="20% - Accent1 40" xfId="1362"/>
    <cellStyle name="20% - Accent1 40 2" xfId="1363"/>
    <cellStyle name="20% - Accent1 40 2 2" xfId="1364"/>
    <cellStyle name="20% - Accent1 40 2 2 2" xfId="1365"/>
    <cellStyle name="20% - Accent1 40 2 3" xfId="1366"/>
    <cellStyle name="20% - Accent1 40 2 3 2" xfId="1367"/>
    <cellStyle name="20% - Accent1 40 2 4" xfId="1368"/>
    <cellStyle name="20% - Accent1 40 3" xfId="1369"/>
    <cellStyle name="20% - Accent1 40 3 2" xfId="1370"/>
    <cellStyle name="20% - Accent1 40 3 2 2" xfId="1371"/>
    <cellStyle name="20% - Accent1 40 3 3" xfId="1372"/>
    <cellStyle name="20% - Accent1 40 3 3 2" xfId="1373"/>
    <cellStyle name="20% - Accent1 40 3 4" xfId="1374"/>
    <cellStyle name="20% - Accent1 40 4" xfId="1375"/>
    <cellStyle name="20% - Accent1 40 4 2" xfId="1376"/>
    <cellStyle name="20% - Accent1 40 5" xfId="1377"/>
    <cellStyle name="20% - Accent1 40 5 2" xfId="1378"/>
    <cellStyle name="20% - Accent1 40 6" xfId="1379"/>
    <cellStyle name="20% - Accent1 40 7" xfId="1380"/>
    <cellStyle name="20% - Accent1 41" xfId="1381"/>
    <cellStyle name="20% - Accent1 41 2" xfId="1382"/>
    <cellStyle name="20% - Accent1 41 2 2" xfId="1383"/>
    <cellStyle name="20% - Accent1 41 2 2 2" xfId="1384"/>
    <cellStyle name="20% - Accent1 41 2 3" xfId="1385"/>
    <cellStyle name="20% - Accent1 41 2 3 2" xfId="1386"/>
    <cellStyle name="20% - Accent1 41 2 4" xfId="1387"/>
    <cellStyle name="20% - Accent1 41 3" xfId="1388"/>
    <cellStyle name="20% - Accent1 41 3 2" xfId="1389"/>
    <cellStyle name="20% - Accent1 41 3 2 2" xfId="1390"/>
    <cellStyle name="20% - Accent1 41 3 3" xfId="1391"/>
    <cellStyle name="20% - Accent1 41 3 3 2" xfId="1392"/>
    <cellStyle name="20% - Accent1 41 3 4" xfId="1393"/>
    <cellStyle name="20% - Accent1 41 4" xfId="1394"/>
    <cellStyle name="20% - Accent1 41 4 2" xfId="1395"/>
    <cellStyle name="20% - Accent1 41 5" xfId="1396"/>
    <cellStyle name="20% - Accent1 41 5 2" xfId="1397"/>
    <cellStyle name="20% - Accent1 41 6" xfId="1398"/>
    <cellStyle name="20% - Accent1 41 7" xfId="1399"/>
    <cellStyle name="20% - Accent1 42" xfId="1400"/>
    <cellStyle name="20% - Accent1 42 2" xfId="1401"/>
    <cellStyle name="20% - Accent1 42 2 2" xfId="1402"/>
    <cellStyle name="20% - Accent1 42 3" xfId="1403"/>
    <cellStyle name="20% - Accent1 42 3 2" xfId="1404"/>
    <cellStyle name="20% - Accent1 42 4" xfId="1405"/>
    <cellStyle name="20% - Accent1 42 5" xfId="1406"/>
    <cellStyle name="20% - Accent1 43" xfId="1407"/>
    <cellStyle name="20% - Accent1 43 2" xfId="1408"/>
    <cellStyle name="20% - Accent1 43 2 2" xfId="1409"/>
    <cellStyle name="20% - Accent1 43 3" xfId="1410"/>
    <cellStyle name="20% - Accent1 43 3 2" xfId="1411"/>
    <cellStyle name="20% - Accent1 43 4" xfId="1412"/>
    <cellStyle name="20% - Accent1 43 5" xfId="1413"/>
    <cellStyle name="20% - Accent1 44" xfId="1414"/>
    <cellStyle name="20% - Accent1 44 2" xfId="1415"/>
    <cellStyle name="20% - Accent1 44 2 2" xfId="1416"/>
    <cellStyle name="20% - Accent1 44 3" xfId="1417"/>
    <cellStyle name="20% - Accent1 44 3 2" xfId="1418"/>
    <cellStyle name="20% - Accent1 44 4" xfId="1419"/>
    <cellStyle name="20% - Accent1 44 5" xfId="1420"/>
    <cellStyle name="20% - Accent1 45" xfId="1421"/>
    <cellStyle name="20% - Accent1 45 2" xfId="1422"/>
    <cellStyle name="20% - Accent1 45 2 2" xfId="1423"/>
    <cellStyle name="20% - Accent1 45 3" xfId="1424"/>
    <cellStyle name="20% - Accent1 45 3 2" xfId="1425"/>
    <cellStyle name="20% - Accent1 45 4" xfId="1426"/>
    <cellStyle name="20% - Accent1 45 5" xfId="1427"/>
    <cellStyle name="20% - Accent1 46" xfId="1428"/>
    <cellStyle name="20% - Accent1 46 2" xfId="1429"/>
    <cellStyle name="20% - Accent1 46 2 2" xfId="1430"/>
    <cellStyle name="20% - Accent1 46 3" xfId="1431"/>
    <cellStyle name="20% - Accent1 46 3 2" xfId="1432"/>
    <cellStyle name="20% - Accent1 46 4" xfId="1433"/>
    <cellStyle name="20% - Accent1 46 5" xfId="1434"/>
    <cellStyle name="20% - Accent1 47" xfId="1435"/>
    <cellStyle name="20% - Accent1 47 2" xfId="1436"/>
    <cellStyle name="20% - Accent1 47 2 2" xfId="1437"/>
    <cellStyle name="20% - Accent1 47 3" xfId="1438"/>
    <cellStyle name="20% - Accent1 47 3 2" xfId="1439"/>
    <cellStyle name="20% - Accent1 47 4" xfId="1440"/>
    <cellStyle name="20% - Accent1 47 5" xfId="1441"/>
    <cellStyle name="20% - Accent1 48" xfId="1442"/>
    <cellStyle name="20% - Accent1 48 2" xfId="1443"/>
    <cellStyle name="20% - Accent1 48 2 2" xfId="1444"/>
    <cellStyle name="20% - Accent1 48 3" xfId="1445"/>
    <cellStyle name="20% - Accent1 48 3 2" xfId="1446"/>
    <cellStyle name="20% - Accent1 48 4" xfId="1447"/>
    <cellStyle name="20% - Accent1 48 5" xfId="1448"/>
    <cellStyle name="20% - Accent1 49" xfId="1449"/>
    <cellStyle name="20% - Accent1 49 2" xfId="1450"/>
    <cellStyle name="20% - Accent1 49 2 2" xfId="1451"/>
    <cellStyle name="20% - Accent1 49 3" xfId="1452"/>
    <cellStyle name="20% - Accent1 49 3 2" xfId="1453"/>
    <cellStyle name="20% - Accent1 49 4" xfId="1454"/>
    <cellStyle name="20% - Accent1 49 5" xfId="1455"/>
    <cellStyle name="20% - Accent1 5" xfId="1456"/>
    <cellStyle name="20% - Accent1 5 2" xfId="1457"/>
    <cellStyle name="20% - Accent1 5 2 2" xfId="1458"/>
    <cellStyle name="20% - Accent1 5 2 2 2" xfId="1459"/>
    <cellStyle name="20% - Accent1 5 2 3" xfId="1460"/>
    <cellStyle name="20% - Accent1 5 2 3 2" xfId="1461"/>
    <cellStyle name="20% - Accent1 5 2 4" xfId="1462"/>
    <cellStyle name="20% - Accent1 5 3" xfId="1463"/>
    <cellStyle name="20% - Accent1 5 3 2" xfId="1464"/>
    <cellStyle name="20% - Accent1 5 3 2 2" xfId="1465"/>
    <cellStyle name="20% - Accent1 5 3 3" xfId="1466"/>
    <cellStyle name="20% - Accent1 5 3 3 2" xfId="1467"/>
    <cellStyle name="20% - Accent1 5 3 4" xfId="1468"/>
    <cellStyle name="20% - Accent1 5 4" xfId="1469"/>
    <cellStyle name="20% - Accent1 5 4 2" xfId="1470"/>
    <cellStyle name="20% - Accent1 5 5" xfId="1471"/>
    <cellStyle name="20% - Accent1 5 5 2" xfId="1472"/>
    <cellStyle name="20% - Accent1 5 6" xfId="1473"/>
    <cellStyle name="20% - Accent1 50" xfId="1474"/>
    <cellStyle name="20% - Accent1 50 2" xfId="1475"/>
    <cellStyle name="20% - Accent1 50 2 2" xfId="1476"/>
    <cellStyle name="20% - Accent1 50 3" xfId="1477"/>
    <cellStyle name="20% - Accent1 50 3 2" xfId="1478"/>
    <cellStyle name="20% - Accent1 50 4" xfId="1479"/>
    <cellStyle name="20% - Accent1 50 5" xfId="1480"/>
    <cellStyle name="20% - Accent1 51" xfId="1481"/>
    <cellStyle name="20% - Accent1 51 2" xfId="1482"/>
    <cellStyle name="20% - Accent1 51 2 2" xfId="1483"/>
    <cellStyle name="20% - Accent1 51 3" xfId="1484"/>
    <cellStyle name="20% - Accent1 51 3 2" xfId="1485"/>
    <cellStyle name="20% - Accent1 51 4" xfId="1486"/>
    <cellStyle name="20% - Accent1 51 5" xfId="1487"/>
    <cellStyle name="20% - Accent1 52" xfId="1488"/>
    <cellStyle name="20% - Accent1 52 2" xfId="1489"/>
    <cellStyle name="20% - Accent1 52 2 2" xfId="1490"/>
    <cellStyle name="20% - Accent1 52 3" xfId="1491"/>
    <cellStyle name="20% - Accent1 52 3 2" xfId="1492"/>
    <cellStyle name="20% - Accent1 52 4" xfId="1493"/>
    <cellStyle name="20% - Accent1 52 5" xfId="1494"/>
    <cellStyle name="20% - Accent1 53" xfId="1495"/>
    <cellStyle name="20% - Accent1 53 2" xfId="1496"/>
    <cellStyle name="20% - Accent1 53 2 2" xfId="1497"/>
    <cellStyle name="20% - Accent1 53 3" xfId="1498"/>
    <cellStyle name="20% - Accent1 53 3 2" xfId="1499"/>
    <cellStyle name="20% - Accent1 53 4" xfId="1500"/>
    <cellStyle name="20% - Accent1 53 5" xfId="1501"/>
    <cellStyle name="20% - Accent1 54" xfId="1502"/>
    <cellStyle name="20% - Accent1 54 2" xfId="1503"/>
    <cellStyle name="20% - Accent1 54 2 2" xfId="1504"/>
    <cellStyle name="20% - Accent1 54 3" xfId="1505"/>
    <cellStyle name="20% - Accent1 54 3 2" xfId="1506"/>
    <cellStyle name="20% - Accent1 54 4" xfId="1507"/>
    <cellStyle name="20% - Accent1 54 5" xfId="1508"/>
    <cellStyle name="20% - Accent1 55" xfId="1509"/>
    <cellStyle name="20% - Accent1 55 2" xfId="1510"/>
    <cellStyle name="20% - Accent1 55 2 2" xfId="1511"/>
    <cellStyle name="20% - Accent1 55 3" xfId="1512"/>
    <cellStyle name="20% - Accent1 55 3 2" xfId="1513"/>
    <cellStyle name="20% - Accent1 55 4" xfId="1514"/>
    <cellStyle name="20% - Accent1 55 5" xfId="1515"/>
    <cellStyle name="20% - Accent1 56" xfId="1516"/>
    <cellStyle name="20% - Accent1 56 2" xfId="1517"/>
    <cellStyle name="20% - Accent1 56 2 2" xfId="1518"/>
    <cellStyle name="20% - Accent1 56 3" xfId="1519"/>
    <cellStyle name="20% - Accent1 56 3 2" xfId="1520"/>
    <cellStyle name="20% - Accent1 56 4" xfId="1521"/>
    <cellStyle name="20% - Accent1 56 5" xfId="1522"/>
    <cellStyle name="20% - Accent1 57" xfId="1523"/>
    <cellStyle name="20% - Accent1 57 2" xfId="1524"/>
    <cellStyle name="20% - Accent1 57 2 2" xfId="1525"/>
    <cellStyle name="20% - Accent1 57 3" xfId="1526"/>
    <cellStyle name="20% - Accent1 57 3 2" xfId="1527"/>
    <cellStyle name="20% - Accent1 57 4" xfId="1528"/>
    <cellStyle name="20% - Accent1 57 5" xfId="1529"/>
    <cellStyle name="20% - Accent1 58" xfId="1530"/>
    <cellStyle name="20% - Accent1 58 2" xfId="1531"/>
    <cellStyle name="20% - Accent1 58 2 2" xfId="1532"/>
    <cellStyle name="20% - Accent1 58 3" xfId="1533"/>
    <cellStyle name="20% - Accent1 58 3 2" xfId="1534"/>
    <cellStyle name="20% - Accent1 58 4" xfId="1535"/>
    <cellStyle name="20% - Accent1 58 5" xfId="1536"/>
    <cellStyle name="20% - Accent1 59" xfId="1537"/>
    <cellStyle name="20% - Accent1 59 2" xfId="1538"/>
    <cellStyle name="20% - Accent1 59 2 2" xfId="1539"/>
    <cellStyle name="20% - Accent1 59 3" xfId="1540"/>
    <cellStyle name="20% - Accent1 59 3 2" xfId="1541"/>
    <cellStyle name="20% - Accent1 59 4" xfId="1542"/>
    <cellStyle name="20% - Accent1 59 5" xfId="1543"/>
    <cellStyle name="20% - Accent1 6" xfId="1544"/>
    <cellStyle name="20% - Accent1 6 2" xfId="1545"/>
    <cellStyle name="20% - Accent1 6 2 2" xfId="1546"/>
    <cellStyle name="20% - Accent1 6 2 2 2" xfId="1547"/>
    <cellStyle name="20% - Accent1 6 2 3" xfId="1548"/>
    <cellStyle name="20% - Accent1 6 2 3 2" xfId="1549"/>
    <cellStyle name="20% - Accent1 6 2 4" xfId="1550"/>
    <cellStyle name="20% - Accent1 6 3" xfId="1551"/>
    <cellStyle name="20% - Accent1 6 3 2" xfId="1552"/>
    <cellStyle name="20% - Accent1 6 3 2 2" xfId="1553"/>
    <cellStyle name="20% - Accent1 6 3 3" xfId="1554"/>
    <cellStyle name="20% - Accent1 6 3 3 2" xfId="1555"/>
    <cellStyle name="20% - Accent1 6 3 4" xfId="1556"/>
    <cellStyle name="20% - Accent1 6 4" xfId="1557"/>
    <cellStyle name="20% - Accent1 6 4 2" xfId="1558"/>
    <cellStyle name="20% - Accent1 6 5" xfId="1559"/>
    <cellStyle name="20% - Accent1 6 5 2" xfId="1560"/>
    <cellStyle name="20% - Accent1 6 6" xfId="1561"/>
    <cellStyle name="20% - Accent1 60" xfId="1562"/>
    <cellStyle name="20% - Accent1 60 2" xfId="1563"/>
    <cellStyle name="20% - Accent1 60 2 2" xfId="1564"/>
    <cellStyle name="20% - Accent1 60 3" xfId="1565"/>
    <cellStyle name="20% - Accent1 60 3 2" xfId="1566"/>
    <cellStyle name="20% - Accent1 60 4" xfId="1567"/>
    <cellStyle name="20% - Accent1 60 5" xfId="1568"/>
    <cellStyle name="20% - Accent1 61" xfId="1569"/>
    <cellStyle name="20% - Accent1 61 2" xfId="1570"/>
    <cellStyle name="20% - Accent1 61 2 2" xfId="1571"/>
    <cellStyle name="20% - Accent1 61 3" xfId="1572"/>
    <cellStyle name="20% - Accent1 61 3 2" xfId="1573"/>
    <cellStyle name="20% - Accent1 61 4" xfId="1574"/>
    <cellStyle name="20% - Accent1 61 5" xfId="1575"/>
    <cellStyle name="20% - Accent1 62" xfId="1576"/>
    <cellStyle name="20% - Accent1 62 2" xfId="1577"/>
    <cellStyle name="20% - Accent1 62 2 2" xfId="1578"/>
    <cellStyle name="20% - Accent1 62 3" xfId="1579"/>
    <cellStyle name="20% - Accent1 62 3 2" xfId="1580"/>
    <cellStyle name="20% - Accent1 62 4" xfId="1581"/>
    <cellStyle name="20% - Accent1 62 5" xfId="1582"/>
    <cellStyle name="20% - Accent1 63" xfId="1583"/>
    <cellStyle name="20% - Accent1 63 2" xfId="1584"/>
    <cellStyle name="20% - Accent1 63 2 2" xfId="1585"/>
    <cellStyle name="20% - Accent1 63 3" xfId="1586"/>
    <cellStyle name="20% - Accent1 63 3 2" xfId="1587"/>
    <cellStyle name="20% - Accent1 63 4" xfId="1588"/>
    <cellStyle name="20% - Accent1 63 5" xfId="1589"/>
    <cellStyle name="20% - Accent1 64" xfId="1590"/>
    <cellStyle name="20% - Accent1 64 2" xfId="1591"/>
    <cellStyle name="20% - Accent1 64 2 2" xfId="1592"/>
    <cellStyle name="20% - Accent1 64 3" xfId="1593"/>
    <cellStyle name="20% - Accent1 64 3 2" xfId="1594"/>
    <cellStyle name="20% - Accent1 64 4" xfId="1595"/>
    <cellStyle name="20% - Accent1 64 5" xfId="1596"/>
    <cellStyle name="20% - Accent1 65" xfId="1597"/>
    <cellStyle name="20% - Accent1 65 2" xfId="1598"/>
    <cellStyle name="20% - Accent1 65 2 2" xfId="1599"/>
    <cellStyle name="20% - Accent1 65 3" xfId="1600"/>
    <cellStyle name="20% - Accent1 65 3 2" xfId="1601"/>
    <cellStyle name="20% - Accent1 65 4" xfId="1602"/>
    <cellStyle name="20% - Accent1 65 5" xfId="1603"/>
    <cellStyle name="20% - Accent1 66" xfId="1604"/>
    <cellStyle name="20% - Accent1 66 2" xfId="1605"/>
    <cellStyle name="20% - Accent1 66 2 2" xfId="1606"/>
    <cellStyle name="20% - Accent1 66 3" xfId="1607"/>
    <cellStyle name="20% - Accent1 66 3 2" xfId="1608"/>
    <cellStyle name="20% - Accent1 66 4" xfId="1609"/>
    <cellStyle name="20% - Accent1 66 5" xfId="1610"/>
    <cellStyle name="20% - Accent1 67" xfId="1611"/>
    <cellStyle name="20% - Accent1 67 2" xfId="1612"/>
    <cellStyle name="20% - Accent1 67 2 2" xfId="1613"/>
    <cellStyle name="20% - Accent1 67 3" xfId="1614"/>
    <cellStyle name="20% - Accent1 67 3 2" xfId="1615"/>
    <cellStyle name="20% - Accent1 67 4" xfId="1616"/>
    <cellStyle name="20% - Accent1 67 5" xfId="1617"/>
    <cellStyle name="20% - Accent1 68" xfId="1618"/>
    <cellStyle name="20% - Accent1 68 2" xfId="1619"/>
    <cellStyle name="20% - Accent1 68 2 2" xfId="1620"/>
    <cellStyle name="20% - Accent1 68 3" xfId="1621"/>
    <cellStyle name="20% - Accent1 68 3 2" xfId="1622"/>
    <cellStyle name="20% - Accent1 68 4" xfId="1623"/>
    <cellStyle name="20% - Accent1 68 5" xfId="1624"/>
    <cellStyle name="20% - Accent1 69" xfId="1625"/>
    <cellStyle name="20% - Accent1 69 2" xfId="1626"/>
    <cellStyle name="20% - Accent1 69 2 2" xfId="1627"/>
    <cellStyle name="20% - Accent1 69 3" xfId="1628"/>
    <cellStyle name="20% - Accent1 69 3 2" xfId="1629"/>
    <cellStyle name="20% - Accent1 69 4" xfId="1630"/>
    <cellStyle name="20% - Accent1 69 5" xfId="1631"/>
    <cellStyle name="20% - Accent1 7" xfId="1632"/>
    <cellStyle name="20% - Accent1 7 2" xfId="1633"/>
    <cellStyle name="20% - Accent1 7 2 2" xfId="1634"/>
    <cellStyle name="20% - Accent1 7 2 2 2" xfId="1635"/>
    <cellStyle name="20% - Accent1 7 2 3" xfId="1636"/>
    <cellStyle name="20% - Accent1 7 2 3 2" xfId="1637"/>
    <cellStyle name="20% - Accent1 7 2 4" xfId="1638"/>
    <cellStyle name="20% - Accent1 7 3" xfId="1639"/>
    <cellStyle name="20% - Accent1 7 3 2" xfId="1640"/>
    <cellStyle name="20% - Accent1 7 3 2 2" xfId="1641"/>
    <cellStyle name="20% - Accent1 7 3 3" xfId="1642"/>
    <cellStyle name="20% - Accent1 7 3 3 2" xfId="1643"/>
    <cellStyle name="20% - Accent1 7 3 4" xfId="1644"/>
    <cellStyle name="20% - Accent1 7 4" xfId="1645"/>
    <cellStyle name="20% - Accent1 7 4 2" xfId="1646"/>
    <cellStyle name="20% - Accent1 7 5" xfId="1647"/>
    <cellStyle name="20% - Accent1 7 5 2" xfId="1648"/>
    <cellStyle name="20% - Accent1 7 6" xfId="1649"/>
    <cellStyle name="20% - Accent1 70" xfId="1650"/>
    <cellStyle name="20% - Accent1 70 2" xfId="1651"/>
    <cellStyle name="20% - Accent1 70 2 2" xfId="1652"/>
    <cellStyle name="20% - Accent1 70 3" xfId="1653"/>
    <cellStyle name="20% - Accent1 70 3 2" xfId="1654"/>
    <cellStyle name="20% - Accent1 70 4" xfId="1655"/>
    <cellStyle name="20% - Accent1 71" xfId="1656"/>
    <cellStyle name="20% - Accent1 71 2" xfId="1657"/>
    <cellStyle name="20% - Accent1 71 2 2" xfId="1658"/>
    <cellStyle name="20% - Accent1 71 3" xfId="1659"/>
    <cellStyle name="20% - Accent1 71 3 2" xfId="1660"/>
    <cellStyle name="20% - Accent1 71 4" xfId="1661"/>
    <cellStyle name="20% - Accent1 72" xfId="1662"/>
    <cellStyle name="20% - Accent1 72 2" xfId="1663"/>
    <cellStyle name="20% - Accent1 72 2 2" xfId="1664"/>
    <cellStyle name="20% - Accent1 72 3" xfId="1665"/>
    <cellStyle name="20% - Accent1 72 3 2" xfId="1666"/>
    <cellStyle name="20% - Accent1 72 4" xfId="1667"/>
    <cellStyle name="20% - Accent1 73" xfId="1668"/>
    <cellStyle name="20% - Accent1 73 2" xfId="1669"/>
    <cellStyle name="20% - Accent1 73 2 2" xfId="1670"/>
    <cellStyle name="20% - Accent1 73 3" xfId="1671"/>
    <cellStyle name="20% - Accent1 73 3 2" xfId="1672"/>
    <cellStyle name="20% - Accent1 73 4" xfId="1673"/>
    <cellStyle name="20% - Accent1 74" xfId="1674"/>
    <cellStyle name="20% - Accent1 74 2" xfId="1675"/>
    <cellStyle name="20% - Accent1 74 2 2" xfId="1676"/>
    <cellStyle name="20% - Accent1 74 3" xfId="1677"/>
    <cellStyle name="20% - Accent1 74 3 2" xfId="1678"/>
    <cellStyle name="20% - Accent1 74 4" xfId="1679"/>
    <cellStyle name="20% - Accent1 75" xfId="1680"/>
    <cellStyle name="20% - Accent1 75 2" xfId="1681"/>
    <cellStyle name="20% - Accent1 75 2 2" xfId="1682"/>
    <cellStyle name="20% - Accent1 75 3" xfId="1683"/>
    <cellStyle name="20% - Accent1 75 3 2" xfId="1684"/>
    <cellStyle name="20% - Accent1 75 4" xfId="1685"/>
    <cellStyle name="20% - Accent1 76" xfId="1686"/>
    <cellStyle name="20% - Accent1 76 2" xfId="1687"/>
    <cellStyle name="20% - Accent1 76 2 2" xfId="1688"/>
    <cellStyle name="20% - Accent1 76 3" xfId="1689"/>
    <cellStyle name="20% - Accent1 76 3 2" xfId="1690"/>
    <cellStyle name="20% - Accent1 76 4" xfId="1691"/>
    <cellStyle name="20% - Accent1 77" xfId="1692"/>
    <cellStyle name="20% - Accent1 77 2" xfId="1693"/>
    <cellStyle name="20% - Accent1 77 2 2" xfId="1694"/>
    <cellStyle name="20% - Accent1 77 3" xfId="1695"/>
    <cellStyle name="20% - Accent1 77 3 2" xfId="1696"/>
    <cellStyle name="20% - Accent1 77 4" xfId="1697"/>
    <cellStyle name="20% - Accent1 78" xfId="1698"/>
    <cellStyle name="20% - Accent1 78 2" xfId="1699"/>
    <cellStyle name="20% - Accent1 78 2 2" xfId="1700"/>
    <cellStyle name="20% - Accent1 78 3" xfId="1701"/>
    <cellStyle name="20% - Accent1 78 3 2" xfId="1702"/>
    <cellStyle name="20% - Accent1 78 4" xfId="1703"/>
    <cellStyle name="20% - Accent1 79" xfId="1704"/>
    <cellStyle name="20% - Accent1 79 2" xfId="1705"/>
    <cellStyle name="20% - Accent1 79 2 2" xfId="1706"/>
    <cellStyle name="20% - Accent1 79 3" xfId="1707"/>
    <cellStyle name="20% - Accent1 79 3 2" xfId="1708"/>
    <cellStyle name="20% - Accent1 79 4" xfId="1709"/>
    <cellStyle name="20% - Accent1 8" xfId="1710"/>
    <cellStyle name="20% - Accent1 8 2" xfId="1711"/>
    <cellStyle name="20% - Accent1 8 2 2" xfId="1712"/>
    <cellStyle name="20% - Accent1 8 2 2 2" xfId="1713"/>
    <cellStyle name="20% - Accent1 8 2 3" xfId="1714"/>
    <cellStyle name="20% - Accent1 8 2 3 2" xfId="1715"/>
    <cellStyle name="20% - Accent1 8 2 4" xfId="1716"/>
    <cellStyle name="20% - Accent1 8 3" xfId="1717"/>
    <cellStyle name="20% - Accent1 8 3 2" xfId="1718"/>
    <cellStyle name="20% - Accent1 8 3 2 2" xfId="1719"/>
    <cellStyle name="20% - Accent1 8 3 3" xfId="1720"/>
    <cellStyle name="20% - Accent1 8 3 3 2" xfId="1721"/>
    <cellStyle name="20% - Accent1 8 3 4" xfId="1722"/>
    <cellStyle name="20% - Accent1 8 4" xfId="1723"/>
    <cellStyle name="20% - Accent1 8 4 2" xfId="1724"/>
    <cellStyle name="20% - Accent1 8 5" xfId="1725"/>
    <cellStyle name="20% - Accent1 8 5 2" xfId="1726"/>
    <cellStyle name="20% - Accent1 8 6" xfId="1727"/>
    <cellStyle name="20% - Accent1 80" xfId="1728"/>
    <cellStyle name="20% - Accent1 80 2" xfId="1729"/>
    <cellStyle name="20% - Accent1 80 2 2" xfId="1730"/>
    <cellStyle name="20% - Accent1 80 3" xfId="1731"/>
    <cellStyle name="20% - Accent1 80 3 2" xfId="1732"/>
    <cellStyle name="20% - Accent1 80 4" xfId="1733"/>
    <cellStyle name="20% - Accent1 81" xfId="1734"/>
    <cellStyle name="20% - Accent1 81 2" xfId="1735"/>
    <cellStyle name="20% - Accent1 81 2 2" xfId="1736"/>
    <cellStyle name="20% - Accent1 81 3" xfId="1737"/>
    <cellStyle name="20% - Accent1 81 3 2" xfId="1738"/>
    <cellStyle name="20% - Accent1 81 4" xfId="1739"/>
    <cellStyle name="20% - Accent1 82" xfId="1740"/>
    <cellStyle name="20% - Accent1 82 2" xfId="1741"/>
    <cellStyle name="20% - Accent1 82 2 2" xfId="1742"/>
    <cellStyle name="20% - Accent1 82 3" xfId="1743"/>
    <cellStyle name="20% - Accent1 82 3 2" xfId="1744"/>
    <cellStyle name="20% - Accent1 82 4" xfId="1745"/>
    <cellStyle name="20% - Accent1 83" xfId="1746"/>
    <cellStyle name="20% - Accent1 83 2" xfId="1747"/>
    <cellStyle name="20% - Accent1 83 2 2" xfId="1748"/>
    <cellStyle name="20% - Accent1 83 3" xfId="1749"/>
    <cellStyle name="20% - Accent1 83 3 2" xfId="1750"/>
    <cellStyle name="20% - Accent1 83 4" xfId="1751"/>
    <cellStyle name="20% - Accent1 84" xfId="1752"/>
    <cellStyle name="20% - Accent1 84 2" xfId="1753"/>
    <cellStyle name="20% - Accent1 84 2 2" xfId="1754"/>
    <cellStyle name="20% - Accent1 84 3" xfId="1755"/>
    <cellStyle name="20% - Accent1 84 3 2" xfId="1756"/>
    <cellStyle name="20% - Accent1 84 4" xfId="1757"/>
    <cellStyle name="20% - Accent1 85" xfId="1758"/>
    <cellStyle name="20% - Accent1 85 2" xfId="1759"/>
    <cellStyle name="20% - Accent1 85 2 2" xfId="1760"/>
    <cellStyle name="20% - Accent1 85 3" xfId="1761"/>
    <cellStyle name="20% - Accent1 85 3 2" xfId="1762"/>
    <cellStyle name="20% - Accent1 85 4" xfId="1763"/>
    <cellStyle name="20% - Accent1 86" xfId="1764"/>
    <cellStyle name="20% - Accent1 86 2" xfId="1765"/>
    <cellStyle name="20% - Accent1 86 2 2" xfId="1766"/>
    <cellStyle name="20% - Accent1 86 3" xfId="1767"/>
    <cellStyle name="20% - Accent1 86 3 2" xfId="1768"/>
    <cellStyle name="20% - Accent1 86 4" xfId="1769"/>
    <cellStyle name="20% - Accent1 87" xfId="1770"/>
    <cellStyle name="20% - Accent1 87 2" xfId="1771"/>
    <cellStyle name="20% - Accent1 87 2 2" xfId="1772"/>
    <cellStyle name="20% - Accent1 87 3" xfId="1773"/>
    <cellStyle name="20% - Accent1 87 3 2" xfId="1774"/>
    <cellStyle name="20% - Accent1 87 4" xfId="1775"/>
    <cellStyle name="20% - Accent1 88" xfId="1776"/>
    <cellStyle name="20% - Accent1 88 2" xfId="1777"/>
    <cellStyle name="20% - Accent1 88 2 2" xfId="1778"/>
    <cellStyle name="20% - Accent1 88 3" xfId="1779"/>
    <cellStyle name="20% - Accent1 88 3 2" xfId="1780"/>
    <cellStyle name="20% - Accent1 88 4" xfId="1781"/>
    <cellStyle name="20% - Accent1 89" xfId="1782"/>
    <cellStyle name="20% - Accent1 89 2" xfId="1783"/>
    <cellStyle name="20% - Accent1 89 2 2" xfId="1784"/>
    <cellStyle name="20% - Accent1 89 3" xfId="1785"/>
    <cellStyle name="20% - Accent1 89 3 2" xfId="1786"/>
    <cellStyle name="20% - Accent1 89 4" xfId="1787"/>
    <cellStyle name="20% - Accent1 9" xfId="1788"/>
    <cellStyle name="20% - Accent1 9 2" xfId="1789"/>
    <cellStyle name="20% - Accent1 9 2 2" xfId="1790"/>
    <cellStyle name="20% - Accent1 9 2 2 2" xfId="1791"/>
    <cellStyle name="20% - Accent1 9 2 3" xfId="1792"/>
    <cellStyle name="20% - Accent1 9 2 3 2" xfId="1793"/>
    <cellStyle name="20% - Accent1 9 2 4" xfId="1794"/>
    <cellStyle name="20% - Accent1 9 3" xfId="1795"/>
    <cellStyle name="20% - Accent1 9 3 2" xfId="1796"/>
    <cellStyle name="20% - Accent1 9 3 2 2" xfId="1797"/>
    <cellStyle name="20% - Accent1 9 3 3" xfId="1798"/>
    <cellStyle name="20% - Accent1 9 3 3 2" xfId="1799"/>
    <cellStyle name="20% - Accent1 9 3 4" xfId="1800"/>
    <cellStyle name="20% - Accent1 9 4" xfId="1801"/>
    <cellStyle name="20% - Accent1 9 4 2" xfId="1802"/>
    <cellStyle name="20% - Accent1 9 5" xfId="1803"/>
    <cellStyle name="20% - Accent1 9 5 2" xfId="1804"/>
    <cellStyle name="20% - Accent1 9 6" xfId="1805"/>
    <cellStyle name="20% - Accent1 90" xfId="1806"/>
    <cellStyle name="20% - Accent1 90 2" xfId="1807"/>
    <cellStyle name="20% - Accent1 90 2 2" xfId="1808"/>
    <cellStyle name="20% - Accent1 90 3" xfId="1809"/>
    <cellStyle name="20% - Accent1 90 3 2" xfId="1810"/>
    <cellStyle name="20% - Accent1 90 4" xfId="1811"/>
    <cellStyle name="20% - Accent1 91" xfId="1812"/>
    <cellStyle name="20% - Accent1 91 2" xfId="1813"/>
    <cellStyle name="20% - Accent1 91 2 2" xfId="1814"/>
    <cellStyle name="20% - Accent1 91 3" xfId="1815"/>
    <cellStyle name="20% - Accent1 91 3 2" xfId="1816"/>
    <cellStyle name="20% - Accent1 91 4" xfId="1817"/>
    <cellStyle name="20% - Accent1 92" xfId="1818"/>
    <cellStyle name="20% - Accent1 92 2" xfId="1819"/>
    <cellStyle name="20% - Accent1 92 2 2" xfId="1820"/>
    <cellStyle name="20% - Accent1 92 3" xfId="1821"/>
    <cellStyle name="20% - Accent1 92 3 2" xfId="1822"/>
    <cellStyle name="20% - Accent1 92 4" xfId="1823"/>
    <cellStyle name="20% - Accent1 93" xfId="1824"/>
    <cellStyle name="20% - Accent1 93 2" xfId="1825"/>
    <cellStyle name="20% - Accent1 93 2 2" xfId="1826"/>
    <cellStyle name="20% - Accent1 93 3" xfId="1827"/>
    <cellStyle name="20% - Accent1 93 3 2" xfId="1828"/>
    <cellStyle name="20% - Accent1 93 4" xfId="1829"/>
    <cellStyle name="20% - Accent1 94" xfId="1830"/>
    <cellStyle name="20% - Accent1 94 2" xfId="1831"/>
    <cellStyle name="20% - Accent1 94 2 2" xfId="1832"/>
    <cellStyle name="20% - Accent1 94 3" xfId="1833"/>
    <cellStyle name="20% - Accent1 94 3 2" xfId="1834"/>
    <cellStyle name="20% - Accent1 94 4" xfId="1835"/>
    <cellStyle name="20% - Accent1 95" xfId="1836"/>
    <cellStyle name="20% - Accent1 95 2" xfId="1837"/>
    <cellStyle name="20% - Accent1 95 2 2" xfId="1838"/>
    <cellStyle name="20% - Accent1 95 3" xfId="1839"/>
    <cellStyle name="20% - Accent1 95 3 2" xfId="1840"/>
    <cellStyle name="20% - Accent1 95 4" xfId="1841"/>
    <cellStyle name="20% - Accent1 96" xfId="1842"/>
    <cellStyle name="20% - Accent1 96 2" xfId="1843"/>
    <cellStyle name="20% - Accent1 96 2 2" xfId="1844"/>
    <cellStyle name="20% - Accent1 96 3" xfId="1845"/>
    <cellStyle name="20% - Accent1 96 3 2" xfId="1846"/>
    <cellStyle name="20% - Accent1 96 4" xfId="1847"/>
    <cellStyle name="20% - Accent1 97" xfId="1848"/>
    <cellStyle name="20% - Accent1 97 2" xfId="1849"/>
    <cellStyle name="20% - Accent1 97 2 2" xfId="1850"/>
    <cellStyle name="20% - Accent1 97 3" xfId="1851"/>
    <cellStyle name="20% - Accent1 97 3 2" xfId="1852"/>
    <cellStyle name="20% - Accent1 97 4" xfId="1853"/>
    <cellStyle name="20% - Accent1 98" xfId="1854"/>
    <cellStyle name="20% - Accent1 98 2" xfId="1855"/>
    <cellStyle name="20% - Accent1 98 2 2" xfId="1856"/>
    <cellStyle name="20% - Accent1 98 3" xfId="1857"/>
    <cellStyle name="20% - Accent1 98 3 2" xfId="1858"/>
    <cellStyle name="20% - Accent1 98 4" xfId="1859"/>
    <cellStyle name="20% - Accent1 99" xfId="1860"/>
    <cellStyle name="20% - Accent1 99 2" xfId="1861"/>
    <cellStyle name="20% - Accent1 99 2 2" xfId="1862"/>
    <cellStyle name="20% - Accent1 99 3" xfId="1863"/>
    <cellStyle name="20% - Accent1 99 3 2" xfId="1864"/>
    <cellStyle name="20% - Accent1 99 4" xfId="1865"/>
    <cellStyle name="20% - Accent2 10" xfId="1866"/>
    <cellStyle name="20% - Accent2 10 2" xfId="1867"/>
    <cellStyle name="20% - Accent2 10 2 2" xfId="1868"/>
    <cellStyle name="20% - Accent2 10 2 2 2" xfId="1869"/>
    <cellStyle name="20% - Accent2 10 2 3" xfId="1870"/>
    <cellStyle name="20% - Accent2 10 2 3 2" xfId="1871"/>
    <cellStyle name="20% - Accent2 10 2 4" xfId="1872"/>
    <cellStyle name="20% - Accent2 10 3" xfId="1873"/>
    <cellStyle name="20% - Accent2 10 3 2" xfId="1874"/>
    <cellStyle name="20% - Accent2 10 3 2 2" xfId="1875"/>
    <cellStyle name="20% - Accent2 10 3 3" xfId="1876"/>
    <cellStyle name="20% - Accent2 10 3 3 2" xfId="1877"/>
    <cellStyle name="20% - Accent2 10 3 4" xfId="1878"/>
    <cellStyle name="20% - Accent2 10 4" xfId="1879"/>
    <cellStyle name="20% - Accent2 10 4 2" xfId="1880"/>
    <cellStyle name="20% - Accent2 10 5" xfId="1881"/>
    <cellStyle name="20% - Accent2 10 5 2" xfId="1882"/>
    <cellStyle name="20% - Accent2 10 6" xfId="1883"/>
    <cellStyle name="20% - Accent2 100" xfId="1884"/>
    <cellStyle name="20% - Accent2 100 2" xfId="1885"/>
    <cellStyle name="20% - Accent2 100 2 2" xfId="1886"/>
    <cellStyle name="20% - Accent2 100 3" xfId="1887"/>
    <cellStyle name="20% - Accent2 100 3 2" xfId="1888"/>
    <cellStyle name="20% - Accent2 100 4" xfId="1889"/>
    <cellStyle name="20% - Accent2 101" xfId="1890"/>
    <cellStyle name="20% - Accent2 101 2" xfId="1891"/>
    <cellStyle name="20% - Accent2 101 2 2" xfId="1892"/>
    <cellStyle name="20% - Accent2 101 3" xfId="1893"/>
    <cellStyle name="20% - Accent2 101 3 2" xfId="1894"/>
    <cellStyle name="20% - Accent2 101 4" xfId="1895"/>
    <cellStyle name="20% - Accent2 102" xfId="1896"/>
    <cellStyle name="20% - Accent2 102 2" xfId="1897"/>
    <cellStyle name="20% - Accent2 102 2 2" xfId="1898"/>
    <cellStyle name="20% - Accent2 102 3" xfId="1899"/>
    <cellStyle name="20% - Accent2 102 3 2" xfId="1900"/>
    <cellStyle name="20% - Accent2 102 4" xfId="1901"/>
    <cellStyle name="20% - Accent2 103" xfId="1902"/>
    <cellStyle name="20% - Accent2 103 2" xfId="1903"/>
    <cellStyle name="20% - Accent2 103 2 2" xfId="1904"/>
    <cellStyle name="20% - Accent2 103 3" xfId="1905"/>
    <cellStyle name="20% - Accent2 103 3 2" xfId="1906"/>
    <cellStyle name="20% - Accent2 103 4" xfId="1907"/>
    <cellStyle name="20% - Accent2 104" xfId="1908"/>
    <cellStyle name="20% - Accent2 104 2" xfId="1909"/>
    <cellStyle name="20% - Accent2 104 2 2" xfId="1910"/>
    <cellStyle name="20% - Accent2 104 3" xfId="1911"/>
    <cellStyle name="20% - Accent2 104 3 2" xfId="1912"/>
    <cellStyle name="20% - Accent2 104 4" xfId="1913"/>
    <cellStyle name="20% - Accent2 105" xfId="1914"/>
    <cellStyle name="20% - Accent2 105 2" xfId="1915"/>
    <cellStyle name="20% - Accent2 105 2 2" xfId="1916"/>
    <cellStyle name="20% - Accent2 105 3" xfId="1917"/>
    <cellStyle name="20% - Accent2 105 3 2" xfId="1918"/>
    <cellStyle name="20% - Accent2 105 4" xfId="1919"/>
    <cellStyle name="20% - Accent2 106" xfId="1920"/>
    <cellStyle name="20% - Accent2 106 2" xfId="1921"/>
    <cellStyle name="20% - Accent2 106 2 2" xfId="1922"/>
    <cellStyle name="20% - Accent2 106 3" xfId="1923"/>
    <cellStyle name="20% - Accent2 106 3 2" xfId="1924"/>
    <cellStyle name="20% - Accent2 106 4" xfId="1925"/>
    <cellStyle name="20% - Accent2 107" xfId="1926"/>
    <cellStyle name="20% - Accent2 107 2" xfId="1927"/>
    <cellStyle name="20% - Accent2 107 2 2" xfId="1928"/>
    <cellStyle name="20% - Accent2 107 3" xfId="1929"/>
    <cellStyle name="20% - Accent2 107 3 2" xfId="1930"/>
    <cellStyle name="20% - Accent2 107 4" xfId="1931"/>
    <cellStyle name="20% - Accent2 108" xfId="1932"/>
    <cellStyle name="20% - Accent2 108 2" xfId="1933"/>
    <cellStyle name="20% - Accent2 108 2 2" xfId="1934"/>
    <cellStyle name="20% - Accent2 108 3" xfId="1935"/>
    <cellStyle name="20% - Accent2 108 3 2" xfId="1936"/>
    <cellStyle name="20% - Accent2 108 4" xfId="1937"/>
    <cellStyle name="20% - Accent2 109" xfId="1938"/>
    <cellStyle name="20% - Accent2 109 2" xfId="1939"/>
    <cellStyle name="20% - Accent2 109 2 2" xfId="1940"/>
    <cellStyle name="20% - Accent2 109 3" xfId="1941"/>
    <cellStyle name="20% - Accent2 109 3 2" xfId="1942"/>
    <cellStyle name="20% - Accent2 109 4" xfId="1943"/>
    <cellStyle name="20% - Accent2 11" xfId="1944"/>
    <cellStyle name="20% - Accent2 11 2" xfId="1945"/>
    <cellStyle name="20% - Accent2 11 2 2" xfId="1946"/>
    <cellStyle name="20% - Accent2 11 2 2 2" xfId="1947"/>
    <cellStyle name="20% - Accent2 11 2 3" xfId="1948"/>
    <cellStyle name="20% - Accent2 11 2 3 2" xfId="1949"/>
    <cellStyle name="20% - Accent2 11 2 4" xfId="1950"/>
    <cellStyle name="20% - Accent2 11 3" xfId="1951"/>
    <cellStyle name="20% - Accent2 11 3 2" xfId="1952"/>
    <cellStyle name="20% - Accent2 11 3 2 2" xfId="1953"/>
    <cellStyle name="20% - Accent2 11 3 3" xfId="1954"/>
    <cellStyle name="20% - Accent2 11 3 3 2" xfId="1955"/>
    <cellStyle name="20% - Accent2 11 3 4" xfId="1956"/>
    <cellStyle name="20% - Accent2 11 4" xfId="1957"/>
    <cellStyle name="20% - Accent2 11 4 2" xfId="1958"/>
    <cellStyle name="20% - Accent2 11 5" xfId="1959"/>
    <cellStyle name="20% - Accent2 11 5 2" xfId="1960"/>
    <cellStyle name="20% - Accent2 11 6" xfId="1961"/>
    <cellStyle name="20% - Accent2 110" xfId="1962"/>
    <cellStyle name="20% - Accent2 110 2" xfId="1963"/>
    <cellStyle name="20% - Accent2 110 2 2" xfId="1964"/>
    <cellStyle name="20% - Accent2 110 3" xfId="1965"/>
    <cellStyle name="20% - Accent2 110 3 2" xfId="1966"/>
    <cellStyle name="20% - Accent2 110 4" xfId="1967"/>
    <cellStyle name="20% - Accent2 111" xfId="1968"/>
    <cellStyle name="20% - Accent2 111 2" xfId="1969"/>
    <cellStyle name="20% - Accent2 111 2 2" xfId="1970"/>
    <cellStyle name="20% - Accent2 111 3" xfId="1971"/>
    <cellStyle name="20% - Accent2 111 3 2" xfId="1972"/>
    <cellStyle name="20% - Accent2 111 4" xfId="1973"/>
    <cellStyle name="20% - Accent2 112" xfId="1974"/>
    <cellStyle name="20% - Accent2 112 2" xfId="1975"/>
    <cellStyle name="20% - Accent2 112 2 2" xfId="1976"/>
    <cellStyle name="20% - Accent2 112 3" xfId="1977"/>
    <cellStyle name="20% - Accent2 112 3 2" xfId="1978"/>
    <cellStyle name="20% - Accent2 112 4" xfId="1979"/>
    <cellStyle name="20% - Accent2 113" xfId="1980"/>
    <cellStyle name="20% - Accent2 113 2" xfId="1981"/>
    <cellStyle name="20% - Accent2 113 2 2" xfId="1982"/>
    <cellStyle name="20% - Accent2 113 3" xfId="1983"/>
    <cellStyle name="20% - Accent2 113 3 2" xfId="1984"/>
    <cellStyle name="20% - Accent2 113 4" xfId="1985"/>
    <cellStyle name="20% - Accent2 114" xfId="1986"/>
    <cellStyle name="20% - Accent2 114 2" xfId="1987"/>
    <cellStyle name="20% - Accent2 114 2 2" xfId="1988"/>
    <cellStyle name="20% - Accent2 114 3" xfId="1989"/>
    <cellStyle name="20% - Accent2 114 3 2" xfId="1990"/>
    <cellStyle name="20% - Accent2 114 4" xfId="1991"/>
    <cellStyle name="20% - Accent2 115" xfId="1992"/>
    <cellStyle name="20% - Accent2 115 2" xfId="1993"/>
    <cellStyle name="20% - Accent2 115 2 2" xfId="1994"/>
    <cellStyle name="20% - Accent2 115 3" xfId="1995"/>
    <cellStyle name="20% - Accent2 115 3 2" xfId="1996"/>
    <cellStyle name="20% - Accent2 115 4" xfId="1997"/>
    <cellStyle name="20% - Accent2 116" xfId="1998"/>
    <cellStyle name="20% - Accent2 116 2" xfId="1999"/>
    <cellStyle name="20% - Accent2 116 2 2" xfId="2000"/>
    <cellStyle name="20% - Accent2 116 3" xfId="2001"/>
    <cellStyle name="20% - Accent2 116 3 2" xfId="2002"/>
    <cellStyle name="20% - Accent2 116 4" xfId="2003"/>
    <cellStyle name="20% - Accent2 117" xfId="2004"/>
    <cellStyle name="20% - Accent2 117 2" xfId="2005"/>
    <cellStyle name="20% - Accent2 117 2 2" xfId="2006"/>
    <cellStyle name="20% - Accent2 117 3" xfId="2007"/>
    <cellStyle name="20% - Accent2 117 3 2" xfId="2008"/>
    <cellStyle name="20% - Accent2 117 4" xfId="2009"/>
    <cellStyle name="20% - Accent2 118" xfId="2010"/>
    <cellStyle name="20% - Accent2 118 2" xfId="2011"/>
    <cellStyle name="20% - Accent2 118 2 2" xfId="2012"/>
    <cellStyle name="20% - Accent2 118 3" xfId="2013"/>
    <cellStyle name="20% - Accent2 118 3 2" xfId="2014"/>
    <cellStyle name="20% - Accent2 118 4" xfId="2015"/>
    <cellStyle name="20% - Accent2 119" xfId="2016"/>
    <cellStyle name="20% - Accent2 119 2" xfId="2017"/>
    <cellStyle name="20% - Accent2 119 2 2" xfId="2018"/>
    <cellStyle name="20% - Accent2 119 3" xfId="2019"/>
    <cellStyle name="20% - Accent2 119 3 2" xfId="2020"/>
    <cellStyle name="20% - Accent2 119 4" xfId="2021"/>
    <cellStyle name="20% - Accent2 12" xfId="2022"/>
    <cellStyle name="20% - Accent2 12 2" xfId="2023"/>
    <cellStyle name="20% - Accent2 12 2 2" xfId="2024"/>
    <cellStyle name="20% - Accent2 12 2 2 2" xfId="2025"/>
    <cellStyle name="20% - Accent2 12 2 3" xfId="2026"/>
    <cellStyle name="20% - Accent2 12 2 3 2" xfId="2027"/>
    <cellStyle name="20% - Accent2 12 2 4" xfId="2028"/>
    <cellStyle name="20% - Accent2 12 3" xfId="2029"/>
    <cellStyle name="20% - Accent2 12 3 2" xfId="2030"/>
    <cellStyle name="20% - Accent2 12 3 2 2" xfId="2031"/>
    <cellStyle name="20% - Accent2 12 3 3" xfId="2032"/>
    <cellStyle name="20% - Accent2 12 3 3 2" xfId="2033"/>
    <cellStyle name="20% - Accent2 12 3 4" xfId="2034"/>
    <cellStyle name="20% - Accent2 12 4" xfId="2035"/>
    <cellStyle name="20% - Accent2 12 4 2" xfId="2036"/>
    <cellStyle name="20% - Accent2 12 5" xfId="2037"/>
    <cellStyle name="20% - Accent2 12 5 2" xfId="2038"/>
    <cellStyle name="20% - Accent2 12 6" xfId="2039"/>
    <cellStyle name="20% - Accent2 120" xfId="2040"/>
    <cellStyle name="20% - Accent2 120 2" xfId="2041"/>
    <cellStyle name="20% - Accent2 120 2 2" xfId="2042"/>
    <cellStyle name="20% - Accent2 120 3" xfId="2043"/>
    <cellStyle name="20% - Accent2 120 3 2" xfId="2044"/>
    <cellStyle name="20% - Accent2 120 4" xfId="2045"/>
    <cellStyle name="20% - Accent2 121" xfId="2046"/>
    <cellStyle name="20% - Accent2 121 2" xfId="2047"/>
    <cellStyle name="20% - Accent2 121 2 2" xfId="2048"/>
    <cellStyle name="20% - Accent2 121 3" xfId="2049"/>
    <cellStyle name="20% - Accent2 121 3 2" xfId="2050"/>
    <cellStyle name="20% - Accent2 121 4" xfId="2051"/>
    <cellStyle name="20% - Accent2 122" xfId="2052"/>
    <cellStyle name="20% - Accent2 122 2" xfId="2053"/>
    <cellStyle name="20% - Accent2 122 2 2" xfId="2054"/>
    <cellStyle name="20% - Accent2 122 3" xfId="2055"/>
    <cellStyle name="20% - Accent2 122 3 2" xfId="2056"/>
    <cellStyle name="20% - Accent2 122 4" xfId="2057"/>
    <cellStyle name="20% - Accent2 123" xfId="2058"/>
    <cellStyle name="20% - Accent2 123 2" xfId="2059"/>
    <cellStyle name="20% - Accent2 123 2 2" xfId="2060"/>
    <cellStyle name="20% - Accent2 123 3" xfId="2061"/>
    <cellStyle name="20% - Accent2 123 3 2" xfId="2062"/>
    <cellStyle name="20% - Accent2 123 4" xfId="2063"/>
    <cellStyle name="20% - Accent2 124" xfId="2064"/>
    <cellStyle name="20% - Accent2 124 2" xfId="2065"/>
    <cellStyle name="20% - Accent2 124 2 2" xfId="2066"/>
    <cellStyle name="20% - Accent2 124 3" xfId="2067"/>
    <cellStyle name="20% - Accent2 124 3 2" xfId="2068"/>
    <cellStyle name="20% - Accent2 124 4" xfId="2069"/>
    <cellStyle name="20% - Accent2 125" xfId="2070"/>
    <cellStyle name="20% - Accent2 125 2" xfId="2071"/>
    <cellStyle name="20% - Accent2 125 2 2" xfId="2072"/>
    <cellStyle name="20% - Accent2 125 3" xfId="2073"/>
    <cellStyle name="20% - Accent2 125 3 2" xfId="2074"/>
    <cellStyle name="20% - Accent2 125 4" xfId="2075"/>
    <cellStyle name="20% - Accent2 126" xfId="2076"/>
    <cellStyle name="20% - Accent2 126 2" xfId="2077"/>
    <cellStyle name="20% - Accent2 126 2 2" xfId="2078"/>
    <cellStyle name="20% - Accent2 126 3" xfId="2079"/>
    <cellStyle name="20% - Accent2 126 3 2" xfId="2080"/>
    <cellStyle name="20% - Accent2 126 4" xfId="2081"/>
    <cellStyle name="20% - Accent2 127" xfId="2082"/>
    <cellStyle name="20% - Accent2 127 2" xfId="2083"/>
    <cellStyle name="20% - Accent2 127 2 2" xfId="2084"/>
    <cellStyle name="20% - Accent2 127 3" xfId="2085"/>
    <cellStyle name="20% - Accent2 127 3 2" xfId="2086"/>
    <cellStyle name="20% - Accent2 127 4" xfId="2087"/>
    <cellStyle name="20% - Accent2 128" xfId="2088"/>
    <cellStyle name="20% - Accent2 128 2" xfId="2089"/>
    <cellStyle name="20% - Accent2 128 2 2" xfId="2090"/>
    <cellStyle name="20% - Accent2 128 3" xfId="2091"/>
    <cellStyle name="20% - Accent2 128 3 2" xfId="2092"/>
    <cellStyle name="20% - Accent2 128 4" xfId="2093"/>
    <cellStyle name="20% - Accent2 129" xfId="2094"/>
    <cellStyle name="20% - Accent2 129 2" xfId="2095"/>
    <cellStyle name="20% - Accent2 129 2 2" xfId="2096"/>
    <cellStyle name="20% - Accent2 129 3" xfId="2097"/>
    <cellStyle name="20% - Accent2 129 3 2" xfId="2098"/>
    <cellStyle name="20% - Accent2 129 4" xfId="2099"/>
    <cellStyle name="20% - Accent2 13" xfId="2100"/>
    <cellStyle name="20% - Accent2 13 2" xfId="2101"/>
    <cellStyle name="20% - Accent2 13 2 2" xfId="2102"/>
    <cellStyle name="20% - Accent2 13 2 2 2" xfId="2103"/>
    <cellStyle name="20% - Accent2 13 2 3" xfId="2104"/>
    <cellStyle name="20% - Accent2 13 2 3 2" xfId="2105"/>
    <cellStyle name="20% - Accent2 13 2 4" xfId="2106"/>
    <cellStyle name="20% - Accent2 13 3" xfId="2107"/>
    <cellStyle name="20% - Accent2 13 3 2" xfId="2108"/>
    <cellStyle name="20% - Accent2 13 3 2 2" xfId="2109"/>
    <cellStyle name="20% - Accent2 13 3 3" xfId="2110"/>
    <cellStyle name="20% - Accent2 13 3 3 2" xfId="2111"/>
    <cellStyle name="20% - Accent2 13 3 4" xfId="2112"/>
    <cellStyle name="20% - Accent2 13 4" xfId="2113"/>
    <cellStyle name="20% - Accent2 13 4 2" xfId="2114"/>
    <cellStyle name="20% - Accent2 13 5" xfId="2115"/>
    <cellStyle name="20% - Accent2 13 5 2" xfId="2116"/>
    <cellStyle name="20% - Accent2 13 6" xfId="2117"/>
    <cellStyle name="20% - Accent2 130" xfId="2118"/>
    <cellStyle name="20% - Accent2 130 2" xfId="2119"/>
    <cellStyle name="20% - Accent2 130 2 2" xfId="2120"/>
    <cellStyle name="20% - Accent2 130 3" xfId="2121"/>
    <cellStyle name="20% - Accent2 130 3 2" xfId="2122"/>
    <cellStyle name="20% - Accent2 130 4" xfId="2123"/>
    <cellStyle name="20% - Accent2 131" xfId="2124"/>
    <cellStyle name="20% - Accent2 131 2" xfId="2125"/>
    <cellStyle name="20% - Accent2 131 2 2" xfId="2126"/>
    <cellStyle name="20% - Accent2 131 3" xfId="2127"/>
    <cellStyle name="20% - Accent2 131 3 2" xfId="2128"/>
    <cellStyle name="20% - Accent2 131 4" xfId="2129"/>
    <cellStyle name="20% - Accent2 132" xfId="2130"/>
    <cellStyle name="20% - Accent2 132 2" xfId="2131"/>
    <cellStyle name="20% - Accent2 132 2 2" xfId="2132"/>
    <cellStyle name="20% - Accent2 132 3" xfId="2133"/>
    <cellStyle name="20% - Accent2 132 3 2" xfId="2134"/>
    <cellStyle name="20% - Accent2 132 4" xfId="2135"/>
    <cellStyle name="20% - Accent2 133" xfId="2136"/>
    <cellStyle name="20% - Accent2 133 2" xfId="2137"/>
    <cellStyle name="20% - Accent2 133 2 2" xfId="2138"/>
    <cellStyle name="20% - Accent2 133 3" xfId="2139"/>
    <cellStyle name="20% - Accent2 133 3 2" xfId="2140"/>
    <cellStyle name="20% - Accent2 133 4" xfId="2141"/>
    <cellStyle name="20% - Accent2 134" xfId="2142"/>
    <cellStyle name="20% - Accent2 134 2" xfId="2143"/>
    <cellStyle name="20% - Accent2 134 2 2" xfId="2144"/>
    <cellStyle name="20% - Accent2 134 3" xfId="2145"/>
    <cellStyle name="20% - Accent2 134 3 2" xfId="2146"/>
    <cellStyle name="20% - Accent2 134 4" xfId="2147"/>
    <cellStyle name="20% - Accent2 135" xfId="2148"/>
    <cellStyle name="20% - Accent2 135 2" xfId="2149"/>
    <cellStyle name="20% - Accent2 135 2 2" xfId="2150"/>
    <cellStyle name="20% - Accent2 135 3" xfId="2151"/>
    <cellStyle name="20% - Accent2 135 3 2" xfId="2152"/>
    <cellStyle name="20% - Accent2 135 4" xfId="2153"/>
    <cellStyle name="20% - Accent2 136" xfId="2154"/>
    <cellStyle name="20% - Accent2 136 2" xfId="2155"/>
    <cellStyle name="20% - Accent2 136 2 2" xfId="2156"/>
    <cellStyle name="20% - Accent2 136 3" xfId="2157"/>
    <cellStyle name="20% - Accent2 136 3 2" xfId="2158"/>
    <cellStyle name="20% - Accent2 136 4" xfId="2159"/>
    <cellStyle name="20% - Accent2 137" xfId="2160"/>
    <cellStyle name="20% - Accent2 137 2" xfId="2161"/>
    <cellStyle name="20% - Accent2 137 2 2" xfId="2162"/>
    <cellStyle name="20% - Accent2 137 3" xfId="2163"/>
    <cellStyle name="20% - Accent2 137 3 2" xfId="2164"/>
    <cellStyle name="20% - Accent2 137 4" xfId="2165"/>
    <cellStyle name="20% - Accent2 138" xfId="2166"/>
    <cellStyle name="20% - Accent2 138 2" xfId="2167"/>
    <cellStyle name="20% - Accent2 138 2 2" xfId="2168"/>
    <cellStyle name="20% - Accent2 138 3" xfId="2169"/>
    <cellStyle name="20% - Accent2 138 3 2" xfId="2170"/>
    <cellStyle name="20% - Accent2 138 4" xfId="2171"/>
    <cellStyle name="20% - Accent2 139" xfId="2172"/>
    <cellStyle name="20% - Accent2 139 2" xfId="2173"/>
    <cellStyle name="20% - Accent2 139 2 2" xfId="2174"/>
    <cellStyle name="20% - Accent2 139 3" xfId="2175"/>
    <cellStyle name="20% - Accent2 139 3 2" xfId="2176"/>
    <cellStyle name="20% - Accent2 139 4" xfId="2177"/>
    <cellStyle name="20% - Accent2 14" xfId="2178"/>
    <cellStyle name="20% - Accent2 14 2" xfId="2179"/>
    <cellStyle name="20% - Accent2 14 2 2" xfId="2180"/>
    <cellStyle name="20% - Accent2 14 2 2 2" xfId="2181"/>
    <cellStyle name="20% - Accent2 14 2 3" xfId="2182"/>
    <cellStyle name="20% - Accent2 14 2 3 2" xfId="2183"/>
    <cellStyle name="20% - Accent2 14 2 4" xfId="2184"/>
    <cellStyle name="20% - Accent2 14 3" xfId="2185"/>
    <cellStyle name="20% - Accent2 14 3 2" xfId="2186"/>
    <cellStyle name="20% - Accent2 14 3 2 2" xfId="2187"/>
    <cellStyle name="20% - Accent2 14 3 3" xfId="2188"/>
    <cellStyle name="20% - Accent2 14 3 3 2" xfId="2189"/>
    <cellStyle name="20% - Accent2 14 3 4" xfId="2190"/>
    <cellStyle name="20% - Accent2 14 4" xfId="2191"/>
    <cellStyle name="20% - Accent2 14 4 2" xfId="2192"/>
    <cellStyle name="20% - Accent2 14 5" xfId="2193"/>
    <cellStyle name="20% - Accent2 14 5 2" xfId="2194"/>
    <cellStyle name="20% - Accent2 14 6" xfId="2195"/>
    <cellStyle name="20% - Accent2 140" xfId="2196"/>
    <cellStyle name="20% - Accent2 140 2" xfId="2197"/>
    <cellStyle name="20% - Accent2 140 2 2" xfId="2198"/>
    <cellStyle name="20% - Accent2 140 3" xfId="2199"/>
    <cellStyle name="20% - Accent2 140 3 2" xfId="2200"/>
    <cellStyle name="20% - Accent2 140 4" xfId="2201"/>
    <cellStyle name="20% - Accent2 141" xfId="2202"/>
    <cellStyle name="20% - Accent2 141 2" xfId="2203"/>
    <cellStyle name="20% - Accent2 141 2 2" xfId="2204"/>
    <cellStyle name="20% - Accent2 141 3" xfId="2205"/>
    <cellStyle name="20% - Accent2 141 3 2" xfId="2206"/>
    <cellStyle name="20% - Accent2 141 4" xfId="2207"/>
    <cellStyle name="20% - Accent2 142" xfId="2208"/>
    <cellStyle name="20% - Accent2 142 2" xfId="2209"/>
    <cellStyle name="20% - Accent2 142 2 2" xfId="2210"/>
    <cellStyle name="20% - Accent2 142 3" xfId="2211"/>
    <cellStyle name="20% - Accent2 142 3 2" xfId="2212"/>
    <cellStyle name="20% - Accent2 142 4" xfId="2213"/>
    <cellStyle name="20% - Accent2 143" xfId="2214"/>
    <cellStyle name="20% - Accent2 143 2" xfId="2215"/>
    <cellStyle name="20% - Accent2 143 2 2" xfId="2216"/>
    <cellStyle name="20% - Accent2 143 3" xfId="2217"/>
    <cellStyle name="20% - Accent2 143 3 2" xfId="2218"/>
    <cellStyle name="20% - Accent2 143 4" xfId="2219"/>
    <cellStyle name="20% - Accent2 144" xfId="2220"/>
    <cellStyle name="20% - Accent2 144 2" xfId="2221"/>
    <cellStyle name="20% - Accent2 144 2 2" xfId="2222"/>
    <cellStyle name="20% - Accent2 144 3" xfId="2223"/>
    <cellStyle name="20% - Accent2 144 3 2" xfId="2224"/>
    <cellStyle name="20% - Accent2 144 4" xfId="2225"/>
    <cellStyle name="20% - Accent2 145" xfId="2226"/>
    <cellStyle name="20% - Accent2 145 2" xfId="2227"/>
    <cellStyle name="20% - Accent2 145 2 2" xfId="2228"/>
    <cellStyle name="20% - Accent2 145 3" xfId="2229"/>
    <cellStyle name="20% - Accent2 145 3 2" xfId="2230"/>
    <cellStyle name="20% - Accent2 145 4" xfId="2231"/>
    <cellStyle name="20% - Accent2 146" xfId="2232"/>
    <cellStyle name="20% - Accent2 146 2" xfId="2233"/>
    <cellStyle name="20% - Accent2 146 2 2" xfId="2234"/>
    <cellStyle name="20% - Accent2 146 3" xfId="2235"/>
    <cellStyle name="20% - Accent2 146 3 2" xfId="2236"/>
    <cellStyle name="20% - Accent2 146 4" xfId="2237"/>
    <cellStyle name="20% - Accent2 147" xfId="2238"/>
    <cellStyle name="20% - Accent2 147 2" xfId="2239"/>
    <cellStyle name="20% - Accent2 147 2 2" xfId="2240"/>
    <cellStyle name="20% - Accent2 147 3" xfId="2241"/>
    <cellStyle name="20% - Accent2 147 3 2" xfId="2242"/>
    <cellStyle name="20% - Accent2 147 4" xfId="2243"/>
    <cellStyle name="20% - Accent2 148" xfId="2244"/>
    <cellStyle name="20% - Accent2 148 2" xfId="2245"/>
    <cellStyle name="20% - Accent2 148 2 2" xfId="2246"/>
    <cellStyle name="20% - Accent2 148 3" xfId="2247"/>
    <cellStyle name="20% - Accent2 148 3 2" xfId="2248"/>
    <cellStyle name="20% - Accent2 148 4" xfId="2249"/>
    <cellStyle name="20% - Accent2 149" xfId="2250"/>
    <cellStyle name="20% - Accent2 149 2" xfId="2251"/>
    <cellStyle name="20% - Accent2 149 2 2" xfId="2252"/>
    <cellStyle name="20% - Accent2 149 3" xfId="2253"/>
    <cellStyle name="20% - Accent2 149 3 2" xfId="2254"/>
    <cellStyle name="20% - Accent2 149 4" xfId="2255"/>
    <cellStyle name="20% - Accent2 15" xfId="2256"/>
    <cellStyle name="20% - Accent2 15 2" xfId="2257"/>
    <cellStyle name="20% - Accent2 15 2 2" xfId="2258"/>
    <cellStyle name="20% - Accent2 15 2 2 2" xfId="2259"/>
    <cellStyle name="20% - Accent2 15 2 3" xfId="2260"/>
    <cellStyle name="20% - Accent2 15 2 3 2" xfId="2261"/>
    <cellStyle name="20% - Accent2 15 2 4" xfId="2262"/>
    <cellStyle name="20% - Accent2 15 3" xfId="2263"/>
    <cellStyle name="20% - Accent2 15 3 2" xfId="2264"/>
    <cellStyle name="20% - Accent2 15 3 2 2" xfId="2265"/>
    <cellStyle name="20% - Accent2 15 3 3" xfId="2266"/>
    <cellStyle name="20% - Accent2 15 3 3 2" xfId="2267"/>
    <cellStyle name="20% - Accent2 15 3 4" xfId="2268"/>
    <cellStyle name="20% - Accent2 15 4" xfId="2269"/>
    <cellStyle name="20% - Accent2 15 4 2" xfId="2270"/>
    <cellStyle name="20% - Accent2 15 5" xfId="2271"/>
    <cellStyle name="20% - Accent2 15 5 2" xfId="2272"/>
    <cellStyle name="20% - Accent2 15 6" xfId="2273"/>
    <cellStyle name="20% - Accent2 150" xfId="2274"/>
    <cellStyle name="20% - Accent2 150 2" xfId="2275"/>
    <cellStyle name="20% - Accent2 150 2 2" xfId="2276"/>
    <cellStyle name="20% - Accent2 150 3" xfId="2277"/>
    <cellStyle name="20% - Accent2 150 3 2" xfId="2278"/>
    <cellStyle name="20% - Accent2 150 4" xfId="2279"/>
    <cellStyle name="20% - Accent2 151" xfId="2280"/>
    <cellStyle name="20% - Accent2 151 2" xfId="2281"/>
    <cellStyle name="20% - Accent2 151 2 2" xfId="2282"/>
    <cellStyle name="20% - Accent2 151 3" xfId="2283"/>
    <cellStyle name="20% - Accent2 151 3 2" xfId="2284"/>
    <cellStyle name="20% - Accent2 151 4" xfId="2285"/>
    <cellStyle name="20% - Accent2 152" xfId="2286"/>
    <cellStyle name="20% - Accent2 152 2" xfId="2287"/>
    <cellStyle name="20% - Accent2 152 2 2" xfId="2288"/>
    <cellStyle name="20% - Accent2 152 3" xfId="2289"/>
    <cellStyle name="20% - Accent2 152 3 2" xfId="2290"/>
    <cellStyle name="20% - Accent2 152 4" xfId="2291"/>
    <cellStyle name="20% - Accent2 153" xfId="2292"/>
    <cellStyle name="20% - Accent2 153 2" xfId="2293"/>
    <cellStyle name="20% - Accent2 153 2 2" xfId="2294"/>
    <cellStyle name="20% - Accent2 153 3" xfId="2295"/>
    <cellStyle name="20% - Accent2 153 3 2" xfId="2296"/>
    <cellStyle name="20% - Accent2 153 4" xfId="2297"/>
    <cellStyle name="20% - Accent2 154" xfId="2298"/>
    <cellStyle name="20% - Accent2 154 2" xfId="2299"/>
    <cellStyle name="20% - Accent2 154 2 2" xfId="2300"/>
    <cellStyle name="20% - Accent2 154 3" xfId="2301"/>
    <cellStyle name="20% - Accent2 154 3 2" xfId="2302"/>
    <cellStyle name="20% - Accent2 154 4" xfId="2303"/>
    <cellStyle name="20% - Accent2 155" xfId="2304"/>
    <cellStyle name="20% - Accent2 155 2" xfId="2305"/>
    <cellStyle name="20% - Accent2 155 2 2" xfId="2306"/>
    <cellStyle name="20% - Accent2 155 3" xfId="2307"/>
    <cellStyle name="20% - Accent2 155 3 2" xfId="2308"/>
    <cellStyle name="20% - Accent2 155 4" xfId="2309"/>
    <cellStyle name="20% - Accent2 156" xfId="2310"/>
    <cellStyle name="20% - Accent2 156 2" xfId="2311"/>
    <cellStyle name="20% - Accent2 156 2 2" xfId="2312"/>
    <cellStyle name="20% - Accent2 156 3" xfId="2313"/>
    <cellStyle name="20% - Accent2 156 3 2" xfId="2314"/>
    <cellStyle name="20% - Accent2 156 4" xfId="2315"/>
    <cellStyle name="20% - Accent2 157" xfId="2316"/>
    <cellStyle name="20% - Accent2 157 2" xfId="2317"/>
    <cellStyle name="20% - Accent2 157 2 2" xfId="2318"/>
    <cellStyle name="20% - Accent2 157 3" xfId="2319"/>
    <cellStyle name="20% - Accent2 157 3 2" xfId="2320"/>
    <cellStyle name="20% - Accent2 157 4" xfId="2321"/>
    <cellStyle name="20% - Accent2 158" xfId="2322"/>
    <cellStyle name="20% - Accent2 158 2" xfId="2323"/>
    <cellStyle name="20% - Accent2 158 2 2" xfId="2324"/>
    <cellStyle name="20% - Accent2 158 3" xfId="2325"/>
    <cellStyle name="20% - Accent2 158 3 2" xfId="2326"/>
    <cellStyle name="20% - Accent2 158 4" xfId="2327"/>
    <cellStyle name="20% - Accent2 159" xfId="2328"/>
    <cellStyle name="20% - Accent2 159 2" xfId="2329"/>
    <cellStyle name="20% - Accent2 159 2 2" xfId="2330"/>
    <cellStyle name="20% - Accent2 159 3" xfId="2331"/>
    <cellStyle name="20% - Accent2 159 3 2" xfId="2332"/>
    <cellStyle name="20% - Accent2 159 4" xfId="2333"/>
    <cellStyle name="20% - Accent2 16" xfId="2334"/>
    <cellStyle name="20% - Accent2 16 2" xfId="2335"/>
    <cellStyle name="20% - Accent2 16 2 2" xfId="2336"/>
    <cellStyle name="20% - Accent2 16 2 2 2" xfId="2337"/>
    <cellStyle name="20% - Accent2 16 2 3" xfId="2338"/>
    <cellStyle name="20% - Accent2 16 2 3 2" xfId="2339"/>
    <cellStyle name="20% - Accent2 16 2 4" xfId="2340"/>
    <cellStyle name="20% - Accent2 16 3" xfId="2341"/>
    <cellStyle name="20% - Accent2 16 3 2" xfId="2342"/>
    <cellStyle name="20% - Accent2 16 3 2 2" xfId="2343"/>
    <cellStyle name="20% - Accent2 16 3 3" xfId="2344"/>
    <cellStyle name="20% - Accent2 16 3 3 2" xfId="2345"/>
    <cellStyle name="20% - Accent2 16 3 4" xfId="2346"/>
    <cellStyle name="20% - Accent2 16 4" xfId="2347"/>
    <cellStyle name="20% - Accent2 16 4 2" xfId="2348"/>
    <cellStyle name="20% - Accent2 16 5" xfId="2349"/>
    <cellStyle name="20% - Accent2 16 5 2" xfId="2350"/>
    <cellStyle name="20% - Accent2 16 6" xfId="2351"/>
    <cellStyle name="20% - Accent2 160" xfId="2352"/>
    <cellStyle name="20% - Accent2 160 2" xfId="2353"/>
    <cellStyle name="20% - Accent2 160 2 2" xfId="2354"/>
    <cellStyle name="20% - Accent2 160 3" xfId="2355"/>
    <cellStyle name="20% - Accent2 160 3 2" xfId="2356"/>
    <cellStyle name="20% - Accent2 160 4" xfId="2357"/>
    <cellStyle name="20% - Accent2 161" xfId="2358"/>
    <cellStyle name="20% - Accent2 161 2" xfId="2359"/>
    <cellStyle name="20% - Accent2 161 2 2" xfId="2360"/>
    <cellStyle name="20% - Accent2 161 3" xfId="2361"/>
    <cellStyle name="20% - Accent2 161 3 2" xfId="2362"/>
    <cellStyle name="20% - Accent2 161 4" xfId="2363"/>
    <cellStyle name="20% - Accent2 162" xfId="2364"/>
    <cellStyle name="20% - Accent2 162 2" xfId="2365"/>
    <cellStyle name="20% - Accent2 162 2 2" xfId="2366"/>
    <cellStyle name="20% - Accent2 162 3" xfId="2367"/>
    <cellStyle name="20% - Accent2 162 3 2" xfId="2368"/>
    <cellStyle name="20% - Accent2 162 4" xfId="2369"/>
    <cellStyle name="20% - Accent2 163" xfId="2370"/>
    <cellStyle name="20% - Accent2 163 2" xfId="2371"/>
    <cellStyle name="20% - Accent2 163 2 2" xfId="2372"/>
    <cellStyle name="20% - Accent2 163 3" xfId="2373"/>
    <cellStyle name="20% - Accent2 163 3 2" xfId="2374"/>
    <cellStyle name="20% - Accent2 163 4" xfId="2375"/>
    <cellStyle name="20% - Accent2 164" xfId="2376"/>
    <cellStyle name="20% - Accent2 164 2" xfId="2377"/>
    <cellStyle name="20% - Accent2 164 2 2" xfId="2378"/>
    <cellStyle name="20% - Accent2 164 3" xfId="2379"/>
    <cellStyle name="20% - Accent2 164 3 2" xfId="2380"/>
    <cellStyle name="20% - Accent2 164 4" xfId="2381"/>
    <cellStyle name="20% - Accent2 165" xfId="2382"/>
    <cellStyle name="20% - Accent2 165 2" xfId="2383"/>
    <cellStyle name="20% - Accent2 165 2 2" xfId="2384"/>
    <cellStyle name="20% - Accent2 165 3" xfId="2385"/>
    <cellStyle name="20% - Accent2 165 3 2" xfId="2386"/>
    <cellStyle name="20% - Accent2 165 4" xfId="2387"/>
    <cellStyle name="20% - Accent2 166" xfId="2388"/>
    <cellStyle name="20% - Accent2 166 2" xfId="2389"/>
    <cellStyle name="20% - Accent2 166 2 2" xfId="2390"/>
    <cellStyle name="20% - Accent2 166 3" xfId="2391"/>
    <cellStyle name="20% - Accent2 166 3 2" xfId="2392"/>
    <cellStyle name="20% - Accent2 166 4" xfId="2393"/>
    <cellStyle name="20% - Accent2 167" xfId="2394"/>
    <cellStyle name="20% - Accent2 167 2" xfId="2395"/>
    <cellStyle name="20% - Accent2 167 2 2" xfId="2396"/>
    <cellStyle name="20% - Accent2 167 3" xfId="2397"/>
    <cellStyle name="20% - Accent2 167 3 2" xfId="2398"/>
    <cellStyle name="20% - Accent2 167 4" xfId="2399"/>
    <cellStyle name="20% - Accent2 168" xfId="2400"/>
    <cellStyle name="20% - Accent2 168 2" xfId="2401"/>
    <cellStyle name="20% - Accent2 168 2 2" xfId="2402"/>
    <cellStyle name="20% - Accent2 168 3" xfId="2403"/>
    <cellStyle name="20% - Accent2 168 3 2" xfId="2404"/>
    <cellStyle name="20% - Accent2 168 4" xfId="2405"/>
    <cellStyle name="20% - Accent2 169" xfId="2406"/>
    <cellStyle name="20% - Accent2 169 2" xfId="2407"/>
    <cellStyle name="20% - Accent2 169 2 2" xfId="2408"/>
    <cellStyle name="20% - Accent2 169 3" xfId="2409"/>
    <cellStyle name="20% - Accent2 169 3 2" xfId="2410"/>
    <cellStyle name="20% - Accent2 169 4" xfId="2411"/>
    <cellStyle name="20% - Accent2 17" xfId="2412"/>
    <cellStyle name="20% - Accent2 17 2" xfId="2413"/>
    <cellStyle name="20% - Accent2 17 2 2" xfId="2414"/>
    <cellStyle name="20% - Accent2 17 2 2 2" xfId="2415"/>
    <cellStyle name="20% - Accent2 17 2 3" xfId="2416"/>
    <cellStyle name="20% - Accent2 17 2 3 2" xfId="2417"/>
    <cellStyle name="20% - Accent2 17 2 4" xfId="2418"/>
    <cellStyle name="20% - Accent2 17 3" xfId="2419"/>
    <cellStyle name="20% - Accent2 17 3 2" xfId="2420"/>
    <cellStyle name="20% - Accent2 17 3 2 2" xfId="2421"/>
    <cellStyle name="20% - Accent2 17 3 3" xfId="2422"/>
    <cellStyle name="20% - Accent2 17 3 3 2" xfId="2423"/>
    <cellStyle name="20% - Accent2 17 3 4" xfId="2424"/>
    <cellStyle name="20% - Accent2 17 4" xfId="2425"/>
    <cellStyle name="20% - Accent2 17 4 2" xfId="2426"/>
    <cellStyle name="20% - Accent2 17 5" xfId="2427"/>
    <cellStyle name="20% - Accent2 17 5 2" xfId="2428"/>
    <cellStyle name="20% - Accent2 17 6" xfId="2429"/>
    <cellStyle name="20% - Accent2 170" xfId="2430"/>
    <cellStyle name="20% - Accent2 170 2" xfId="2431"/>
    <cellStyle name="20% - Accent2 170 2 2" xfId="2432"/>
    <cellStyle name="20% - Accent2 170 3" xfId="2433"/>
    <cellStyle name="20% - Accent2 170 3 2" xfId="2434"/>
    <cellStyle name="20% - Accent2 170 4" xfId="2435"/>
    <cellStyle name="20% - Accent2 171" xfId="2436"/>
    <cellStyle name="20% - Accent2 171 2" xfId="2437"/>
    <cellStyle name="20% - Accent2 171 2 2" xfId="2438"/>
    <cellStyle name="20% - Accent2 171 3" xfId="2439"/>
    <cellStyle name="20% - Accent2 171 3 2" xfId="2440"/>
    <cellStyle name="20% - Accent2 171 4" xfId="2441"/>
    <cellStyle name="20% - Accent2 172" xfId="2442"/>
    <cellStyle name="20% - Accent2 172 2" xfId="2443"/>
    <cellStyle name="20% - Accent2 172 2 2" xfId="2444"/>
    <cellStyle name="20% - Accent2 172 3" xfId="2445"/>
    <cellStyle name="20% - Accent2 172 3 2" xfId="2446"/>
    <cellStyle name="20% - Accent2 172 4" xfId="2447"/>
    <cellStyle name="20% - Accent2 173" xfId="2448"/>
    <cellStyle name="20% - Accent2 173 2" xfId="2449"/>
    <cellStyle name="20% - Accent2 173 2 2" xfId="2450"/>
    <cellStyle name="20% - Accent2 173 3" xfId="2451"/>
    <cellStyle name="20% - Accent2 173 3 2" xfId="2452"/>
    <cellStyle name="20% - Accent2 173 4" xfId="2453"/>
    <cellStyle name="20% - Accent2 174" xfId="2454"/>
    <cellStyle name="20% - Accent2 174 2" xfId="2455"/>
    <cellStyle name="20% - Accent2 174 2 2" xfId="2456"/>
    <cellStyle name="20% - Accent2 174 3" xfId="2457"/>
    <cellStyle name="20% - Accent2 174 3 2" xfId="2458"/>
    <cellStyle name="20% - Accent2 174 4" xfId="2459"/>
    <cellStyle name="20% - Accent2 175" xfId="2460"/>
    <cellStyle name="20% - Accent2 175 2" xfId="2461"/>
    <cellStyle name="20% - Accent2 175 2 2" xfId="2462"/>
    <cellStyle name="20% - Accent2 175 3" xfId="2463"/>
    <cellStyle name="20% - Accent2 175 3 2" xfId="2464"/>
    <cellStyle name="20% - Accent2 175 4" xfId="2465"/>
    <cellStyle name="20% - Accent2 176" xfId="2466"/>
    <cellStyle name="20% - Accent2 176 2" xfId="2467"/>
    <cellStyle name="20% - Accent2 176 2 2" xfId="2468"/>
    <cellStyle name="20% - Accent2 176 3" xfId="2469"/>
    <cellStyle name="20% - Accent2 176 3 2" xfId="2470"/>
    <cellStyle name="20% - Accent2 176 4" xfId="2471"/>
    <cellStyle name="20% - Accent2 177" xfId="2472"/>
    <cellStyle name="20% - Accent2 177 2" xfId="2473"/>
    <cellStyle name="20% - Accent2 177 2 2" xfId="2474"/>
    <cellStyle name="20% - Accent2 177 3" xfId="2475"/>
    <cellStyle name="20% - Accent2 177 3 2" xfId="2476"/>
    <cellStyle name="20% - Accent2 177 4" xfId="2477"/>
    <cellStyle name="20% - Accent2 178" xfId="2478"/>
    <cellStyle name="20% - Accent2 178 2" xfId="2479"/>
    <cellStyle name="20% - Accent2 178 2 2" xfId="2480"/>
    <cellStyle name="20% - Accent2 178 3" xfId="2481"/>
    <cellStyle name="20% - Accent2 178 3 2" xfId="2482"/>
    <cellStyle name="20% - Accent2 178 4" xfId="2483"/>
    <cellStyle name="20% - Accent2 179" xfId="2484"/>
    <cellStyle name="20% - Accent2 179 2" xfId="2485"/>
    <cellStyle name="20% - Accent2 179 2 2" xfId="2486"/>
    <cellStyle name="20% - Accent2 179 3" xfId="2487"/>
    <cellStyle name="20% - Accent2 179 3 2" xfId="2488"/>
    <cellStyle name="20% - Accent2 179 4" xfId="2489"/>
    <cellStyle name="20% - Accent2 18" xfId="2490"/>
    <cellStyle name="20% - Accent2 18 2" xfId="2491"/>
    <cellStyle name="20% - Accent2 18 2 2" xfId="2492"/>
    <cellStyle name="20% - Accent2 18 2 2 2" xfId="2493"/>
    <cellStyle name="20% - Accent2 18 2 3" xfId="2494"/>
    <cellStyle name="20% - Accent2 18 2 3 2" xfId="2495"/>
    <cellStyle name="20% - Accent2 18 2 4" xfId="2496"/>
    <cellStyle name="20% - Accent2 18 3" xfId="2497"/>
    <cellStyle name="20% - Accent2 18 3 2" xfId="2498"/>
    <cellStyle name="20% - Accent2 18 3 2 2" xfId="2499"/>
    <cellStyle name="20% - Accent2 18 3 3" xfId="2500"/>
    <cellStyle name="20% - Accent2 18 3 3 2" xfId="2501"/>
    <cellStyle name="20% - Accent2 18 3 4" xfId="2502"/>
    <cellStyle name="20% - Accent2 18 4" xfId="2503"/>
    <cellStyle name="20% - Accent2 18 4 2" xfId="2504"/>
    <cellStyle name="20% - Accent2 18 5" xfId="2505"/>
    <cellStyle name="20% - Accent2 18 5 2" xfId="2506"/>
    <cellStyle name="20% - Accent2 18 6" xfId="2507"/>
    <cellStyle name="20% - Accent2 180" xfId="2508"/>
    <cellStyle name="20% - Accent2 180 2" xfId="2509"/>
    <cellStyle name="20% - Accent2 180 2 2" xfId="2510"/>
    <cellStyle name="20% - Accent2 180 3" xfId="2511"/>
    <cellStyle name="20% - Accent2 180 3 2" xfId="2512"/>
    <cellStyle name="20% - Accent2 180 4" xfId="2513"/>
    <cellStyle name="20% - Accent2 181" xfId="2514"/>
    <cellStyle name="20% - Accent2 181 2" xfId="2515"/>
    <cellStyle name="20% - Accent2 181 2 2" xfId="2516"/>
    <cellStyle name="20% - Accent2 181 3" xfId="2517"/>
    <cellStyle name="20% - Accent2 181 3 2" xfId="2518"/>
    <cellStyle name="20% - Accent2 181 4" xfId="2519"/>
    <cellStyle name="20% - Accent2 182" xfId="2520"/>
    <cellStyle name="20% - Accent2 182 2" xfId="2521"/>
    <cellStyle name="20% - Accent2 182 2 2" xfId="2522"/>
    <cellStyle name="20% - Accent2 182 3" xfId="2523"/>
    <cellStyle name="20% - Accent2 182 3 2" xfId="2524"/>
    <cellStyle name="20% - Accent2 182 4" xfId="2525"/>
    <cellStyle name="20% - Accent2 183" xfId="2526"/>
    <cellStyle name="20% - Accent2 183 2" xfId="2527"/>
    <cellStyle name="20% - Accent2 183 2 2" xfId="2528"/>
    <cellStyle name="20% - Accent2 183 3" xfId="2529"/>
    <cellStyle name="20% - Accent2 183 3 2" xfId="2530"/>
    <cellStyle name="20% - Accent2 183 4" xfId="2531"/>
    <cellStyle name="20% - Accent2 184" xfId="2532"/>
    <cellStyle name="20% - Accent2 184 2" xfId="2533"/>
    <cellStyle name="20% - Accent2 184 2 2" xfId="2534"/>
    <cellStyle name="20% - Accent2 184 3" xfId="2535"/>
    <cellStyle name="20% - Accent2 184 3 2" xfId="2536"/>
    <cellStyle name="20% - Accent2 184 4" xfId="2537"/>
    <cellStyle name="20% - Accent2 185" xfId="2538"/>
    <cellStyle name="20% - Accent2 185 2" xfId="2539"/>
    <cellStyle name="20% - Accent2 185 2 2" xfId="2540"/>
    <cellStyle name="20% - Accent2 185 3" xfId="2541"/>
    <cellStyle name="20% - Accent2 185 3 2" xfId="2542"/>
    <cellStyle name="20% - Accent2 185 4" xfId="2543"/>
    <cellStyle name="20% - Accent2 186" xfId="2544"/>
    <cellStyle name="20% - Accent2 186 2" xfId="2545"/>
    <cellStyle name="20% - Accent2 186 2 2" xfId="2546"/>
    <cellStyle name="20% - Accent2 186 3" xfId="2547"/>
    <cellStyle name="20% - Accent2 186 3 2" xfId="2548"/>
    <cellStyle name="20% - Accent2 186 4" xfId="2549"/>
    <cellStyle name="20% - Accent2 187" xfId="2550"/>
    <cellStyle name="20% - Accent2 187 2" xfId="2551"/>
    <cellStyle name="20% - Accent2 187 2 2" xfId="2552"/>
    <cellStyle name="20% - Accent2 187 3" xfId="2553"/>
    <cellStyle name="20% - Accent2 187 3 2" xfId="2554"/>
    <cellStyle name="20% - Accent2 187 4" xfId="2555"/>
    <cellStyle name="20% - Accent2 188" xfId="2556"/>
    <cellStyle name="20% - Accent2 188 2" xfId="2557"/>
    <cellStyle name="20% - Accent2 188 2 2" xfId="2558"/>
    <cellStyle name="20% - Accent2 188 3" xfId="2559"/>
    <cellStyle name="20% - Accent2 188 3 2" xfId="2560"/>
    <cellStyle name="20% - Accent2 188 4" xfId="2561"/>
    <cellStyle name="20% - Accent2 189" xfId="2562"/>
    <cellStyle name="20% - Accent2 189 2" xfId="2563"/>
    <cellStyle name="20% - Accent2 189 2 2" xfId="2564"/>
    <cellStyle name="20% - Accent2 189 3" xfId="2565"/>
    <cellStyle name="20% - Accent2 189 3 2" xfId="2566"/>
    <cellStyle name="20% - Accent2 189 4" xfId="2567"/>
    <cellStyle name="20% - Accent2 19" xfId="2568"/>
    <cellStyle name="20% - Accent2 19 2" xfId="2569"/>
    <cellStyle name="20% - Accent2 19 2 2" xfId="2570"/>
    <cellStyle name="20% - Accent2 19 2 2 2" xfId="2571"/>
    <cellStyle name="20% - Accent2 19 2 3" xfId="2572"/>
    <cellStyle name="20% - Accent2 19 2 3 2" xfId="2573"/>
    <cellStyle name="20% - Accent2 19 2 4" xfId="2574"/>
    <cellStyle name="20% - Accent2 19 3" xfId="2575"/>
    <cellStyle name="20% - Accent2 19 3 2" xfId="2576"/>
    <cellStyle name="20% - Accent2 19 3 2 2" xfId="2577"/>
    <cellStyle name="20% - Accent2 19 3 3" xfId="2578"/>
    <cellStyle name="20% - Accent2 19 3 3 2" xfId="2579"/>
    <cellStyle name="20% - Accent2 19 3 4" xfId="2580"/>
    <cellStyle name="20% - Accent2 19 4" xfId="2581"/>
    <cellStyle name="20% - Accent2 19 4 2" xfId="2582"/>
    <cellStyle name="20% - Accent2 19 5" xfId="2583"/>
    <cellStyle name="20% - Accent2 19 5 2" xfId="2584"/>
    <cellStyle name="20% - Accent2 19 6" xfId="2585"/>
    <cellStyle name="20% - Accent2 190" xfId="2586"/>
    <cellStyle name="20% - Accent2 190 2" xfId="2587"/>
    <cellStyle name="20% - Accent2 190 2 2" xfId="2588"/>
    <cellStyle name="20% - Accent2 190 3" xfId="2589"/>
    <cellStyle name="20% - Accent2 190 3 2" xfId="2590"/>
    <cellStyle name="20% - Accent2 190 4" xfId="2591"/>
    <cellStyle name="20% - Accent2 191" xfId="2592"/>
    <cellStyle name="20% - Accent2 191 2" xfId="2593"/>
    <cellStyle name="20% - Accent2 191 2 2" xfId="2594"/>
    <cellStyle name="20% - Accent2 191 3" xfId="2595"/>
    <cellStyle name="20% - Accent2 191 3 2" xfId="2596"/>
    <cellStyle name="20% - Accent2 191 4" xfId="2597"/>
    <cellStyle name="20% - Accent2 192" xfId="2598"/>
    <cellStyle name="20% - Accent2 192 2" xfId="2599"/>
    <cellStyle name="20% - Accent2 192 2 2" xfId="2600"/>
    <cellStyle name="20% - Accent2 192 3" xfId="2601"/>
    <cellStyle name="20% - Accent2 192 3 2" xfId="2602"/>
    <cellStyle name="20% - Accent2 192 4" xfId="2603"/>
    <cellStyle name="20% - Accent2 193" xfId="2604"/>
    <cellStyle name="20% - Accent2 193 2" xfId="2605"/>
    <cellStyle name="20% - Accent2 193 2 2" xfId="2606"/>
    <cellStyle name="20% - Accent2 193 3" xfId="2607"/>
    <cellStyle name="20% - Accent2 193 3 2" xfId="2608"/>
    <cellStyle name="20% - Accent2 193 4" xfId="2609"/>
    <cellStyle name="20% - Accent2 194" xfId="2610"/>
    <cellStyle name="20% - Accent2 194 2" xfId="2611"/>
    <cellStyle name="20% - Accent2 194 2 2" xfId="2612"/>
    <cellStyle name="20% - Accent2 194 3" xfId="2613"/>
    <cellStyle name="20% - Accent2 194 3 2" xfId="2614"/>
    <cellStyle name="20% - Accent2 194 4" xfId="2615"/>
    <cellStyle name="20% - Accent2 195" xfId="2616"/>
    <cellStyle name="20% - Accent2 195 2" xfId="2617"/>
    <cellStyle name="20% - Accent2 195 2 2" xfId="2618"/>
    <cellStyle name="20% - Accent2 195 3" xfId="2619"/>
    <cellStyle name="20% - Accent2 195 3 2" xfId="2620"/>
    <cellStyle name="20% - Accent2 195 4" xfId="2621"/>
    <cellStyle name="20% - Accent2 196" xfId="2622"/>
    <cellStyle name="20% - Accent2 196 2" xfId="2623"/>
    <cellStyle name="20% - Accent2 196 2 2" xfId="2624"/>
    <cellStyle name="20% - Accent2 196 3" xfId="2625"/>
    <cellStyle name="20% - Accent2 196 3 2" xfId="2626"/>
    <cellStyle name="20% - Accent2 196 4" xfId="2627"/>
    <cellStyle name="20% - Accent2 197" xfId="2628"/>
    <cellStyle name="20% - Accent2 197 2" xfId="2629"/>
    <cellStyle name="20% - Accent2 197 2 2" xfId="2630"/>
    <cellStyle name="20% - Accent2 197 3" xfId="2631"/>
    <cellStyle name="20% - Accent2 197 3 2" xfId="2632"/>
    <cellStyle name="20% - Accent2 197 4" xfId="2633"/>
    <cellStyle name="20% - Accent2 198" xfId="2634"/>
    <cellStyle name="20% - Accent2 198 2" xfId="2635"/>
    <cellStyle name="20% - Accent2 198 2 2" xfId="2636"/>
    <cellStyle name="20% - Accent2 198 3" xfId="2637"/>
    <cellStyle name="20% - Accent2 198 3 2" xfId="2638"/>
    <cellStyle name="20% - Accent2 198 4" xfId="2639"/>
    <cellStyle name="20% - Accent2 199" xfId="2640"/>
    <cellStyle name="20% - Accent2 199 2" xfId="2641"/>
    <cellStyle name="20% - Accent2 199 2 2" xfId="2642"/>
    <cellStyle name="20% - Accent2 199 3" xfId="2643"/>
    <cellStyle name="20% - Accent2 199 3 2" xfId="2644"/>
    <cellStyle name="20% - Accent2 199 4" xfId="2645"/>
    <cellStyle name="20% - Accent2 2" xfId="2646"/>
    <cellStyle name="20% - Accent2 2 2" xfId="2647"/>
    <cellStyle name="20% - Accent2 2 2 2" xfId="2648"/>
    <cellStyle name="20% - Accent2 2 2 2 2" xfId="2649"/>
    <cellStyle name="20% - Accent2 2 2 3" xfId="2650"/>
    <cellStyle name="20% - Accent2 2 2 3 2" xfId="2651"/>
    <cellStyle name="20% - Accent2 2 2 4" xfId="2652"/>
    <cellStyle name="20% - Accent2 2 3" xfId="2653"/>
    <cellStyle name="20% - Accent2 2 3 2" xfId="2654"/>
    <cellStyle name="20% - Accent2 2 3 2 2" xfId="2655"/>
    <cellStyle name="20% - Accent2 2 3 3" xfId="2656"/>
    <cellStyle name="20% - Accent2 2 3 3 2" xfId="2657"/>
    <cellStyle name="20% - Accent2 2 3 4" xfId="2658"/>
    <cellStyle name="20% - Accent2 2 4" xfId="2659"/>
    <cellStyle name="20% - Accent2 2 4 2" xfId="2660"/>
    <cellStyle name="20% - Accent2 2 5" xfId="2661"/>
    <cellStyle name="20% - Accent2 2 5 2" xfId="2662"/>
    <cellStyle name="20% - Accent2 2 6" xfId="2663"/>
    <cellStyle name="20% - Accent2 20" xfId="2664"/>
    <cellStyle name="20% - Accent2 20 2" xfId="2665"/>
    <cellStyle name="20% - Accent2 20 2 2" xfId="2666"/>
    <cellStyle name="20% - Accent2 20 2 2 2" xfId="2667"/>
    <cellStyle name="20% - Accent2 20 2 3" xfId="2668"/>
    <cellStyle name="20% - Accent2 20 2 3 2" xfId="2669"/>
    <cellStyle name="20% - Accent2 20 2 4" xfId="2670"/>
    <cellStyle name="20% - Accent2 20 3" xfId="2671"/>
    <cellStyle name="20% - Accent2 20 3 2" xfId="2672"/>
    <cellStyle name="20% - Accent2 20 3 2 2" xfId="2673"/>
    <cellStyle name="20% - Accent2 20 3 3" xfId="2674"/>
    <cellStyle name="20% - Accent2 20 3 3 2" xfId="2675"/>
    <cellStyle name="20% - Accent2 20 3 4" xfId="2676"/>
    <cellStyle name="20% - Accent2 20 4" xfId="2677"/>
    <cellStyle name="20% - Accent2 20 4 2" xfId="2678"/>
    <cellStyle name="20% - Accent2 20 5" xfId="2679"/>
    <cellStyle name="20% - Accent2 20 5 2" xfId="2680"/>
    <cellStyle name="20% - Accent2 20 6" xfId="2681"/>
    <cellStyle name="20% - Accent2 200" xfId="2682"/>
    <cellStyle name="20% - Accent2 200 2" xfId="2683"/>
    <cellStyle name="20% - Accent2 200 2 2" xfId="2684"/>
    <cellStyle name="20% - Accent2 200 3" xfId="2685"/>
    <cellStyle name="20% - Accent2 200 3 2" xfId="2686"/>
    <cellStyle name="20% - Accent2 200 4" xfId="2687"/>
    <cellStyle name="20% - Accent2 201" xfId="2688"/>
    <cellStyle name="20% - Accent2 201 2" xfId="2689"/>
    <cellStyle name="20% - Accent2 201 2 2" xfId="2690"/>
    <cellStyle name="20% - Accent2 201 3" xfId="2691"/>
    <cellStyle name="20% - Accent2 201 3 2" xfId="2692"/>
    <cellStyle name="20% - Accent2 201 4" xfId="2693"/>
    <cellStyle name="20% - Accent2 202" xfId="2694"/>
    <cellStyle name="20% - Accent2 202 2" xfId="2695"/>
    <cellStyle name="20% - Accent2 202 2 2" xfId="2696"/>
    <cellStyle name="20% - Accent2 202 3" xfId="2697"/>
    <cellStyle name="20% - Accent2 202 3 2" xfId="2698"/>
    <cellStyle name="20% - Accent2 202 4" xfId="2699"/>
    <cellStyle name="20% - Accent2 203" xfId="2700"/>
    <cellStyle name="20% - Accent2 203 2" xfId="2701"/>
    <cellStyle name="20% - Accent2 203 2 2" xfId="2702"/>
    <cellStyle name="20% - Accent2 203 3" xfId="2703"/>
    <cellStyle name="20% - Accent2 203 3 2" xfId="2704"/>
    <cellStyle name="20% - Accent2 203 4" xfId="2705"/>
    <cellStyle name="20% - Accent2 204" xfId="2706"/>
    <cellStyle name="20% - Accent2 204 2" xfId="2707"/>
    <cellStyle name="20% - Accent2 204 2 2" xfId="2708"/>
    <cellStyle name="20% - Accent2 204 3" xfId="2709"/>
    <cellStyle name="20% - Accent2 204 3 2" xfId="2710"/>
    <cellStyle name="20% - Accent2 204 4" xfId="2711"/>
    <cellStyle name="20% - Accent2 205" xfId="2712"/>
    <cellStyle name="20% - Accent2 205 2" xfId="2713"/>
    <cellStyle name="20% - Accent2 205 2 2" xfId="2714"/>
    <cellStyle name="20% - Accent2 205 3" xfId="2715"/>
    <cellStyle name="20% - Accent2 205 3 2" xfId="2716"/>
    <cellStyle name="20% - Accent2 205 4" xfId="2717"/>
    <cellStyle name="20% - Accent2 206" xfId="2718"/>
    <cellStyle name="20% - Accent2 206 2" xfId="2719"/>
    <cellStyle name="20% - Accent2 206 2 2" xfId="2720"/>
    <cellStyle name="20% - Accent2 206 3" xfId="2721"/>
    <cellStyle name="20% - Accent2 206 3 2" xfId="2722"/>
    <cellStyle name="20% - Accent2 206 4" xfId="2723"/>
    <cellStyle name="20% - Accent2 207" xfId="2724"/>
    <cellStyle name="20% - Accent2 207 2" xfId="2725"/>
    <cellStyle name="20% - Accent2 207 2 2" xfId="2726"/>
    <cellStyle name="20% - Accent2 207 3" xfId="2727"/>
    <cellStyle name="20% - Accent2 207 3 2" xfId="2728"/>
    <cellStyle name="20% - Accent2 207 4" xfId="2729"/>
    <cellStyle name="20% - Accent2 208" xfId="2730"/>
    <cellStyle name="20% - Accent2 208 2" xfId="2731"/>
    <cellStyle name="20% - Accent2 208 2 2" xfId="2732"/>
    <cellStyle name="20% - Accent2 208 3" xfId="2733"/>
    <cellStyle name="20% - Accent2 208 3 2" xfId="2734"/>
    <cellStyle name="20% - Accent2 208 4" xfId="2735"/>
    <cellStyle name="20% - Accent2 209" xfId="2736"/>
    <cellStyle name="20% - Accent2 209 2" xfId="2737"/>
    <cellStyle name="20% - Accent2 209 2 2" xfId="2738"/>
    <cellStyle name="20% - Accent2 209 3" xfId="2739"/>
    <cellStyle name="20% - Accent2 209 3 2" xfId="2740"/>
    <cellStyle name="20% - Accent2 209 4" xfId="2741"/>
    <cellStyle name="20% - Accent2 21" xfId="2742"/>
    <cellStyle name="20% - Accent2 21 2" xfId="2743"/>
    <cellStyle name="20% - Accent2 21 2 2" xfId="2744"/>
    <cellStyle name="20% - Accent2 21 2 2 2" xfId="2745"/>
    <cellStyle name="20% - Accent2 21 2 3" xfId="2746"/>
    <cellStyle name="20% - Accent2 21 2 3 2" xfId="2747"/>
    <cellStyle name="20% - Accent2 21 2 4" xfId="2748"/>
    <cellStyle name="20% - Accent2 21 3" xfId="2749"/>
    <cellStyle name="20% - Accent2 21 3 2" xfId="2750"/>
    <cellStyle name="20% - Accent2 21 3 2 2" xfId="2751"/>
    <cellStyle name="20% - Accent2 21 3 3" xfId="2752"/>
    <cellStyle name="20% - Accent2 21 3 3 2" xfId="2753"/>
    <cellStyle name="20% - Accent2 21 3 4" xfId="2754"/>
    <cellStyle name="20% - Accent2 21 4" xfId="2755"/>
    <cellStyle name="20% - Accent2 21 4 2" xfId="2756"/>
    <cellStyle name="20% - Accent2 21 5" xfId="2757"/>
    <cellStyle name="20% - Accent2 21 5 2" xfId="2758"/>
    <cellStyle name="20% - Accent2 21 6" xfId="2759"/>
    <cellStyle name="20% - Accent2 210" xfId="2760"/>
    <cellStyle name="20% - Accent2 210 2" xfId="2761"/>
    <cellStyle name="20% - Accent2 210 2 2" xfId="2762"/>
    <cellStyle name="20% - Accent2 210 3" xfId="2763"/>
    <cellStyle name="20% - Accent2 210 3 2" xfId="2764"/>
    <cellStyle name="20% - Accent2 210 4" xfId="2765"/>
    <cellStyle name="20% - Accent2 211" xfId="2766"/>
    <cellStyle name="20% - Accent2 211 2" xfId="2767"/>
    <cellStyle name="20% - Accent2 211 2 2" xfId="2768"/>
    <cellStyle name="20% - Accent2 211 3" xfId="2769"/>
    <cellStyle name="20% - Accent2 211 3 2" xfId="2770"/>
    <cellStyle name="20% - Accent2 211 4" xfId="2771"/>
    <cellStyle name="20% - Accent2 212" xfId="2772"/>
    <cellStyle name="20% - Accent2 212 2" xfId="2773"/>
    <cellStyle name="20% - Accent2 212 2 2" xfId="2774"/>
    <cellStyle name="20% - Accent2 212 3" xfId="2775"/>
    <cellStyle name="20% - Accent2 212 3 2" xfId="2776"/>
    <cellStyle name="20% - Accent2 212 4" xfId="2777"/>
    <cellStyle name="20% - Accent2 213" xfId="2778"/>
    <cellStyle name="20% - Accent2 213 2" xfId="2779"/>
    <cellStyle name="20% - Accent2 213 2 2" xfId="2780"/>
    <cellStyle name="20% - Accent2 213 3" xfId="2781"/>
    <cellStyle name="20% - Accent2 213 3 2" xfId="2782"/>
    <cellStyle name="20% - Accent2 213 4" xfId="2783"/>
    <cellStyle name="20% - Accent2 214" xfId="2784"/>
    <cellStyle name="20% - Accent2 214 2" xfId="2785"/>
    <cellStyle name="20% - Accent2 214 2 2" xfId="2786"/>
    <cellStyle name="20% - Accent2 214 3" xfId="2787"/>
    <cellStyle name="20% - Accent2 214 3 2" xfId="2788"/>
    <cellStyle name="20% - Accent2 214 4" xfId="2789"/>
    <cellStyle name="20% - Accent2 215" xfId="2790"/>
    <cellStyle name="20% - Accent2 215 2" xfId="2791"/>
    <cellStyle name="20% - Accent2 215 2 2" xfId="2792"/>
    <cellStyle name="20% - Accent2 215 3" xfId="2793"/>
    <cellStyle name="20% - Accent2 215 3 2" xfId="2794"/>
    <cellStyle name="20% - Accent2 215 4" xfId="2795"/>
    <cellStyle name="20% - Accent2 216" xfId="2796"/>
    <cellStyle name="20% - Accent2 216 2" xfId="2797"/>
    <cellStyle name="20% - Accent2 216 2 2" xfId="2798"/>
    <cellStyle name="20% - Accent2 216 3" xfId="2799"/>
    <cellStyle name="20% - Accent2 216 3 2" xfId="2800"/>
    <cellStyle name="20% - Accent2 216 4" xfId="2801"/>
    <cellStyle name="20% - Accent2 217" xfId="2802"/>
    <cellStyle name="20% - Accent2 217 2" xfId="2803"/>
    <cellStyle name="20% - Accent2 217 2 2" xfId="2804"/>
    <cellStyle name="20% - Accent2 217 3" xfId="2805"/>
    <cellStyle name="20% - Accent2 217 3 2" xfId="2806"/>
    <cellStyle name="20% - Accent2 217 4" xfId="2807"/>
    <cellStyle name="20% - Accent2 218" xfId="2808"/>
    <cellStyle name="20% - Accent2 218 2" xfId="2809"/>
    <cellStyle name="20% - Accent2 218 2 2" xfId="2810"/>
    <cellStyle name="20% - Accent2 218 3" xfId="2811"/>
    <cellStyle name="20% - Accent2 218 3 2" xfId="2812"/>
    <cellStyle name="20% - Accent2 218 4" xfId="2813"/>
    <cellStyle name="20% - Accent2 219" xfId="2814"/>
    <cellStyle name="20% - Accent2 219 2" xfId="2815"/>
    <cellStyle name="20% - Accent2 219 2 2" xfId="2816"/>
    <cellStyle name="20% - Accent2 219 3" xfId="2817"/>
    <cellStyle name="20% - Accent2 219 3 2" xfId="2818"/>
    <cellStyle name="20% - Accent2 219 4" xfId="2819"/>
    <cellStyle name="20% - Accent2 22" xfId="2820"/>
    <cellStyle name="20% - Accent2 22 2" xfId="2821"/>
    <cellStyle name="20% - Accent2 22 2 2" xfId="2822"/>
    <cellStyle name="20% - Accent2 22 2 2 2" xfId="2823"/>
    <cellStyle name="20% - Accent2 22 2 3" xfId="2824"/>
    <cellStyle name="20% - Accent2 22 2 3 2" xfId="2825"/>
    <cellStyle name="20% - Accent2 22 2 4" xfId="2826"/>
    <cellStyle name="20% - Accent2 22 3" xfId="2827"/>
    <cellStyle name="20% - Accent2 22 3 2" xfId="2828"/>
    <cellStyle name="20% - Accent2 22 3 2 2" xfId="2829"/>
    <cellStyle name="20% - Accent2 22 3 3" xfId="2830"/>
    <cellStyle name="20% - Accent2 22 3 3 2" xfId="2831"/>
    <cellStyle name="20% - Accent2 22 3 4" xfId="2832"/>
    <cellStyle name="20% - Accent2 22 4" xfId="2833"/>
    <cellStyle name="20% - Accent2 22 4 2" xfId="2834"/>
    <cellStyle name="20% - Accent2 22 5" xfId="2835"/>
    <cellStyle name="20% - Accent2 22 5 2" xfId="2836"/>
    <cellStyle name="20% - Accent2 22 6" xfId="2837"/>
    <cellStyle name="20% - Accent2 220" xfId="2838"/>
    <cellStyle name="20% - Accent2 220 2" xfId="2839"/>
    <cellStyle name="20% - Accent2 220 2 2" xfId="2840"/>
    <cellStyle name="20% - Accent2 220 3" xfId="2841"/>
    <cellStyle name="20% - Accent2 220 3 2" xfId="2842"/>
    <cellStyle name="20% - Accent2 220 4" xfId="2843"/>
    <cellStyle name="20% - Accent2 221" xfId="2844"/>
    <cellStyle name="20% - Accent2 221 2" xfId="2845"/>
    <cellStyle name="20% - Accent2 221 2 2" xfId="2846"/>
    <cellStyle name="20% - Accent2 221 3" xfId="2847"/>
    <cellStyle name="20% - Accent2 221 3 2" xfId="2848"/>
    <cellStyle name="20% - Accent2 221 4" xfId="2849"/>
    <cellStyle name="20% - Accent2 222" xfId="2850"/>
    <cellStyle name="20% - Accent2 222 2" xfId="2851"/>
    <cellStyle name="20% - Accent2 223" xfId="2852"/>
    <cellStyle name="20% - Accent2 223 2" xfId="2853"/>
    <cellStyle name="20% - Accent2 224" xfId="2854"/>
    <cellStyle name="20% - Accent2 23" xfId="2855"/>
    <cellStyle name="20% - Accent2 23 2" xfId="2856"/>
    <cellStyle name="20% - Accent2 23 2 2" xfId="2857"/>
    <cellStyle name="20% - Accent2 23 2 2 2" xfId="2858"/>
    <cellStyle name="20% - Accent2 23 2 3" xfId="2859"/>
    <cellStyle name="20% - Accent2 23 2 3 2" xfId="2860"/>
    <cellStyle name="20% - Accent2 23 2 4" xfId="2861"/>
    <cellStyle name="20% - Accent2 23 3" xfId="2862"/>
    <cellStyle name="20% - Accent2 23 3 2" xfId="2863"/>
    <cellStyle name="20% - Accent2 23 3 2 2" xfId="2864"/>
    <cellStyle name="20% - Accent2 23 3 3" xfId="2865"/>
    <cellStyle name="20% - Accent2 23 3 3 2" xfId="2866"/>
    <cellStyle name="20% - Accent2 23 3 4" xfId="2867"/>
    <cellStyle name="20% - Accent2 23 4" xfId="2868"/>
    <cellStyle name="20% - Accent2 23 4 2" xfId="2869"/>
    <cellStyle name="20% - Accent2 23 5" xfId="2870"/>
    <cellStyle name="20% - Accent2 23 5 2" xfId="2871"/>
    <cellStyle name="20% - Accent2 23 6" xfId="2872"/>
    <cellStyle name="20% - Accent2 24" xfId="2873"/>
    <cellStyle name="20% - Accent2 24 2" xfId="2874"/>
    <cellStyle name="20% - Accent2 24 2 2" xfId="2875"/>
    <cellStyle name="20% - Accent2 24 2 2 2" xfId="2876"/>
    <cellStyle name="20% - Accent2 24 2 3" xfId="2877"/>
    <cellStyle name="20% - Accent2 24 2 3 2" xfId="2878"/>
    <cellStyle name="20% - Accent2 24 2 4" xfId="2879"/>
    <cellStyle name="20% - Accent2 24 3" xfId="2880"/>
    <cellStyle name="20% - Accent2 24 3 2" xfId="2881"/>
    <cellStyle name="20% - Accent2 24 3 2 2" xfId="2882"/>
    <cellStyle name="20% - Accent2 24 3 3" xfId="2883"/>
    <cellStyle name="20% - Accent2 24 3 3 2" xfId="2884"/>
    <cellStyle name="20% - Accent2 24 3 4" xfId="2885"/>
    <cellStyle name="20% - Accent2 24 4" xfId="2886"/>
    <cellStyle name="20% - Accent2 24 4 2" xfId="2887"/>
    <cellStyle name="20% - Accent2 24 5" xfId="2888"/>
    <cellStyle name="20% - Accent2 24 5 2" xfId="2889"/>
    <cellStyle name="20% - Accent2 24 6" xfId="2890"/>
    <cellStyle name="20% - Accent2 24 7" xfId="2891"/>
    <cellStyle name="20% - Accent2 25" xfId="2892"/>
    <cellStyle name="20% - Accent2 25 2" xfId="2893"/>
    <cellStyle name="20% - Accent2 25 2 2" xfId="2894"/>
    <cellStyle name="20% - Accent2 25 2 2 2" xfId="2895"/>
    <cellStyle name="20% - Accent2 25 2 3" xfId="2896"/>
    <cellStyle name="20% - Accent2 25 2 3 2" xfId="2897"/>
    <cellStyle name="20% - Accent2 25 2 4" xfId="2898"/>
    <cellStyle name="20% - Accent2 25 3" xfId="2899"/>
    <cellStyle name="20% - Accent2 25 3 2" xfId="2900"/>
    <cellStyle name="20% - Accent2 25 3 2 2" xfId="2901"/>
    <cellStyle name="20% - Accent2 25 3 3" xfId="2902"/>
    <cellStyle name="20% - Accent2 25 3 3 2" xfId="2903"/>
    <cellStyle name="20% - Accent2 25 3 4" xfId="2904"/>
    <cellStyle name="20% - Accent2 25 4" xfId="2905"/>
    <cellStyle name="20% - Accent2 25 4 2" xfId="2906"/>
    <cellStyle name="20% - Accent2 25 5" xfId="2907"/>
    <cellStyle name="20% - Accent2 25 5 2" xfId="2908"/>
    <cellStyle name="20% - Accent2 25 6" xfId="2909"/>
    <cellStyle name="20% - Accent2 25 7" xfId="2910"/>
    <cellStyle name="20% - Accent2 26" xfId="2911"/>
    <cellStyle name="20% - Accent2 26 2" xfId="2912"/>
    <cellStyle name="20% - Accent2 26 2 2" xfId="2913"/>
    <cellStyle name="20% - Accent2 26 2 2 2" xfId="2914"/>
    <cellStyle name="20% - Accent2 26 2 3" xfId="2915"/>
    <cellStyle name="20% - Accent2 26 2 3 2" xfId="2916"/>
    <cellStyle name="20% - Accent2 26 2 4" xfId="2917"/>
    <cellStyle name="20% - Accent2 26 3" xfId="2918"/>
    <cellStyle name="20% - Accent2 26 3 2" xfId="2919"/>
    <cellStyle name="20% - Accent2 26 3 2 2" xfId="2920"/>
    <cellStyle name="20% - Accent2 26 3 3" xfId="2921"/>
    <cellStyle name="20% - Accent2 26 3 3 2" xfId="2922"/>
    <cellStyle name="20% - Accent2 26 3 4" xfId="2923"/>
    <cellStyle name="20% - Accent2 26 4" xfId="2924"/>
    <cellStyle name="20% - Accent2 26 4 2" xfId="2925"/>
    <cellStyle name="20% - Accent2 26 5" xfId="2926"/>
    <cellStyle name="20% - Accent2 26 5 2" xfId="2927"/>
    <cellStyle name="20% - Accent2 26 6" xfId="2928"/>
    <cellStyle name="20% - Accent2 26 7" xfId="2929"/>
    <cellStyle name="20% - Accent2 27" xfId="2930"/>
    <cellStyle name="20% - Accent2 27 2" xfId="2931"/>
    <cellStyle name="20% - Accent2 27 2 2" xfId="2932"/>
    <cellStyle name="20% - Accent2 27 2 2 2" xfId="2933"/>
    <cellStyle name="20% - Accent2 27 2 3" xfId="2934"/>
    <cellStyle name="20% - Accent2 27 2 3 2" xfId="2935"/>
    <cellStyle name="20% - Accent2 27 2 4" xfId="2936"/>
    <cellStyle name="20% - Accent2 27 3" xfId="2937"/>
    <cellStyle name="20% - Accent2 27 3 2" xfId="2938"/>
    <cellStyle name="20% - Accent2 27 3 2 2" xfId="2939"/>
    <cellStyle name="20% - Accent2 27 3 3" xfId="2940"/>
    <cellStyle name="20% - Accent2 27 3 3 2" xfId="2941"/>
    <cellStyle name="20% - Accent2 27 3 4" xfId="2942"/>
    <cellStyle name="20% - Accent2 27 4" xfId="2943"/>
    <cellStyle name="20% - Accent2 27 4 2" xfId="2944"/>
    <cellStyle name="20% - Accent2 27 5" xfId="2945"/>
    <cellStyle name="20% - Accent2 27 5 2" xfId="2946"/>
    <cellStyle name="20% - Accent2 27 6" xfId="2947"/>
    <cellStyle name="20% - Accent2 27 7" xfId="2948"/>
    <cellStyle name="20% - Accent2 28" xfId="2949"/>
    <cellStyle name="20% - Accent2 28 2" xfId="2950"/>
    <cellStyle name="20% - Accent2 28 2 2" xfId="2951"/>
    <cellStyle name="20% - Accent2 28 2 2 2" xfId="2952"/>
    <cellStyle name="20% - Accent2 28 2 3" xfId="2953"/>
    <cellStyle name="20% - Accent2 28 2 3 2" xfId="2954"/>
    <cellStyle name="20% - Accent2 28 2 4" xfId="2955"/>
    <cellStyle name="20% - Accent2 28 3" xfId="2956"/>
    <cellStyle name="20% - Accent2 28 3 2" xfId="2957"/>
    <cellStyle name="20% - Accent2 28 3 2 2" xfId="2958"/>
    <cellStyle name="20% - Accent2 28 3 3" xfId="2959"/>
    <cellStyle name="20% - Accent2 28 3 3 2" xfId="2960"/>
    <cellStyle name="20% - Accent2 28 3 4" xfId="2961"/>
    <cellStyle name="20% - Accent2 28 4" xfId="2962"/>
    <cellStyle name="20% - Accent2 28 4 2" xfId="2963"/>
    <cellStyle name="20% - Accent2 28 5" xfId="2964"/>
    <cellStyle name="20% - Accent2 28 5 2" xfId="2965"/>
    <cellStyle name="20% - Accent2 28 6" xfId="2966"/>
    <cellStyle name="20% - Accent2 28 7" xfId="2967"/>
    <cellStyle name="20% - Accent2 29" xfId="2968"/>
    <cellStyle name="20% - Accent2 29 2" xfId="2969"/>
    <cellStyle name="20% - Accent2 29 2 2" xfId="2970"/>
    <cellStyle name="20% - Accent2 29 2 2 2" xfId="2971"/>
    <cellStyle name="20% - Accent2 29 2 3" xfId="2972"/>
    <cellStyle name="20% - Accent2 29 2 3 2" xfId="2973"/>
    <cellStyle name="20% - Accent2 29 2 4" xfId="2974"/>
    <cellStyle name="20% - Accent2 29 3" xfId="2975"/>
    <cellStyle name="20% - Accent2 29 3 2" xfId="2976"/>
    <cellStyle name="20% - Accent2 29 3 2 2" xfId="2977"/>
    <cellStyle name="20% - Accent2 29 3 3" xfId="2978"/>
    <cellStyle name="20% - Accent2 29 3 3 2" xfId="2979"/>
    <cellStyle name="20% - Accent2 29 3 4" xfId="2980"/>
    <cellStyle name="20% - Accent2 29 4" xfId="2981"/>
    <cellStyle name="20% - Accent2 29 4 2" xfId="2982"/>
    <cellStyle name="20% - Accent2 29 5" xfId="2983"/>
    <cellStyle name="20% - Accent2 29 5 2" xfId="2984"/>
    <cellStyle name="20% - Accent2 29 6" xfId="2985"/>
    <cellStyle name="20% - Accent2 29 7" xfId="2986"/>
    <cellStyle name="20% - Accent2 3" xfId="2987"/>
    <cellStyle name="20% - Accent2 3 2" xfId="2988"/>
    <cellStyle name="20% - Accent2 3 2 2" xfId="2989"/>
    <cellStyle name="20% - Accent2 3 2 2 2" xfId="2990"/>
    <cellStyle name="20% - Accent2 3 2 3" xfId="2991"/>
    <cellStyle name="20% - Accent2 3 2 3 2" xfId="2992"/>
    <cellStyle name="20% - Accent2 3 2 4" xfId="2993"/>
    <cellStyle name="20% - Accent2 3 3" xfId="2994"/>
    <cellStyle name="20% - Accent2 3 3 2" xfId="2995"/>
    <cellStyle name="20% - Accent2 3 3 2 2" xfId="2996"/>
    <cellStyle name="20% - Accent2 3 3 3" xfId="2997"/>
    <cellStyle name="20% - Accent2 3 3 3 2" xfId="2998"/>
    <cellStyle name="20% - Accent2 3 3 4" xfId="2999"/>
    <cellStyle name="20% - Accent2 3 4" xfId="3000"/>
    <cellStyle name="20% - Accent2 3 4 2" xfId="3001"/>
    <cellStyle name="20% - Accent2 3 5" xfId="3002"/>
    <cellStyle name="20% - Accent2 3 5 2" xfId="3003"/>
    <cellStyle name="20% - Accent2 3 6" xfId="3004"/>
    <cellStyle name="20% - Accent2 30" xfId="3005"/>
    <cellStyle name="20% - Accent2 30 2" xfId="3006"/>
    <cellStyle name="20% - Accent2 30 2 2" xfId="3007"/>
    <cellStyle name="20% - Accent2 30 2 2 2" xfId="3008"/>
    <cellStyle name="20% - Accent2 30 2 3" xfId="3009"/>
    <cellStyle name="20% - Accent2 30 2 3 2" xfId="3010"/>
    <cellStyle name="20% - Accent2 30 2 4" xfId="3011"/>
    <cellStyle name="20% - Accent2 30 3" xfId="3012"/>
    <cellStyle name="20% - Accent2 30 3 2" xfId="3013"/>
    <cellStyle name="20% - Accent2 30 3 2 2" xfId="3014"/>
    <cellStyle name="20% - Accent2 30 3 3" xfId="3015"/>
    <cellStyle name="20% - Accent2 30 3 3 2" xfId="3016"/>
    <cellStyle name="20% - Accent2 30 3 4" xfId="3017"/>
    <cellStyle name="20% - Accent2 30 4" xfId="3018"/>
    <cellStyle name="20% - Accent2 30 4 2" xfId="3019"/>
    <cellStyle name="20% - Accent2 30 5" xfId="3020"/>
    <cellStyle name="20% - Accent2 30 5 2" xfId="3021"/>
    <cellStyle name="20% - Accent2 30 6" xfId="3022"/>
    <cellStyle name="20% - Accent2 30 7" xfId="3023"/>
    <cellStyle name="20% - Accent2 31" xfId="3024"/>
    <cellStyle name="20% - Accent2 31 2" xfId="3025"/>
    <cellStyle name="20% - Accent2 31 2 2" xfId="3026"/>
    <cellStyle name="20% - Accent2 31 2 2 2" xfId="3027"/>
    <cellStyle name="20% - Accent2 31 2 3" xfId="3028"/>
    <cellStyle name="20% - Accent2 31 2 3 2" xfId="3029"/>
    <cellStyle name="20% - Accent2 31 2 4" xfId="3030"/>
    <cellStyle name="20% - Accent2 31 3" xfId="3031"/>
    <cellStyle name="20% - Accent2 31 3 2" xfId="3032"/>
    <cellStyle name="20% - Accent2 31 3 2 2" xfId="3033"/>
    <cellStyle name="20% - Accent2 31 3 3" xfId="3034"/>
    <cellStyle name="20% - Accent2 31 3 3 2" xfId="3035"/>
    <cellStyle name="20% - Accent2 31 3 4" xfId="3036"/>
    <cellStyle name="20% - Accent2 31 4" xfId="3037"/>
    <cellStyle name="20% - Accent2 31 4 2" xfId="3038"/>
    <cellStyle name="20% - Accent2 31 5" xfId="3039"/>
    <cellStyle name="20% - Accent2 31 5 2" xfId="3040"/>
    <cellStyle name="20% - Accent2 31 6" xfId="3041"/>
    <cellStyle name="20% - Accent2 31 7" xfId="3042"/>
    <cellStyle name="20% - Accent2 32" xfId="3043"/>
    <cellStyle name="20% - Accent2 32 2" xfId="3044"/>
    <cellStyle name="20% - Accent2 32 2 2" xfId="3045"/>
    <cellStyle name="20% - Accent2 32 2 2 2" xfId="3046"/>
    <cellStyle name="20% - Accent2 32 2 3" xfId="3047"/>
    <cellStyle name="20% - Accent2 32 2 3 2" xfId="3048"/>
    <cellStyle name="20% - Accent2 32 2 4" xfId="3049"/>
    <cellStyle name="20% - Accent2 32 3" xfId="3050"/>
    <cellStyle name="20% - Accent2 32 3 2" xfId="3051"/>
    <cellStyle name="20% - Accent2 32 3 2 2" xfId="3052"/>
    <cellStyle name="20% - Accent2 32 3 3" xfId="3053"/>
    <cellStyle name="20% - Accent2 32 3 3 2" xfId="3054"/>
    <cellStyle name="20% - Accent2 32 3 4" xfId="3055"/>
    <cellStyle name="20% - Accent2 32 4" xfId="3056"/>
    <cellStyle name="20% - Accent2 32 4 2" xfId="3057"/>
    <cellStyle name="20% - Accent2 32 5" xfId="3058"/>
    <cellStyle name="20% - Accent2 32 5 2" xfId="3059"/>
    <cellStyle name="20% - Accent2 32 6" xfId="3060"/>
    <cellStyle name="20% - Accent2 32 7" xfId="3061"/>
    <cellStyle name="20% - Accent2 33" xfId="3062"/>
    <cellStyle name="20% - Accent2 33 2" xfId="3063"/>
    <cellStyle name="20% - Accent2 33 2 2" xfId="3064"/>
    <cellStyle name="20% - Accent2 33 2 2 2" xfId="3065"/>
    <cellStyle name="20% - Accent2 33 2 3" xfId="3066"/>
    <cellStyle name="20% - Accent2 33 2 3 2" xfId="3067"/>
    <cellStyle name="20% - Accent2 33 2 4" xfId="3068"/>
    <cellStyle name="20% - Accent2 33 3" xfId="3069"/>
    <cellStyle name="20% - Accent2 33 3 2" xfId="3070"/>
    <cellStyle name="20% - Accent2 33 3 2 2" xfId="3071"/>
    <cellStyle name="20% - Accent2 33 3 3" xfId="3072"/>
    <cellStyle name="20% - Accent2 33 3 3 2" xfId="3073"/>
    <cellStyle name="20% - Accent2 33 3 4" xfId="3074"/>
    <cellStyle name="20% - Accent2 33 4" xfId="3075"/>
    <cellStyle name="20% - Accent2 33 4 2" xfId="3076"/>
    <cellStyle name="20% - Accent2 33 5" xfId="3077"/>
    <cellStyle name="20% - Accent2 33 5 2" xfId="3078"/>
    <cellStyle name="20% - Accent2 33 6" xfId="3079"/>
    <cellStyle name="20% - Accent2 33 7" xfId="3080"/>
    <cellStyle name="20% - Accent2 34" xfId="3081"/>
    <cellStyle name="20% - Accent2 34 2" xfId="3082"/>
    <cellStyle name="20% - Accent2 34 2 2" xfId="3083"/>
    <cellStyle name="20% - Accent2 34 2 2 2" xfId="3084"/>
    <cellStyle name="20% - Accent2 34 2 3" xfId="3085"/>
    <cellStyle name="20% - Accent2 34 2 3 2" xfId="3086"/>
    <cellStyle name="20% - Accent2 34 2 4" xfId="3087"/>
    <cellStyle name="20% - Accent2 34 3" xfId="3088"/>
    <cellStyle name="20% - Accent2 34 3 2" xfId="3089"/>
    <cellStyle name="20% - Accent2 34 3 2 2" xfId="3090"/>
    <cellStyle name="20% - Accent2 34 3 3" xfId="3091"/>
    <cellStyle name="20% - Accent2 34 3 3 2" xfId="3092"/>
    <cellStyle name="20% - Accent2 34 3 4" xfId="3093"/>
    <cellStyle name="20% - Accent2 34 4" xfId="3094"/>
    <cellStyle name="20% - Accent2 34 4 2" xfId="3095"/>
    <cellStyle name="20% - Accent2 34 5" xfId="3096"/>
    <cellStyle name="20% - Accent2 34 5 2" xfId="3097"/>
    <cellStyle name="20% - Accent2 34 6" xfId="3098"/>
    <cellStyle name="20% - Accent2 34 7" xfId="3099"/>
    <cellStyle name="20% - Accent2 35" xfId="3100"/>
    <cellStyle name="20% - Accent2 35 2" xfId="3101"/>
    <cellStyle name="20% - Accent2 35 2 2" xfId="3102"/>
    <cellStyle name="20% - Accent2 35 2 2 2" xfId="3103"/>
    <cellStyle name="20% - Accent2 35 2 3" xfId="3104"/>
    <cellStyle name="20% - Accent2 35 2 3 2" xfId="3105"/>
    <cellStyle name="20% - Accent2 35 2 4" xfId="3106"/>
    <cellStyle name="20% - Accent2 35 3" xfId="3107"/>
    <cellStyle name="20% - Accent2 35 3 2" xfId="3108"/>
    <cellStyle name="20% - Accent2 35 3 2 2" xfId="3109"/>
    <cellStyle name="20% - Accent2 35 3 3" xfId="3110"/>
    <cellStyle name="20% - Accent2 35 3 3 2" xfId="3111"/>
    <cellStyle name="20% - Accent2 35 3 4" xfId="3112"/>
    <cellStyle name="20% - Accent2 35 4" xfId="3113"/>
    <cellStyle name="20% - Accent2 35 4 2" xfId="3114"/>
    <cellStyle name="20% - Accent2 35 5" xfId="3115"/>
    <cellStyle name="20% - Accent2 35 5 2" xfId="3116"/>
    <cellStyle name="20% - Accent2 35 6" xfId="3117"/>
    <cellStyle name="20% - Accent2 35 7" xfId="3118"/>
    <cellStyle name="20% - Accent2 36" xfId="3119"/>
    <cellStyle name="20% - Accent2 36 2" xfId="3120"/>
    <cellStyle name="20% - Accent2 36 2 2" xfId="3121"/>
    <cellStyle name="20% - Accent2 36 2 2 2" xfId="3122"/>
    <cellStyle name="20% - Accent2 36 2 3" xfId="3123"/>
    <cellStyle name="20% - Accent2 36 2 3 2" xfId="3124"/>
    <cellStyle name="20% - Accent2 36 2 4" xfId="3125"/>
    <cellStyle name="20% - Accent2 36 3" xfId="3126"/>
    <cellStyle name="20% - Accent2 36 3 2" xfId="3127"/>
    <cellStyle name="20% - Accent2 36 3 2 2" xfId="3128"/>
    <cellStyle name="20% - Accent2 36 3 3" xfId="3129"/>
    <cellStyle name="20% - Accent2 36 3 3 2" xfId="3130"/>
    <cellStyle name="20% - Accent2 36 3 4" xfId="3131"/>
    <cellStyle name="20% - Accent2 36 4" xfId="3132"/>
    <cellStyle name="20% - Accent2 36 4 2" xfId="3133"/>
    <cellStyle name="20% - Accent2 36 5" xfId="3134"/>
    <cellStyle name="20% - Accent2 36 5 2" xfId="3135"/>
    <cellStyle name="20% - Accent2 36 6" xfId="3136"/>
    <cellStyle name="20% - Accent2 36 7" xfId="3137"/>
    <cellStyle name="20% - Accent2 37" xfId="3138"/>
    <cellStyle name="20% - Accent2 37 2" xfId="3139"/>
    <cellStyle name="20% - Accent2 37 2 2" xfId="3140"/>
    <cellStyle name="20% - Accent2 37 2 2 2" xfId="3141"/>
    <cellStyle name="20% - Accent2 37 2 3" xfId="3142"/>
    <cellStyle name="20% - Accent2 37 2 3 2" xfId="3143"/>
    <cellStyle name="20% - Accent2 37 2 4" xfId="3144"/>
    <cellStyle name="20% - Accent2 37 3" xfId="3145"/>
    <cellStyle name="20% - Accent2 37 3 2" xfId="3146"/>
    <cellStyle name="20% - Accent2 37 3 2 2" xfId="3147"/>
    <cellStyle name="20% - Accent2 37 3 3" xfId="3148"/>
    <cellStyle name="20% - Accent2 37 3 3 2" xfId="3149"/>
    <cellStyle name="20% - Accent2 37 3 4" xfId="3150"/>
    <cellStyle name="20% - Accent2 37 4" xfId="3151"/>
    <cellStyle name="20% - Accent2 37 4 2" xfId="3152"/>
    <cellStyle name="20% - Accent2 37 5" xfId="3153"/>
    <cellStyle name="20% - Accent2 37 5 2" xfId="3154"/>
    <cellStyle name="20% - Accent2 37 6" xfId="3155"/>
    <cellStyle name="20% - Accent2 37 7" xfId="3156"/>
    <cellStyle name="20% - Accent2 38" xfId="3157"/>
    <cellStyle name="20% - Accent2 38 2" xfId="3158"/>
    <cellStyle name="20% - Accent2 38 2 2" xfId="3159"/>
    <cellStyle name="20% - Accent2 38 2 2 2" xfId="3160"/>
    <cellStyle name="20% - Accent2 38 2 3" xfId="3161"/>
    <cellStyle name="20% - Accent2 38 2 3 2" xfId="3162"/>
    <cellStyle name="20% - Accent2 38 2 4" xfId="3163"/>
    <cellStyle name="20% - Accent2 38 3" xfId="3164"/>
    <cellStyle name="20% - Accent2 38 3 2" xfId="3165"/>
    <cellStyle name="20% - Accent2 38 3 2 2" xfId="3166"/>
    <cellStyle name="20% - Accent2 38 3 3" xfId="3167"/>
    <cellStyle name="20% - Accent2 38 3 3 2" xfId="3168"/>
    <cellStyle name="20% - Accent2 38 3 4" xfId="3169"/>
    <cellStyle name="20% - Accent2 38 4" xfId="3170"/>
    <cellStyle name="20% - Accent2 38 4 2" xfId="3171"/>
    <cellStyle name="20% - Accent2 38 5" xfId="3172"/>
    <cellStyle name="20% - Accent2 38 5 2" xfId="3173"/>
    <cellStyle name="20% - Accent2 38 6" xfId="3174"/>
    <cellStyle name="20% - Accent2 38 7" xfId="3175"/>
    <cellStyle name="20% - Accent2 39" xfId="3176"/>
    <cellStyle name="20% - Accent2 39 2" xfId="3177"/>
    <cellStyle name="20% - Accent2 39 2 2" xfId="3178"/>
    <cellStyle name="20% - Accent2 39 2 2 2" xfId="3179"/>
    <cellStyle name="20% - Accent2 39 2 3" xfId="3180"/>
    <cellStyle name="20% - Accent2 39 2 3 2" xfId="3181"/>
    <cellStyle name="20% - Accent2 39 2 4" xfId="3182"/>
    <cellStyle name="20% - Accent2 39 3" xfId="3183"/>
    <cellStyle name="20% - Accent2 39 3 2" xfId="3184"/>
    <cellStyle name="20% - Accent2 39 3 2 2" xfId="3185"/>
    <cellStyle name="20% - Accent2 39 3 3" xfId="3186"/>
    <cellStyle name="20% - Accent2 39 3 3 2" xfId="3187"/>
    <cellStyle name="20% - Accent2 39 3 4" xfId="3188"/>
    <cellStyle name="20% - Accent2 39 4" xfId="3189"/>
    <cellStyle name="20% - Accent2 39 4 2" xfId="3190"/>
    <cellStyle name="20% - Accent2 39 5" xfId="3191"/>
    <cellStyle name="20% - Accent2 39 5 2" xfId="3192"/>
    <cellStyle name="20% - Accent2 39 6" xfId="3193"/>
    <cellStyle name="20% - Accent2 39 7" xfId="3194"/>
    <cellStyle name="20% - Accent2 4" xfId="3195"/>
    <cellStyle name="20% - Accent2 4 2" xfId="3196"/>
    <cellStyle name="20% - Accent2 4 2 2" xfId="3197"/>
    <cellStyle name="20% - Accent2 4 2 2 2" xfId="3198"/>
    <cellStyle name="20% - Accent2 4 2 3" xfId="3199"/>
    <cellStyle name="20% - Accent2 4 2 3 2" xfId="3200"/>
    <cellStyle name="20% - Accent2 4 2 4" xfId="3201"/>
    <cellStyle name="20% - Accent2 4 3" xfId="3202"/>
    <cellStyle name="20% - Accent2 4 3 2" xfId="3203"/>
    <cellStyle name="20% - Accent2 4 3 2 2" xfId="3204"/>
    <cellStyle name="20% - Accent2 4 3 3" xfId="3205"/>
    <cellStyle name="20% - Accent2 4 3 3 2" xfId="3206"/>
    <cellStyle name="20% - Accent2 4 3 4" xfId="3207"/>
    <cellStyle name="20% - Accent2 4 4" xfId="3208"/>
    <cellStyle name="20% - Accent2 4 4 2" xfId="3209"/>
    <cellStyle name="20% - Accent2 4 5" xfId="3210"/>
    <cellStyle name="20% - Accent2 4 5 2" xfId="3211"/>
    <cellStyle name="20% - Accent2 4 6" xfId="3212"/>
    <cellStyle name="20% - Accent2 40" xfId="3213"/>
    <cellStyle name="20% - Accent2 40 2" xfId="3214"/>
    <cellStyle name="20% - Accent2 40 2 2" xfId="3215"/>
    <cellStyle name="20% - Accent2 40 2 2 2" xfId="3216"/>
    <cellStyle name="20% - Accent2 40 2 3" xfId="3217"/>
    <cellStyle name="20% - Accent2 40 2 3 2" xfId="3218"/>
    <cellStyle name="20% - Accent2 40 2 4" xfId="3219"/>
    <cellStyle name="20% - Accent2 40 3" xfId="3220"/>
    <cellStyle name="20% - Accent2 40 3 2" xfId="3221"/>
    <cellStyle name="20% - Accent2 40 3 2 2" xfId="3222"/>
    <cellStyle name="20% - Accent2 40 3 3" xfId="3223"/>
    <cellStyle name="20% - Accent2 40 3 3 2" xfId="3224"/>
    <cellStyle name="20% - Accent2 40 3 4" xfId="3225"/>
    <cellStyle name="20% - Accent2 40 4" xfId="3226"/>
    <cellStyle name="20% - Accent2 40 4 2" xfId="3227"/>
    <cellStyle name="20% - Accent2 40 5" xfId="3228"/>
    <cellStyle name="20% - Accent2 40 5 2" xfId="3229"/>
    <cellStyle name="20% - Accent2 40 6" xfId="3230"/>
    <cellStyle name="20% - Accent2 40 7" xfId="3231"/>
    <cellStyle name="20% - Accent2 41" xfId="3232"/>
    <cellStyle name="20% - Accent2 41 2" xfId="3233"/>
    <cellStyle name="20% - Accent2 41 2 2" xfId="3234"/>
    <cellStyle name="20% - Accent2 41 2 2 2" xfId="3235"/>
    <cellStyle name="20% - Accent2 41 2 3" xfId="3236"/>
    <cellStyle name="20% - Accent2 41 2 3 2" xfId="3237"/>
    <cellStyle name="20% - Accent2 41 2 4" xfId="3238"/>
    <cellStyle name="20% - Accent2 41 3" xfId="3239"/>
    <cellStyle name="20% - Accent2 41 3 2" xfId="3240"/>
    <cellStyle name="20% - Accent2 41 3 2 2" xfId="3241"/>
    <cellStyle name="20% - Accent2 41 3 3" xfId="3242"/>
    <cellStyle name="20% - Accent2 41 3 3 2" xfId="3243"/>
    <cellStyle name="20% - Accent2 41 3 4" xfId="3244"/>
    <cellStyle name="20% - Accent2 41 4" xfId="3245"/>
    <cellStyle name="20% - Accent2 41 4 2" xfId="3246"/>
    <cellStyle name="20% - Accent2 41 5" xfId="3247"/>
    <cellStyle name="20% - Accent2 41 5 2" xfId="3248"/>
    <cellStyle name="20% - Accent2 41 6" xfId="3249"/>
    <cellStyle name="20% - Accent2 41 7" xfId="3250"/>
    <cellStyle name="20% - Accent2 42" xfId="3251"/>
    <cellStyle name="20% - Accent2 42 2" xfId="3252"/>
    <cellStyle name="20% - Accent2 42 2 2" xfId="3253"/>
    <cellStyle name="20% - Accent2 42 3" xfId="3254"/>
    <cellStyle name="20% - Accent2 42 3 2" xfId="3255"/>
    <cellStyle name="20% - Accent2 42 4" xfId="3256"/>
    <cellStyle name="20% - Accent2 42 5" xfId="3257"/>
    <cellStyle name="20% - Accent2 43" xfId="3258"/>
    <cellStyle name="20% - Accent2 43 2" xfId="3259"/>
    <cellStyle name="20% - Accent2 43 2 2" xfId="3260"/>
    <cellStyle name="20% - Accent2 43 3" xfId="3261"/>
    <cellStyle name="20% - Accent2 43 3 2" xfId="3262"/>
    <cellStyle name="20% - Accent2 43 4" xfId="3263"/>
    <cellStyle name="20% - Accent2 43 5" xfId="3264"/>
    <cellStyle name="20% - Accent2 44" xfId="3265"/>
    <cellStyle name="20% - Accent2 44 2" xfId="3266"/>
    <cellStyle name="20% - Accent2 44 2 2" xfId="3267"/>
    <cellStyle name="20% - Accent2 44 3" xfId="3268"/>
    <cellStyle name="20% - Accent2 44 3 2" xfId="3269"/>
    <cellStyle name="20% - Accent2 44 4" xfId="3270"/>
    <cellStyle name="20% - Accent2 44 5" xfId="3271"/>
    <cellStyle name="20% - Accent2 45" xfId="3272"/>
    <cellStyle name="20% - Accent2 45 2" xfId="3273"/>
    <cellStyle name="20% - Accent2 45 2 2" xfId="3274"/>
    <cellStyle name="20% - Accent2 45 3" xfId="3275"/>
    <cellStyle name="20% - Accent2 45 3 2" xfId="3276"/>
    <cellStyle name="20% - Accent2 45 4" xfId="3277"/>
    <cellStyle name="20% - Accent2 45 5" xfId="3278"/>
    <cellStyle name="20% - Accent2 46" xfId="3279"/>
    <cellStyle name="20% - Accent2 46 2" xfId="3280"/>
    <cellStyle name="20% - Accent2 46 2 2" xfId="3281"/>
    <cellStyle name="20% - Accent2 46 3" xfId="3282"/>
    <cellStyle name="20% - Accent2 46 3 2" xfId="3283"/>
    <cellStyle name="20% - Accent2 46 4" xfId="3284"/>
    <cellStyle name="20% - Accent2 46 5" xfId="3285"/>
    <cellStyle name="20% - Accent2 47" xfId="3286"/>
    <cellStyle name="20% - Accent2 47 2" xfId="3287"/>
    <cellStyle name="20% - Accent2 47 2 2" xfId="3288"/>
    <cellStyle name="20% - Accent2 47 3" xfId="3289"/>
    <cellStyle name="20% - Accent2 47 3 2" xfId="3290"/>
    <cellStyle name="20% - Accent2 47 4" xfId="3291"/>
    <cellStyle name="20% - Accent2 47 5" xfId="3292"/>
    <cellStyle name="20% - Accent2 48" xfId="3293"/>
    <cellStyle name="20% - Accent2 48 2" xfId="3294"/>
    <cellStyle name="20% - Accent2 48 2 2" xfId="3295"/>
    <cellStyle name="20% - Accent2 48 3" xfId="3296"/>
    <cellStyle name="20% - Accent2 48 3 2" xfId="3297"/>
    <cellStyle name="20% - Accent2 48 4" xfId="3298"/>
    <cellStyle name="20% - Accent2 48 5" xfId="3299"/>
    <cellStyle name="20% - Accent2 49" xfId="3300"/>
    <cellStyle name="20% - Accent2 49 2" xfId="3301"/>
    <cellStyle name="20% - Accent2 49 2 2" xfId="3302"/>
    <cellStyle name="20% - Accent2 49 3" xfId="3303"/>
    <cellStyle name="20% - Accent2 49 3 2" xfId="3304"/>
    <cellStyle name="20% - Accent2 49 4" xfId="3305"/>
    <cellStyle name="20% - Accent2 49 5" xfId="3306"/>
    <cellStyle name="20% - Accent2 5" xfId="3307"/>
    <cellStyle name="20% - Accent2 5 2" xfId="3308"/>
    <cellStyle name="20% - Accent2 5 2 2" xfId="3309"/>
    <cellStyle name="20% - Accent2 5 2 2 2" xfId="3310"/>
    <cellStyle name="20% - Accent2 5 2 3" xfId="3311"/>
    <cellStyle name="20% - Accent2 5 2 3 2" xfId="3312"/>
    <cellStyle name="20% - Accent2 5 2 4" xfId="3313"/>
    <cellStyle name="20% - Accent2 5 3" xfId="3314"/>
    <cellStyle name="20% - Accent2 5 3 2" xfId="3315"/>
    <cellStyle name="20% - Accent2 5 3 2 2" xfId="3316"/>
    <cellStyle name="20% - Accent2 5 3 3" xfId="3317"/>
    <cellStyle name="20% - Accent2 5 3 3 2" xfId="3318"/>
    <cellStyle name="20% - Accent2 5 3 4" xfId="3319"/>
    <cellStyle name="20% - Accent2 5 4" xfId="3320"/>
    <cellStyle name="20% - Accent2 5 4 2" xfId="3321"/>
    <cellStyle name="20% - Accent2 5 5" xfId="3322"/>
    <cellStyle name="20% - Accent2 5 5 2" xfId="3323"/>
    <cellStyle name="20% - Accent2 5 6" xfId="3324"/>
    <cellStyle name="20% - Accent2 50" xfId="3325"/>
    <cellStyle name="20% - Accent2 50 2" xfId="3326"/>
    <cellStyle name="20% - Accent2 50 2 2" xfId="3327"/>
    <cellStyle name="20% - Accent2 50 3" xfId="3328"/>
    <cellStyle name="20% - Accent2 50 3 2" xfId="3329"/>
    <cellStyle name="20% - Accent2 50 4" xfId="3330"/>
    <cellStyle name="20% - Accent2 50 5" xfId="3331"/>
    <cellStyle name="20% - Accent2 51" xfId="3332"/>
    <cellStyle name="20% - Accent2 51 2" xfId="3333"/>
    <cellStyle name="20% - Accent2 51 2 2" xfId="3334"/>
    <cellStyle name="20% - Accent2 51 3" xfId="3335"/>
    <cellStyle name="20% - Accent2 51 3 2" xfId="3336"/>
    <cellStyle name="20% - Accent2 51 4" xfId="3337"/>
    <cellStyle name="20% - Accent2 51 5" xfId="3338"/>
    <cellStyle name="20% - Accent2 52" xfId="3339"/>
    <cellStyle name="20% - Accent2 52 2" xfId="3340"/>
    <cellStyle name="20% - Accent2 52 2 2" xfId="3341"/>
    <cellStyle name="20% - Accent2 52 3" xfId="3342"/>
    <cellStyle name="20% - Accent2 52 3 2" xfId="3343"/>
    <cellStyle name="20% - Accent2 52 4" xfId="3344"/>
    <cellStyle name="20% - Accent2 52 5" xfId="3345"/>
    <cellStyle name="20% - Accent2 53" xfId="3346"/>
    <cellStyle name="20% - Accent2 53 2" xfId="3347"/>
    <cellStyle name="20% - Accent2 53 2 2" xfId="3348"/>
    <cellStyle name="20% - Accent2 53 3" xfId="3349"/>
    <cellStyle name="20% - Accent2 53 3 2" xfId="3350"/>
    <cellStyle name="20% - Accent2 53 4" xfId="3351"/>
    <cellStyle name="20% - Accent2 53 5" xfId="3352"/>
    <cellStyle name="20% - Accent2 54" xfId="3353"/>
    <cellStyle name="20% - Accent2 54 2" xfId="3354"/>
    <cellStyle name="20% - Accent2 54 2 2" xfId="3355"/>
    <cellStyle name="20% - Accent2 54 3" xfId="3356"/>
    <cellStyle name="20% - Accent2 54 3 2" xfId="3357"/>
    <cellStyle name="20% - Accent2 54 4" xfId="3358"/>
    <cellStyle name="20% - Accent2 54 5" xfId="3359"/>
    <cellStyle name="20% - Accent2 55" xfId="3360"/>
    <cellStyle name="20% - Accent2 55 2" xfId="3361"/>
    <cellStyle name="20% - Accent2 55 2 2" xfId="3362"/>
    <cellStyle name="20% - Accent2 55 3" xfId="3363"/>
    <cellStyle name="20% - Accent2 55 3 2" xfId="3364"/>
    <cellStyle name="20% - Accent2 55 4" xfId="3365"/>
    <cellStyle name="20% - Accent2 55 5" xfId="3366"/>
    <cellStyle name="20% - Accent2 56" xfId="3367"/>
    <cellStyle name="20% - Accent2 56 2" xfId="3368"/>
    <cellStyle name="20% - Accent2 56 2 2" xfId="3369"/>
    <cellStyle name="20% - Accent2 56 3" xfId="3370"/>
    <cellStyle name="20% - Accent2 56 3 2" xfId="3371"/>
    <cellStyle name="20% - Accent2 56 4" xfId="3372"/>
    <cellStyle name="20% - Accent2 56 5" xfId="3373"/>
    <cellStyle name="20% - Accent2 57" xfId="3374"/>
    <cellStyle name="20% - Accent2 57 2" xfId="3375"/>
    <cellStyle name="20% - Accent2 57 2 2" xfId="3376"/>
    <cellStyle name="20% - Accent2 57 3" xfId="3377"/>
    <cellStyle name="20% - Accent2 57 3 2" xfId="3378"/>
    <cellStyle name="20% - Accent2 57 4" xfId="3379"/>
    <cellStyle name="20% - Accent2 57 5" xfId="3380"/>
    <cellStyle name="20% - Accent2 58" xfId="3381"/>
    <cellStyle name="20% - Accent2 58 2" xfId="3382"/>
    <cellStyle name="20% - Accent2 58 2 2" xfId="3383"/>
    <cellStyle name="20% - Accent2 58 3" xfId="3384"/>
    <cellStyle name="20% - Accent2 58 3 2" xfId="3385"/>
    <cellStyle name="20% - Accent2 58 4" xfId="3386"/>
    <cellStyle name="20% - Accent2 58 5" xfId="3387"/>
    <cellStyle name="20% - Accent2 59" xfId="3388"/>
    <cellStyle name="20% - Accent2 59 2" xfId="3389"/>
    <cellStyle name="20% - Accent2 59 2 2" xfId="3390"/>
    <cellStyle name="20% - Accent2 59 3" xfId="3391"/>
    <cellStyle name="20% - Accent2 59 3 2" xfId="3392"/>
    <cellStyle name="20% - Accent2 59 4" xfId="3393"/>
    <cellStyle name="20% - Accent2 59 5" xfId="3394"/>
    <cellStyle name="20% - Accent2 6" xfId="3395"/>
    <cellStyle name="20% - Accent2 6 2" xfId="3396"/>
    <cellStyle name="20% - Accent2 6 2 2" xfId="3397"/>
    <cellStyle name="20% - Accent2 6 2 2 2" xfId="3398"/>
    <cellStyle name="20% - Accent2 6 2 3" xfId="3399"/>
    <cellStyle name="20% - Accent2 6 2 3 2" xfId="3400"/>
    <cellStyle name="20% - Accent2 6 2 4" xfId="3401"/>
    <cellStyle name="20% - Accent2 6 3" xfId="3402"/>
    <cellStyle name="20% - Accent2 6 3 2" xfId="3403"/>
    <cellStyle name="20% - Accent2 6 3 2 2" xfId="3404"/>
    <cellStyle name="20% - Accent2 6 3 3" xfId="3405"/>
    <cellStyle name="20% - Accent2 6 3 3 2" xfId="3406"/>
    <cellStyle name="20% - Accent2 6 3 4" xfId="3407"/>
    <cellStyle name="20% - Accent2 6 4" xfId="3408"/>
    <cellStyle name="20% - Accent2 6 4 2" xfId="3409"/>
    <cellStyle name="20% - Accent2 6 5" xfId="3410"/>
    <cellStyle name="20% - Accent2 6 5 2" xfId="3411"/>
    <cellStyle name="20% - Accent2 6 6" xfId="3412"/>
    <cellStyle name="20% - Accent2 60" xfId="3413"/>
    <cellStyle name="20% - Accent2 60 2" xfId="3414"/>
    <cellStyle name="20% - Accent2 60 2 2" xfId="3415"/>
    <cellStyle name="20% - Accent2 60 3" xfId="3416"/>
    <cellStyle name="20% - Accent2 60 3 2" xfId="3417"/>
    <cellStyle name="20% - Accent2 60 4" xfId="3418"/>
    <cellStyle name="20% - Accent2 60 5" xfId="3419"/>
    <cellStyle name="20% - Accent2 61" xfId="3420"/>
    <cellStyle name="20% - Accent2 61 2" xfId="3421"/>
    <cellStyle name="20% - Accent2 61 2 2" xfId="3422"/>
    <cellStyle name="20% - Accent2 61 3" xfId="3423"/>
    <cellStyle name="20% - Accent2 61 3 2" xfId="3424"/>
    <cellStyle name="20% - Accent2 61 4" xfId="3425"/>
    <cellStyle name="20% - Accent2 61 5" xfId="3426"/>
    <cellStyle name="20% - Accent2 62" xfId="3427"/>
    <cellStyle name="20% - Accent2 62 2" xfId="3428"/>
    <cellStyle name="20% - Accent2 62 2 2" xfId="3429"/>
    <cellStyle name="20% - Accent2 62 3" xfId="3430"/>
    <cellStyle name="20% - Accent2 62 3 2" xfId="3431"/>
    <cellStyle name="20% - Accent2 62 4" xfId="3432"/>
    <cellStyle name="20% - Accent2 62 5" xfId="3433"/>
    <cellStyle name="20% - Accent2 63" xfId="3434"/>
    <cellStyle name="20% - Accent2 63 2" xfId="3435"/>
    <cellStyle name="20% - Accent2 63 2 2" xfId="3436"/>
    <cellStyle name="20% - Accent2 63 3" xfId="3437"/>
    <cellStyle name="20% - Accent2 63 3 2" xfId="3438"/>
    <cellStyle name="20% - Accent2 63 4" xfId="3439"/>
    <cellStyle name="20% - Accent2 63 5" xfId="3440"/>
    <cellStyle name="20% - Accent2 64" xfId="3441"/>
    <cellStyle name="20% - Accent2 64 2" xfId="3442"/>
    <cellStyle name="20% - Accent2 64 2 2" xfId="3443"/>
    <cellStyle name="20% - Accent2 64 3" xfId="3444"/>
    <cellStyle name="20% - Accent2 64 3 2" xfId="3445"/>
    <cellStyle name="20% - Accent2 64 4" xfId="3446"/>
    <cellStyle name="20% - Accent2 64 5" xfId="3447"/>
    <cellStyle name="20% - Accent2 65" xfId="3448"/>
    <cellStyle name="20% - Accent2 65 2" xfId="3449"/>
    <cellStyle name="20% - Accent2 65 2 2" xfId="3450"/>
    <cellStyle name="20% - Accent2 65 3" xfId="3451"/>
    <cellStyle name="20% - Accent2 65 3 2" xfId="3452"/>
    <cellStyle name="20% - Accent2 65 4" xfId="3453"/>
    <cellStyle name="20% - Accent2 65 5" xfId="3454"/>
    <cellStyle name="20% - Accent2 66" xfId="3455"/>
    <cellStyle name="20% - Accent2 66 2" xfId="3456"/>
    <cellStyle name="20% - Accent2 66 2 2" xfId="3457"/>
    <cellStyle name="20% - Accent2 66 3" xfId="3458"/>
    <cellStyle name="20% - Accent2 66 3 2" xfId="3459"/>
    <cellStyle name="20% - Accent2 66 4" xfId="3460"/>
    <cellStyle name="20% - Accent2 66 5" xfId="3461"/>
    <cellStyle name="20% - Accent2 67" xfId="3462"/>
    <cellStyle name="20% - Accent2 67 2" xfId="3463"/>
    <cellStyle name="20% - Accent2 67 2 2" xfId="3464"/>
    <cellStyle name="20% - Accent2 67 3" xfId="3465"/>
    <cellStyle name="20% - Accent2 67 3 2" xfId="3466"/>
    <cellStyle name="20% - Accent2 67 4" xfId="3467"/>
    <cellStyle name="20% - Accent2 67 5" xfId="3468"/>
    <cellStyle name="20% - Accent2 68" xfId="3469"/>
    <cellStyle name="20% - Accent2 68 2" xfId="3470"/>
    <cellStyle name="20% - Accent2 68 2 2" xfId="3471"/>
    <cellStyle name="20% - Accent2 68 3" xfId="3472"/>
    <cellStyle name="20% - Accent2 68 3 2" xfId="3473"/>
    <cellStyle name="20% - Accent2 68 4" xfId="3474"/>
    <cellStyle name="20% - Accent2 68 5" xfId="3475"/>
    <cellStyle name="20% - Accent2 69" xfId="3476"/>
    <cellStyle name="20% - Accent2 69 2" xfId="3477"/>
    <cellStyle name="20% - Accent2 69 2 2" xfId="3478"/>
    <cellStyle name="20% - Accent2 69 3" xfId="3479"/>
    <cellStyle name="20% - Accent2 69 3 2" xfId="3480"/>
    <cellStyle name="20% - Accent2 69 4" xfId="3481"/>
    <cellStyle name="20% - Accent2 69 5" xfId="3482"/>
    <cellStyle name="20% - Accent2 7" xfId="3483"/>
    <cellStyle name="20% - Accent2 7 2" xfId="3484"/>
    <cellStyle name="20% - Accent2 7 2 2" xfId="3485"/>
    <cellStyle name="20% - Accent2 7 2 2 2" xfId="3486"/>
    <cellStyle name="20% - Accent2 7 2 3" xfId="3487"/>
    <cellStyle name="20% - Accent2 7 2 3 2" xfId="3488"/>
    <cellStyle name="20% - Accent2 7 2 4" xfId="3489"/>
    <cellStyle name="20% - Accent2 7 3" xfId="3490"/>
    <cellStyle name="20% - Accent2 7 3 2" xfId="3491"/>
    <cellStyle name="20% - Accent2 7 3 2 2" xfId="3492"/>
    <cellStyle name="20% - Accent2 7 3 3" xfId="3493"/>
    <cellStyle name="20% - Accent2 7 3 3 2" xfId="3494"/>
    <cellStyle name="20% - Accent2 7 3 4" xfId="3495"/>
    <cellStyle name="20% - Accent2 7 4" xfId="3496"/>
    <cellStyle name="20% - Accent2 7 4 2" xfId="3497"/>
    <cellStyle name="20% - Accent2 7 5" xfId="3498"/>
    <cellStyle name="20% - Accent2 7 5 2" xfId="3499"/>
    <cellStyle name="20% - Accent2 7 6" xfId="3500"/>
    <cellStyle name="20% - Accent2 70" xfId="3501"/>
    <cellStyle name="20% - Accent2 70 2" xfId="3502"/>
    <cellStyle name="20% - Accent2 70 2 2" xfId="3503"/>
    <cellStyle name="20% - Accent2 70 3" xfId="3504"/>
    <cellStyle name="20% - Accent2 70 3 2" xfId="3505"/>
    <cellStyle name="20% - Accent2 70 4" xfId="3506"/>
    <cellStyle name="20% - Accent2 71" xfId="3507"/>
    <cellStyle name="20% - Accent2 71 2" xfId="3508"/>
    <cellStyle name="20% - Accent2 71 2 2" xfId="3509"/>
    <cellStyle name="20% - Accent2 71 3" xfId="3510"/>
    <cellStyle name="20% - Accent2 71 3 2" xfId="3511"/>
    <cellStyle name="20% - Accent2 71 4" xfId="3512"/>
    <cellStyle name="20% - Accent2 72" xfId="3513"/>
    <cellStyle name="20% - Accent2 72 2" xfId="3514"/>
    <cellStyle name="20% - Accent2 72 2 2" xfId="3515"/>
    <cellStyle name="20% - Accent2 72 3" xfId="3516"/>
    <cellStyle name="20% - Accent2 72 3 2" xfId="3517"/>
    <cellStyle name="20% - Accent2 72 4" xfId="3518"/>
    <cellStyle name="20% - Accent2 73" xfId="3519"/>
    <cellStyle name="20% - Accent2 73 2" xfId="3520"/>
    <cellStyle name="20% - Accent2 73 2 2" xfId="3521"/>
    <cellStyle name="20% - Accent2 73 3" xfId="3522"/>
    <cellStyle name="20% - Accent2 73 3 2" xfId="3523"/>
    <cellStyle name="20% - Accent2 73 4" xfId="3524"/>
    <cellStyle name="20% - Accent2 74" xfId="3525"/>
    <cellStyle name="20% - Accent2 74 2" xfId="3526"/>
    <cellStyle name="20% - Accent2 74 2 2" xfId="3527"/>
    <cellStyle name="20% - Accent2 74 3" xfId="3528"/>
    <cellStyle name="20% - Accent2 74 3 2" xfId="3529"/>
    <cellStyle name="20% - Accent2 74 4" xfId="3530"/>
    <cellStyle name="20% - Accent2 75" xfId="3531"/>
    <cellStyle name="20% - Accent2 75 2" xfId="3532"/>
    <cellStyle name="20% - Accent2 75 2 2" xfId="3533"/>
    <cellStyle name="20% - Accent2 75 3" xfId="3534"/>
    <cellStyle name="20% - Accent2 75 3 2" xfId="3535"/>
    <cellStyle name="20% - Accent2 75 4" xfId="3536"/>
    <cellStyle name="20% - Accent2 76" xfId="3537"/>
    <cellStyle name="20% - Accent2 76 2" xfId="3538"/>
    <cellStyle name="20% - Accent2 76 2 2" xfId="3539"/>
    <cellStyle name="20% - Accent2 76 3" xfId="3540"/>
    <cellStyle name="20% - Accent2 76 3 2" xfId="3541"/>
    <cellStyle name="20% - Accent2 76 4" xfId="3542"/>
    <cellStyle name="20% - Accent2 77" xfId="3543"/>
    <cellStyle name="20% - Accent2 77 2" xfId="3544"/>
    <cellStyle name="20% - Accent2 77 2 2" xfId="3545"/>
    <cellStyle name="20% - Accent2 77 3" xfId="3546"/>
    <cellStyle name="20% - Accent2 77 3 2" xfId="3547"/>
    <cellStyle name="20% - Accent2 77 4" xfId="3548"/>
    <cellStyle name="20% - Accent2 78" xfId="3549"/>
    <cellStyle name="20% - Accent2 78 2" xfId="3550"/>
    <cellStyle name="20% - Accent2 78 2 2" xfId="3551"/>
    <cellStyle name="20% - Accent2 78 3" xfId="3552"/>
    <cellStyle name="20% - Accent2 78 3 2" xfId="3553"/>
    <cellStyle name="20% - Accent2 78 4" xfId="3554"/>
    <cellStyle name="20% - Accent2 79" xfId="3555"/>
    <cellStyle name="20% - Accent2 79 2" xfId="3556"/>
    <cellStyle name="20% - Accent2 79 2 2" xfId="3557"/>
    <cellStyle name="20% - Accent2 79 3" xfId="3558"/>
    <cellStyle name="20% - Accent2 79 3 2" xfId="3559"/>
    <cellStyle name="20% - Accent2 79 4" xfId="3560"/>
    <cellStyle name="20% - Accent2 8" xfId="3561"/>
    <cellStyle name="20% - Accent2 8 2" xfId="3562"/>
    <cellStyle name="20% - Accent2 8 2 2" xfId="3563"/>
    <cellStyle name="20% - Accent2 8 2 2 2" xfId="3564"/>
    <cellStyle name="20% - Accent2 8 2 3" xfId="3565"/>
    <cellStyle name="20% - Accent2 8 2 3 2" xfId="3566"/>
    <cellStyle name="20% - Accent2 8 2 4" xfId="3567"/>
    <cellStyle name="20% - Accent2 8 3" xfId="3568"/>
    <cellStyle name="20% - Accent2 8 3 2" xfId="3569"/>
    <cellStyle name="20% - Accent2 8 3 2 2" xfId="3570"/>
    <cellStyle name="20% - Accent2 8 3 3" xfId="3571"/>
    <cellStyle name="20% - Accent2 8 3 3 2" xfId="3572"/>
    <cellStyle name="20% - Accent2 8 3 4" xfId="3573"/>
    <cellStyle name="20% - Accent2 8 4" xfId="3574"/>
    <cellStyle name="20% - Accent2 8 4 2" xfId="3575"/>
    <cellStyle name="20% - Accent2 8 5" xfId="3576"/>
    <cellStyle name="20% - Accent2 8 5 2" xfId="3577"/>
    <cellStyle name="20% - Accent2 8 6" xfId="3578"/>
    <cellStyle name="20% - Accent2 80" xfId="3579"/>
    <cellStyle name="20% - Accent2 80 2" xfId="3580"/>
    <cellStyle name="20% - Accent2 80 2 2" xfId="3581"/>
    <cellStyle name="20% - Accent2 80 3" xfId="3582"/>
    <cellStyle name="20% - Accent2 80 3 2" xfId="3583"/>
    <cellStyle name="20% - Accent2 80 4" xfId="3584"/>
    <cellStyle name="20% - Accent2 81" xfId="3585"/>
    <cellStyle name="20% - Accent2 81 2" xfId="3586"/>
    <cellStyle name="20% - Accent2 81 2 2" xfId="3587"/>
    <cellStyle name="20% - Accent2 81 3" xfId="3588"/>
    <cellStyle name="20% - Accent2 81 3 2" xfId="3589"/>
    <cellStyle name="20% - Accent2 81 4" xfId="3590"/>
    <cellStyle name="20% - Accent2 82" xfId="3591"/>
    <cellStyle name="20% - Accent2 82 2" xfId="3592"/>
    <cellStyle name="20% - Accent2 82 2 2" xfId="3593"/>
    <cellStyle name="20% - Accent2 82 3" xfId="3594"/>
    <cellStyle name="20% - Accent2 82 3 2" xfId="3595"/>
    <cellStyle name="20% - Accent2 82 4" xfId="3596"/>
    <cellStyle name="20% - Accent2 83" xfId="3597"/>
    <cellStyle name="20% - Accent2 83 2" xfId="3598"/>
    <cellStyle name="20% - Accent2 83 2 2" xfId="3599"/>
    <cellStyle name="20% - Accent2 83 3" xfId="3600"/>
    <cellStyle name="20% - Accent2 83 3 2" xfId="3601"/>
    <cellStyle name="20% - Accent2 83 4" xfId="3602"/>
    <cellStyle name="20% - Accent2 84" xfId="3603"/>
    <cellStyle name="20% - Accent2 84 2" xfId="3604"/>
    <cellStyle name="20% - Accent2 84 2 2" xfId="3605"/>
    <cellStyle name="20% - Accent2 84 3" xfId="3606"/>
    <cellStyle name="20% - Accent2 84 3 2" xfId="3607"/>
    <cellStyle name="20% - Accent2 84 4" xfId="3608"/>
    <cellStyle name="20% - Accent2 85" xfId="3609"/>
    <cellStyle name="20% - Accent2 85 2" xfId="3610"/>
    <cellStyle name="20% - Accent2 85 2 2" xfId="3611"/>
    <cellStyle name="20% - Accent2 85 3" xfId="3612"/>
    <cellStyle name="20% - Accent2 85 3 2" xfId="3613"/>
    <cellStyle name="20% - Accent2 85 4" xfId="3614"/>
    <cellStyle name="20% - Accent2 86" xfId="3615"/>
    <cellStyle name="20% - Accent2 86 2" xfId="3616"/>
    <cellStyle name="20% - Accent2 86 2 2" xfId="3617"/>
    <cellStyle name="20% - Accent2 86 3" xfId="3618"/>
    <cellStyle name="20% - Accent2 86 3 2" xfId="3619"/>
    <cellStyle name="20% - Accent2 86 4" xfId="3620"/>
    <cellStyle name="20% - Accent2 87" xfId="3621"/>
    <cellStyle name="20% - Accent2 87 2" xfId="3622"/>
    <cellStyle name="20% - Accent2 87 2 2" xfId="3623"/>
    <cellStyle name="20% - Accent2 87 3" xfId="3624"/>
    <cellStyle name="20% - Accent2 87 3 2" xfId="3625"/>
    <cellStyle name="20% - Accent2 87 4" xfId="3626"/>
    <cellStyle name="20% - Accent2 88" xfId="3627"/>
    <cellStyle name="20% - Accent2 88 2" xfId="3628"/>
    <cellStyle name="20% - Accent2 88 2 2" xfId="3629"/>
    <cellStyle name="20% - Accent2 88 3" xfId="3630"/>
    <cellStyle name="20% - Accent2 88 3 2" xfId="3631"/>
    <cellStyle name="20% - Accent2 88 4" xfId="3632"/>
    <cellStyle name="20% - Accent2 89" xfId="3633"/>
    <cellStyle name="20% - Accent2 89 2" xfId="3634"/>
    <cellStyle name="20% - Accent2 89 2 2" xfId="3635"/>
    <cellStyle name="20% - Accent2 89 3" xfId="3636"/>
    <cellStyle name="20% - Accent2 89 3 2" xfId="3637"/>
    <cellStyle name="20% - Accent2 89 4" xfId="3638"/>
    <cellStyle name="20% - Accent2 9" xfId="3639"/>
    <cellStyle name="20% - Accent2 9 2" xfId="3640"/>
    <cellStyle name="20% - Accent2 9 2 2" xfId="3641"/>
    <cellStyle name="20% - Accent2 9 2 2 2" xfId="3642"/>
    <cellStyle name="20% - Accent2 9 2 3" xfId="3643"/>
    <cellStyle name="20% - Accent2 9 2 3 2" xfId="3644"/>
    <cellStyle name="20% - Accent2 9 2 4" xfId="3645"/>
    <cellStyle name="20% - Accent2 9 3" xfId="3646"/>
    <cellStyle name="20% - Accent2 9 3 2" xfId="3647"/>
    <cellStyle name="20% - Accent2 9 3 2 2" xfId="3648"/>
    <cellStyle name="20% - Accent2 9 3 3" xfId="3649"/>
    <cellStyle name="20% - Accent2 9 3 3 2" xfId="3650"/>
    <cellStyle name="20% - Accent2 9 3 4" xfId="3651"/>
    <cellStyle name="20% - Accent2 9 4" xfId="3652"/>
    <cellStyle name="20% - Accent2 9 4 2" xfId="3653"/>
    <cellStyle name="20% - Accent2 9 5" xfId="3654"/>
    <cellStyle name="20% - Accent2 9 5 2" xfId="3655"/>
    <cellStyle name="20% - Accent2 9 6" xfId="3656"/>
    <cellStyle name="20% - Accent2 90" xfId="3657"/>
    <cellStyle name="20% - Accent2 90 2" xfId="3658"/>
    <cellStyle name="20% - Accent2 90 2 2" xfId="3659"/>
    <cellStyle name="20% - Accent2 90 3" xfId="3660"/>
    <cellStyle name="20% - Accent2 90 3 2" xfId="3661"/>
    <cellStyle name="20% - Accent2 90 4" xfId="3662"/>
    <cellStyle name="20% - Accent2 91" xfId="3663"/>
    <cellStyle name="20% - Accent2 91 2" xfId="3664"/>
    <cellStyle name="20% - Accent2 91 2 2" xfId="3665"/>
    <cellStyle name="20% - Accent2 91 3" xfId="3666"/>
    <cellStyle name="20% - Accent2 91 3 2" xfId="3667"/>
    <cellStyle name="20% - Accent2 91 4" xfId="3668"/>
    <cellStyle name="20% - Accent2 92" xfId="3669"/>
    <cellStyle name="20% - Accent2 92 2" xfId="3670"/>
    <cellStyle name="20% - Accent2 92 2 2" xfId="3671"/>
    <cellStyle name="20% - Accent2 92 3" xfId="3672"/>
    <cellStyle name="20% - Accent2 92 3 2" xfId="3673"/>
    <cellStyle name="20% - Accent2 92 4" xfId="3674"/>
    <cellStyle name="20% - Accent2 93" xfId="3675"/>
    <cellStyle name="20% - Accent2 93 2" xfId="3676"/>
    <cellStyle name="20% - Accent2 93 2 2" xfId="3677"/>
    <cellStyle name="20% - Accent2 93 3" xfId="3678"/>
    <cellStyle name="20% - Accent2 93 3 2" xfId="3679"/>
    <cellStyle name="20% - Accent2 93 4" xfId="3680"/>
    <cellStyle name="20% - Accent2 94" xfId="3681"/>
    <cellStyle name="20% - Accent2 94 2" xfId="3682"/>
    <cellStyle name="20% - Accent2 94 2 2" xfId="3683"/>
    <cellStyle name="20% - Accent2 94 3" xfId="3684"/>
    <cellStyle name="20% - Accent2 94 3 2" xfId="3685"/>
    <cellStyle name="20% - Accent2 94 4" xfId="3686"/>
    <cellStyle name="20% - Accent2 95" xfId="3687"/>
    <cellStyle name="20% - Accent2 95 2" xfId="3688"/>
    <cellStyle name="20% - Accent2 95 2 2" xfId="3689"/>
    <cellStyle name="20% - Accent2 95 3" xfId="3690"/>
    <cellStyle name="20% - Accent2 95 3 2" xfId="3691"/>
    <cellStyle name="20% - Accent2 95 4" xfId="3692"/>
    <cellStyle name="20% - Accent2 96" xfId="3693"/>
    <cellStyle name="20% - Accent2 96 2" xfId="3694"/>
    <cellStyle name="20% - Accent2 96 2 2" xfId="3695"/>
    <cellStyle name="20% - Accent2 96 3" xfId="3696"/>
    <cellStyle name="20% - Accent2 96 3 2" xfId="3697"/>
    <cellStyle name="20% - Accent2 96 4" xfId="3698"/>
    <cellStyle name="20% - Accent2 97" xfId="3699"/>
    <cellStyle name="20% - Accent2 97 2" xfId="3700"/>
    <cellStyle name="20% - Accent2 97 2 2" xfId="3701"/>
    <cellStyle name="20% - Accent2 97 3" xfId="3702"/>
    <cellStyle name="20% - Accent2 97 3 2" xfId="3703"/>
    <cellStyle name="20% - Accent2 97 4" xfId="3704"/>
    <cellStyle name="20% - Accent2 98" xfId="3705"/>
    <cellStyle name="20% - Accent2 98 2" xfId="3706"/>
    <cellStyle name="20% - Accent2 98 2 2" xfId="3707"/>
    <cellStyle name="20% - Accent2 98 3" xfId="3708"/>
    <cellStyle name="20% - Accent2 98 3 2" xfId="3709"/>
    <cellStyle name="20% - Accent2 98 4" xfId="3710"/>
    <cellStyle name="20% - Accent2 99" xfId="3711"/>
    <cellStyle name="20% - Accent2 99 2" xfId="3712"/>
    <cellStyle name="20% - Accent2 99 2 2" xfId="3713"/>
    <cellStyle name="20% - Accent2 99 3" xfId="3714"/>
    <cellStyle name="20% - Accent2 99 3 2" xfId="3715"/>
    <cellStyle name="20% - Accent2 99 4" xfId="3716"/>
    <cellStyle name="20% - Accent3 10" xfId="3717"/>
    <cellStyle name="20% - Accent3 10 2" xfId="3718"/>
    <cellStyle name="20% - Accent3 10 2 2" xfId="3719"/>
    <cellStyle name="20% - Accent3 10 2 2 2" xfId="3720"/>
    <cellStyle name="20% - Accent3 10 2 3" xfId="3721"/>
    <cellStyle name="20% - Accent3 10 2 3 2" xfId="3722"/>
    <cellStyle name="20% - Accent3 10 2 4" xfId="3723"/>
    <cellStyle name="20% - Accent3 10 3" xfId="3724"/>
    <cellStyle name="20% - Accent3 10 3 2" xfId="3725"/>
    <cellStyle name="20% - Accent3 10 3 2 2" xfId="3726"/>
    <cellStyle name="20% - Accent3 10 3 3" xfId="3727"/>
    <cellStyle name="20% - Accent3 10 3 3 2" xfId="3728"/>
    <cellStyle name="20% - Accent3 10 3 4" xfId="3729"/>
    <cellStyle name="20% - Accent3 10 4" xfId="3730"/>
    <cellStyle name="20% - Accent3 10 4 2" xfId="3731"/>
    <cellStyle name="20% - Accent3 10 5" xfId="3732"/>
    <cellStyle name="20% - Accent3 10 5 2" xfId="3733"/>
    <cellStyle name="20% - Accent3 10 6" xfId="3734"/>
    <cellStyle name="20% - Accent3 100" xfId="3735"/>
    <cellStyle name="20% - Accent3 100 2" xfId="3736"/>
    <cellStyle name="20% - Accent3 100 2 2" xfId="3737"/>
    <cellStyle name="20% - Accent3 100 3" xfId="3738"/>
    <cellStyle name="20% - Accent3 100 3 2" xfId="3739"/>
    <cellStyle name="20% - Accent3 100 4" xfId="3740"/>
    <cellStyle name="20% - Accent3 101" xfId="3741"/>
    <cellStyle name="20% - Accent3 101 2" xfId="3742"/>
    <cellStyle name="20% - Accent3 101 2 2" xfId="3743"/>
    <cellStyle name="20% - Accent3 101 3" xfId="3744"/>
    <cellStyle name="20% - Accent3 101 3 2" xfId="3745"/>
    <cellStyle name="20% - Accent3 101 4" xfId="3746"/>
    <cellStyle name="20% - Accent3 102" xfId="3747"/>
    <cellStyle name="20% - Accent3 102 2" xfId="3748"/>
    <cellStyle name="20% - Accent3 102 2 2" xfId="3749"/>
    <cellStyle name="20% - Accent3 102 3" xfId="3750"/>
    <cellStyle name="20% - Accent3 102 3 2" xfId="3751"/>
    <cellStyle name="20% - Accent3 102 4" xfId="3752"/>
    <cellStyle name="20% - Accent3 103" xfId="3753"/>
    <cellStyle name="20% - Accent3 103 2" xfId="3754"/>
    <cellStyle name="20% - Accent3 103 2 2" xfId="3755"/>
    <cellStyle name="20% - Accent3 103 3" xfId="3756"/>
    <cellStyle name="20% - Accent3 103 3 2" xfId="3757"/>
    <cellStyle name="20% - Accent3 103 4" xfId="3758"/>
    <cellStyle name="20% - Accent3 104" xfId="3759"/>
    <cellStyle name="20% - Accent3 104 2" xfId="3760"/>
    <cellStyle name="20% - Accent3 104 2 2" xfId="3761"/>
    <cellStyle name="20% - Accent3 104 3" xfId="3762"/>
    <cellStyle name="20% - Accent3 104 3 2" xfId="3763"/>
    <cellStyle name="20% - Accent3 104 4" xfId="3764"/>
    <cellStyle name="20% - Accent3 105" xfId="3765"/>
    <cellStyle name="20% - Accent3 105 2" xfId="3766"/>
    <cellStyle name="20% - Accent3 105 2 2" xfId="3767"/>
    <cellStyle name="20% - Accent3 105 3" xfId="3768"/>
    <cellStyle name="20% - Accent3 105 3 2" xfId="3769"/>
    <cellStyle name="20% - Accent3 105 4" xfId="3770"/>
    <cellStyle name="20% - Accent3 106" xfId="3771"/>
    <cellStyle name="20% - Accent3 106 2" xfId="3772"/>
    <cellStyle name="20% - Accent3 106 2 2" xfId="3773"/>
    <cellStyle name="20% - Accent3 106 3" xfId="3774"/>
    <cellStyle name="20% - Accent3 106 3 2" xfId="3775"/>
    <cellStyle name="20% - Accent3 106 4" xfId="3776"/>
    <cellStyle name="20% - Accent3 107" xfId="3777"/>
    <cellStyle name="20% - Accent3 107 2" xfId="3778"/>
    <cellStyle name="20% - Accent3 107 2 2" xfId="3779"/>
    <cellStyle name="20% - Accent3 107 3" xfId="3780"/>
    <cellStyle name="20% - Accent3 107 3 2" xfId="3781"/>
    <cellStyle name="20% - Accent3 107 4" xfId="3782"/>
    <cellStyle name="20% - Accent3 108" xfId="3783"/>
    <cellStyle name="20% - Accent3 108 2" xfId="3784"/>
    <cellStyle name="20% - Accent3 108 2 2" xfId="3785"/>
    <cellStyle name="20% - Accent3 108 3" xfId="3786"/>
    <cellStyle name="20% - Accent3 108 3 2" xfId="3787"/>
    <cellStyle name="20% - Accent3 108 4" xfId="3788"/>
    <cellStyle name="20% - Accent3 109" xfId="3789"/>
    <cellStyle name="20% - Accent3 109 2" xfId="3790"/>
    <cellStyle name="20% - Accent3 109 2 2" xfId="3791"/>
    <cellStyle name="20% - Accent3 109 3" xfId="3792"/>
    <cellStyle name="20% - Accent3 109 3 2" xfId="3793"/>
    <cellStyle name="20% - Accent3 109 4" xfId="3794"/>
    <cellStyle name="20% - Accent3 11" xfId="3795"/>
    <cellStyle name="20% - Accent3 11 2" xfId="3796"/>
    <cellStyle name="20% - Accent3 11 2 2" xfId="3797"/>
    <cellStyle name="20% - Accent3 11 2 2 2" xfId="3798"/>
    <cellStyle name="20% - Accent3 11 2 3" xfId="3799"/>
    <cellStyle name="20% - Accent3 11 2 3 2" xfId="3800"/>
    <cellStyle name="20% - Accent3 11 2 4" xfId="3801"/>
    <cellStyle name="20% - Accent3 11 3" xfId="3802"/>
    <cellStyle name="20% - Accent3 11 3 2" xfId="3803"/>
    <cellStyle name="20% - Accent3 11 3 2 2" xfId="3804"/>
    <cellStyle name="20% - Accent3 11 3 3" xfId="3805"/>
    <cellStyle name="20% - Accent3 11 3 3 2" xfId="3806"/>
    <cellStyle name="20% - Accent3 11 3 4" xfId="3807"/>
    <cellStyle name="20% - Accent3 11 4" xfId="3808"/>
    <cellStyle name="20% - Accent3 11 4 2" xfId="3809"/>
    <cellStyle name="20% - Accent3 11 5" xfId="3810"/>
    <cellStyle name="20% - Accent3 11 5 2" xfId="3811"/>
    <cellStyle name="20% - Accent3 11 6" xfId="3812"/>
    <cellStyle name="20% - Accent3 110" xfId="3813"/>
    <cellStyle name="20% - Accent3 110 2" xfId="3814"/>
    <cellStyle name="20% - Accent3 110 2 2" xfId="3815"/>
    <cellStyle name="20% - Accent3 110 3" xfId="3816"/>
    <cellStyle name="20% - Accent3 110 3 2" xfId="3817"/>
    <cellStyle name="20% - Accent3 110 4" xfId="3818"/>
    <cellStyle name="20% - Accent3 111" xfId="3819"/>
    <cellStyle name="20% - Accent3 111 2" xfId="3820"/>
    <cellStyle name="20% - Accent3 111 2 2" xfId="3821"/>
    <cellStyle name="20% - Accent3 111 3" xfId="3822"/>
    <cellStyle name="20% - Accent3 111 3 2" xfId="3823"/>
    <cellStyle name="20% - Accent3 111 4" xfId="3824"/>
    <cellStyle name="20% - Accent3 112" xfId="3825"/>
    <cellStyle name="20% - Accent3 112 2" xfId="3826"/>
    <cellStyle name="20% - Accent3 112 2 2" xfId="3827"/>
    <cellStyle name="20% - Accent3 112 3" xfId="3828"/>
    <cellStyle name="20% - Accent3 112 3 2" xfId="3829"/>
    <cellStyle name="20% - Accent3 112 4" xfId="3830"/>
    <cellStyle name="20% - Accent3 113" xfId="3831"/>
    <cellStyle name="20% - Accent3 113 2" xfId="3832"/>
    <cellStyle name="20% - Accent3 113 2 2" xfId="3833"/>
    <cellStyle name="20% - Accent3 113 3" xfId="3834"/>
    <cellStyle name="20% - Accent3 113 3 2" xfId="3835"/>
    <cellStyle name="20% - Accent3 113 4" xfId="3836"/>
    <cellStyle name="20% - Accent3 114" xfId="3837"/>
    <cellStyle name="20% - Accent3 114 2" xfId="3838"/>
    <cellStyle name="20% - Accent3 114 2 2" xfId="3839"/>
    <cellStyle name="20% - Accent3 114 3" xfId="3840"/>
    <cellStyle name="20% - Accent3 114 3 2" xfId="3841"/>
    <cellStyle name="20% - Accent3 114 4" xfId="3842"/>
    <cellStyle name="20% - Accent3 115" xfId="3843"/>
    <cellStyle name="20% - Accent3 115 2" xfId="3844"/>
    <cellStyle name="20% - Accent3 115 2 2" xfId="3845"/>
    <cellStyle name="20% - Accent3 115 3" xfId="3846"/>
    <cellStyle name="20% - Accent3 115 3 2" xfId="3847"/>
    <cellStyle name="20% - Accent3 115 4" xfId="3848"/>
    <cellStyle name="20% - Accent3 116" xfId="3849"/>
    <cellStyle name="20% - Accent3 116 2" xfId="3850"/>
    <cellStyle name="20% - Accent3 116 2 2" xfId="3851"/>
    <cellStyle name="20% - Accent3 116 3" xfId="3852"/>
    <cellStyle name="20% - Accent3 116 3 2" xfId="3853"/>
    <cellStyle name="20% - Accent3 116 4" xfId="3854"/>
    <cellStyle name="20% - Accent3 117" xfId="3855"/>
    <cellStyle name="20% - Accent3 117 2" xfId="3856"/>
    <cellStyle name="20% - Accent3 117 2 2" xfId="3857"/>
    <cellStyle name="20% - Accent3 117 3" xfId="3858"/>
    <cellStyle name="20% - Accent3 117 3 2" xfId="3859"/>
    <cellStyle name="20% - Accent3 117 4" xfId="3860"/>
    <cellStyle name="20% - Accent3 118" xfId="3861"/>
    <cellStyle name="20% - Accent3 118 2" xfId="3862"/>
    <cellStyle name="20% - Accent3 118 2 2" xfId="3863"/>
    <cellStyle name="20% - Accent3 118 3" xfId="3864"/>
    <cellStyle name="20% - Accent3 118 3 2" xfId="3865"/>
    <cellStyle name="20% - Accent3 118 4" xfId="3866"/>
    <cellStyle name="20% - Accent3 119" xfId="3867"/>
    <cellStyle name="20% - Accent3 119 2" xfId="3868"/>
    <cellStyle name="20% - Accent3 119 2 2" xfId="3869"/>
    <cellStyle name="20% - Accent3 119 3" xfId="3870"/>
    <cellStyle name="20% - Accent3 119 3 2" xfId="3871"/>
    <cellStyle name="20% - Accent3 119 4" xfId="3872"/>
    <cellStyle name="20% - Accent3 12" xfId="3873"/>
    <cellStyle name="20% - Accent3 12 2" xfId="3874"/>
    <cellStyle name="20% - Accent3 12 2 2" xfId="3875"/>
    <cellStyle name="20% - Accent3 12 2 2 2" xfId="3876"/>
    <cellStyle name="20% - Accent3 12 2 3" xfId="3877"/>
    <cellStyle name="20% - Accent3 12 2 3 2" xfId="3878"/>
    <cellStyle name="20% - Accent3 12 2 4" xfId="3879"/>
    <cellStyle name="20% - Accent3 12 3" xfId="3880"/>
    <cellStyle name="20% - Accent3 12 3 2" xfId="3881"/>
    <cellStyle name="20% - Accent3 12 3 2 2" xfId="3882"/>
    <cellStyle name="20% - Accent3 12 3 3" xfId="3883"/>
    <cellStyle name="20% - Accent3 12 3 3 2" xfId="3884"/>
    <cellStyle name="20% - Accent3 12 3 4" xfId="3885"/>
    <cellStyle name="20% - Accent3 12 4" xfId="3886"/>
    <cellStyle name="20% - Accent3 12 4 2" xfId="3887"/>
    <cellStyle name="20% - Accent3 12 5" xfId="3888"/>
    <cellStyle name="20% - Accent3 12 5 2" xfId="3889"/>
    <cellStyle name="20% - Accent3 12 6" xfId="3890"/>
    <cellStyle name="20% - Accent3 120" xfId="3891"/>
    <cellStyle name="20% - Accent3 120 2" xfId="3892"/>
    <cellStyle name="20% - Accent3 120 2 2" xfId="3893"/>
    <cellStyle name="20% - Accent3 120 3" xfId="3894"/>
    <cellStyle name="20% - Accent3 120 3 2" xfId="3895"/>
    <cellStyle name="20% - Accent3 120 4" xfId="3896"/>
    <cellStyle name="20% - Accent3 121" xfId="3897"/>
    <cellStyle name="20% - Accent3 121 2" xfId="3898"/>
    <cellStyle name="20% - Accent3 121 2 2" xfId="3899"/>
    <cellStyle name="20% - Accent3 121 3" xfId="3900"/>
    <cellStyle name="20% - Accent3 121 3 2" xfId="3901"/>
    <cellStyle name="20% - Accent3 121 4" xfId="3902"/>
    <cellStyle name="20% - Accent3 122" xfId="3903"/>
    <cellStyle name="20% - Accent3 122 2" xfId="3904"/>
    <cellStyle name="20% - Accent3 122 2 2" xfId="3905"/>
    <cellStyle name="20% - Accent3 122 3" xfId="3906"/>
    <cellStyle name="20% - Accent3 122 3 2" xfId="3907"/>
    <cellStyle name="20% - Accent3 122 4" xfId="3908"/>
    <cellStyle name="20% - Accent3 123" xfId="3909"/>
    <cellStyle name="20% - Accent3 123 2" xfId="3910"/>
    <cellStyle name="20% - Accent3 123 2 2" xfId="3911"/>
    <cellStyle name="20% - Accent3 123 3" xfId="3912"/>
    <cellStyle name="20% - Accent3 123 3 2" xfId="3913"/>
    <cellStyle name="20% - Accent3 123 4" xfId="3914"/>
    <cellStyle name="20% - Accent3 124" xfId="3915"/>
    <cellStyle name="20% - Accent3 124 2" xfId="3916"/>
    <cellStyle name="20% - Accent3 124 2 2" xfId="3917"/>
    <cellStyle name="20% - Accent3 124 3" xfId="3918"/>
    <cellStyle name="20% - Accent3 124 3 2" xfId="3919"/>
    <cellStyle name="20% - Accent3 124 4" xfId="3920"/>
    <cellStyle name="20% - Accent3 125" xfId="3921"/>
    <cellStyle name="20% - Accent3 125 2" xfId="3922"/>
    <cellStyle name="20% - Accent3 125 2 2" xfId="3923"/>
    <cellStyle name="20% - Accent3 125 3" xfId="3924"/>
    <cellStyle name="20% - Accent3 125 3 2" xfId="3925"/>
    <cellStyle name="20% - Accent3 125 4" xfId="3926"/>
    <cellStyle name="20% - Accent3 126" xfId="3927"/>
    <cellStyle name="20% - Accent3 126 2" xfId="3928"/>
    <cellStyle name="20% - Accent3 126 2 2" xfId="3929"/>
    <cellStyle name="20% - Accent3 126 3" xfId="3930"/>
    <cellStyle name="20% - Accent3 126 3 2" xfId="3931"/>
    <cellStyle name="20% - Accent3 126 4" xfId="3932"/>
    <cellStyle name="20% - Accent3 127" xfId="3933"/>
    <cellStyle name="20% - Accent3 127 2" xfId="3934"/>
    <cellStyle name="20% - Accent3 127 2 2" xfId="3935"/>
    <cellStyle name="20% - Accent3 127 3" xfId="3936"/>
    <cellStyle name="20% - Accent3 127 3 2" xfId="3937"/>
    <cellStyle name="20% - Accent3 127 4" xfId="3938"/>
    <cellStyle name="20% - Accent3 128" xfId="3939"/>
    <cellStyle name="20% - Accent3 128 2" xfId="3940"/>
    <cellStyle name="20% - Accent3 128 2 2" xfId="3941"/>
    <cellStyle name="20% - Accent3 128 3" xfId="3942"/>
    <cellStyle name="20% - Accent3 128 3 2" xfId="3943"/>
    <cellStyle name="20% - Accent3 128 4" xfId="3944"/>
    <cellStyle name="20% - Accent3 129" xfId="3945"/>
    <cellStyle name="20% - Accent3 129 2" xfId="3946"/>
    <cellStyle name="20% - Accent3 129 2 2" xfId="3947"/>
    <cellStyle name="20% - Accent3 129 3" xfId="3948"/>
    <cellStyle name="20% - Accent3 129 3 2" xfId="3949"/>
    <cellStyle name="20% - Accent3 129 4" xfId="3950"/>
    <cellStyle name="20% - Accent3 13" xfId="3951"/>
    <cellStyle name="20% - Accent3 13 2" xfId="3952"/>
    <cellStyle name="20% - Accent3 13 2 2" xfId="3953"/>
    <cellStyle name="20% - Accent3 13 2 2 2" xfId="3954"/>
    <cellStyle name="20% - Accent3 13 2 3" xfId="3955"/>
    <cellStyle name="20% - Accent3 13 2 3 2" xfId="3956"/>
    <cellStyle name="20% - Accent3 13 2 4" xfId="3957"/>
    <cellStyle name="20% - Accent3 13 3" xfId="3958"/>
    <cellStyle name="20% - Accent3 13 3 2" xfId="3959"/>
    <cellStyle name="20% - Accent3 13 3 2 2" xfId="3960"/>
    <cellStyle name="20% - Accent3 13 3 3" xfId="3961"/>
    <cellStyle name="20% - Accent3 13 3 3 2" xfId="3962"/>
    <cellStyle name="20% - Accent3 13 3 4" xfId="3963"/>
    <cellStyle name="20% - Accent3 13 4" xfId="3964"/>
    <cellStyle name="20% - Accent3 13 4 2" xfId="3965"/>
    <cellStyle name="20% - Accent3 13 5" xfId="3966"/>
    <cellStyle name="20% - Accent3 13 5 2" xfId="3967"/>
    <cellStyle name="20% - Accent3 13 6" xfId="3968"/>
    <cellStyle name="20% - Accent3 130" xfId="3969"/>
    <cellStyle name="20% - Accent3 130 2" xfId="3970"/>
    <cellStyle name="20% - Accent3 130 2 2" xfId="3971"/>
    <cellStyle name="20% - Accent3 130 3" xfId="3972"/>
    <cellStyle name="20% - Accent3 130 3 2" xfId="3973"/>
    <cellStyle name="20% - Accent3 130 4" xfId="3974"/>
    <cellStyle name="20% - Accent3 131" xfId="3975"/>
    <cellStyle name="20% - Accent3 131 2" xfId="3976"/>
    <cellStyle name="20% - Accent3 131 2 2" xfId="3977"/>
    <cellStyle name="20% - Accent3 131 3" xfId="3978"/>
    <cellStyle name="20% - Accent3 131 3 2" xfId="3979"/>
    <cellStyle name="20% - Accent3 131 4" xfId="3980"/>
    <cellStyle name="20% - Accent3 132" xfId="3981"/>
    <cellStyle name="20% - Accent3 132 2" xfId="3982"/>
    <cellStyle name="20% - Accent3 132 2 2" xfId="3983"/>
    <cellStyle name="20% - Accent3 132 3" xfId="3984"/>
    <cellStyle name="20% - Accent3 132 3 2" xfId="3985"/>
    <cellStyle name="20% - Accent3 132 4" xfId="3986"/>
    <cellStyle name="20% - Accent3 133" xfId="3987"/>
    <cellStyle name="20% - Accent3 133 2" xfId="3988"/>
    <cellStyle name="20% - Accent3 133 2 2" xfId="3989"/>
    <cellStyle name="20% - Accent3 133 3" xfId="3990"/>
    <cellStyle name="20% - Accent3 133 3 2" xfId="3991"/>
    <cellStyle name="20% - Accent3 133 4" xfId="3992"/>
    <cellStyle name="20% - Accent3 134" xfId="3993"/>
    <cellStyle name="20% - Accent3 134 2" xfId="3994"/>
    <cellStyle name="20% - Accent3 134 2 2" xfId="3995"/>
    <cellStyle name="20% - Accent3 134 3" xfId="3996"/>
    <cellStyle name="20% - Accent3 134 3 2" xfId="3997"/>
    <cellStyle name="20% - Accent3 134 4" xfId="3998"/>
    <cellStyle name="20% - Accent3 135" xfId="3999"/>
    <cellStyle name="20% - Accent3 135 2" xfId="4000"/>
    <cellStyle name="20% - Accent3 135 2 2" xfId="4001"/>
    <cellStyle name="20% - Accent3 135 3" xfId="4002"/>
    <cellStyle name="20% - Accent3 135 3 2" xfId="4003"/>
    <cellStyle name="20% - Accent3 135 4" xfId="4004"/>
    <cellStyle name="20% - Accent3 136" xfId="4005"/>
    <cellStyle name="20% - Accent3 136 2" xfId="4006"/>
    <cellStyle name="20% - Accent3 136 2 2" xfId="4007"/>
    <cellStyle name="20% - Accent3 136 3" xfId="4008"/>
    <cellStyle name="20% - Accent3 136 3 2" xfId="4009"/>
    <cellStyle name="20% - Accent3 136 4" xfId="4010"/>
    <cellStyle name="20% - Accent3 137" xfId="4011"/>
    <cellStyle name="20% - Accent3 137 2" xfId="4012"/>
    <cellStyle name="20% - Accent3 137 2 2" xfId="4013"/>
    <cellStyle name="20% - Accent3 137 3" xfId="4014"/>
    <cellStyle name="20% - Accent3 137 3 2" xfId="4015"/>
    <cellStyle name="20% - Accent3 137 4" xfId="4016"/>
    <cellStyle name="20% - Accent3 138" xfId="4017"/>
    <cellStyle name="20% - Accent3 138 2" xfId="4018"/>
    <cellStyle name="20% - Accent3 138 2 2" xfId="4019"/>
    <cellStyle name="20% - Accent3 138 3" xfId="4020"/>
    <cellStyle name="20% - Accent3 138 3 2" xfId="4021"/>
    <cellStyle name="20% - Accent3 138 4" xfId="4022"/>
    <cellStyle name="20% - Accent3 139" xfId="4023"/>
    <cellStyle name="20% - Accent3 139 2" xfId="4024"/>
    <cellStyle name="20% - Accent3 139 2 2" xfId="4025"/>
    <cellStyle name="20% - Accent3 139 3" xfId="4026"/>
    <cellStyle name="20% - Accent3 139 3 2" xfId="4027"/>
    <cellStyle name="20% - Accent3 139 4" xfId="4028"/>
    <cellStyle name="20% - Accent3 14" xfId="4029"/>
    <cellStyle name="20% - Accent3 14 2" xfId="4030"/>
    <cellStyle name="20% - Accent3 14 2 2" xfId="4031"/>
    <cellStyle name="20% - Accent3 14 2 2 2" xfId="4032"/>
    <cellStyle name="20% - Accent3 14 2 3" xfId="4033"/>
    <cellStyle name="20% - Accent3 14 2 3 2" xfId="4034"/>
    <cellStyle name="20% - Accent3 14 2 4" xfId="4035"/>
    <cellStyle name="20% - Accent3 14 3" xfId="4036"/>
    <cellStyle name="20% - Accent3 14 3 2" xfId="4037"/>
    <cellStyle name="20% - Accent3 14 3 2 2" xfId="4038"/>
    <cellStyle name="20% - Accent3 14 3 3" xfId="4039"/>
    <cellStyle name="20% - Accent3 14 3 3 2" xfId="4040"/>
    <cellStyle name="20% - Accent3 14 3 4" xfId="4041"/>
    <cellStyle name="20% - Accent3 14 4" xfId="4042"/>
    <cellStyle name="20% - Accent3 14 4 2" xfId="4043"/>
    <cellStyle name="20% - Accent3 14 5" xfId="4044"/>
    <cellStyle name="20% - Accent3 14 5 2" xfId="4045"/>
    <cellStyle name="20% - Accent3 14 6" xfId="4046"/>
    <cellStyle name="20% - Accent3 140" xfId="4047"/>
    <cellStyle name="20% - Accent3 140 2" xfId="4048"/>
    <cellStyle name="20% - Accent3 140 2 2" xfId="4049"/>
    <cellStyle name="20% - Accent3 140 3" xfId="4050"/>
    <cellStyle name="20% - Accent3 140 3 2" xfId="4051"/>
    <cellStyle name="20% - Accent3 140 4" xfId="4052"/>
    <cellStyle name="20% - Accent3 141" xfId="4053"/>
    <cellStyle name="20% - Accent3 141 2" xfId="4054"/>
    <cellStyle name="20% - Accent3 141 2 2" xfId="4055"/>
    <cellStyle name="20% - Accent3 141 3" xfId="4056"/>
    <cellStyle name="20% - Accent3 141 3 2" xfId="4057"/>
    <cellStyle name="20% - Accent3 141 4" xfId="4058"/>
    <cellStyle name="20% - Accent3 142" xfId="4059"/>
    <cellStyle name="20% - Accent3 142 2" xfId="4060"/>
    <cellStyle name="20% - Accent3 142 2 2" xfId="4061"/>
    <cellStyle name="20% - Accent3 142 3" xfId="4062"/>
    <cellStyle name="20% - Accent3 142 3 2" xfId="4063"/>
    <cellStyle name="20% - Accent3 142 4" xfId="4064"/>
    <cellStyle name="20% - Accent3 143" xfId="4065"/>
    <cellStyle name="20% - Accent3 143 2" xfId="4066"/>
    <cellStyle name="20% - Accent3 143 2 2" xfId="4067"/>
    <cellStyle name="20% - Accent3 143 3" xfId="4068"/>
    <cellStyle name="20% - Accent3 143 3 2" xfId="4069"/>
    <cellStyle name="20% - Accent3 143 4" xfId="4070"/>
    <cellStyle name="20% - Accent3 144" xfId="4071"/>
    <cellStyle name="20% - Accent3 144 2" xfId="4072"/>
    <cellStyle name="20% - Accent3 144 2 2" xfId="4073"/>
    <cellStyle name="20% - Accent3 144 3" xfId="4074"/>
    <cellStyle name="20% - Accent3 144 3 2" xfId="4075"/>
    <cellStyle name="20% - Accent3 144 4" xfId="4076"/>
    <cellStyle name="20% - Accent3 145" xfId="4077"/>
    <cellStyle name="20% - Accent3 145 2" xfId="4078"/>
    <cellStyle name="20% - Accent3 145 2 2" xfId="4079"/>
    <cellStyle name="20% - Accent3 145 3" xfId="4080"/>
    <cellStyle name="20% - Accent3 145 3 2" xfId="4081"/>
    <cellStyle name="20% - Accent3 145 4" xfId="4082"/>
    <cellStyle name="20% - Accent3 146" xfId="4083"/>
    <cellStyle name="20% - Accent3 146 2" xfId="4084"/>
    <cellStyle name="20% - Accent3 146 2 2" xfId="4085"/>
    <cellStyle name="20% - Accent3 146 3" xfId="4086"/>
    <cellStyle name="20% - Accent3 146 3 2" xfId="4087"/>
    <cellStyle name="20% - Accent3 146 4" xfId="4088"/>
    <cellStyle name="20% - Accent3 147" xfId="4089"/>
    <cellStyle name="20% - Accent3 147 2" xfId="4090"/>
    <cellStyle name="20% - Accent3 147 2 2" xfId="4091"/>
    <cellStyle name="20% - Accent3 147 3" xfId="4092"/>
    <cellStyle name="20% - Accent3 147 3 2" xfId="4093"/>
    <cellStyle name="20% - Accent3 147 4" xfId="4094"/>
    <cellStyle name="20% - Accent3 148" xfId="4095"/>
    <cellStyle name="20% - Accent3 148 2" xfId="4096"/>
    <cellStyle name="20% - Accent3 148 2 2" xfId="4097"/>
    <cellStyle name="20% - Accent3 148 3" xfId="4098"/>
    <cellStyle name="20% - Accent3 148 3 2" xfId="4099"/>
    <cellStyle name="20% - Accent3 148 4" xfId="4100"/>
    <cellStyle name="20% - Accent3 149" xfId="4101"/>
    <cellStyle name="20% - Accent3 149 2" xfId="4102"/>
    <cellStyle name="20% - Accent3 149 2 2" xfId="4103"/>
    <cellStyle name="20% - Accent3 149 3" xfId="4104"/>
    <cellStyle name="20% - Accent3 149 3 2" xfId="4105"/>
    <cellStyle name="20% - Accent3 149 4" xfId="4106"/>
    <cellStyle name="20% - Accent3 15" xfId="4107"/>
    <cellStyle name="20% - Accent3 15 2" xfId="4108"/>
    <cellStyle name="20% - Accent3 15 2 2" xfId="4109"/>
    <cellStyle name="20% - Accent3 15 2 2 2" xfId="4110"/>
    <cellStyle name="20% - Accent3 15 2 3" xfId="4111"/>
    <cellStyle name="20% - Accent3 15 2 3 2" xfId="4112"/>
    <cellStyle name="20% - Accent3 15 2 4" xfId="4113"/>
    <cellStyle name="20% - Accent3 15 3" xfId="4114"/>
    <cellStyle name="20% - Accent3 15 3 2" xfId="4115"/>
    <cellStyle name="20% - Accent3 15 3 2 2" xfId="4116"/>
    <cellStyle name="20% - Accent3 15 3 3" xfId="4117"/>
    <cellStyle name="20% - Accent3 15 3 3 2" xfId="4118"/>
    <cellStyle name="20% - Accent3 15 3 4" xfId="4119"/>
    <cellStyle name="20% - Accent3 15 4" xfId="4120"/>
    <cellStyle name="20% - Accent3 15 4 2" xfId="4121"/>
    <cellStyle name="20% - Accent3 15 5" xfId="4122"/>
    <cellStyle name="20% - Accent3 15 5 2" xfId="4123"/>
    <cellStyle name="20% - Accent3 15 6" xfId="4124"/>
    <cellStyle name="20% - Accent3 150" xfId="4125"/>
    <cellStyle name="20% - Accent3 150 2" xfId="4126"/>
    <cellStyle name="20% - Accent3 150 2 2" xfId="4127"/>
    <cellStyle name="20% - Accent3 150 3" xfId="4128"/>
    <cellStyle name="20% - Accent3 150 3 2" xfId="4129"/>
    <cellStyle name="20% - Accent3 150 4" xfId="4130"/>
    <cellStyle name="20% - Accent3 151" xfId="4131"/>
    <cellStyle name="20% - Accent3 151 2" xfId="4132"/>
    <cellStyle name="20% - Accent3 151 2 2" xfId="4133"/>
    <cellStyle name="20% - Accent3 151 3" xfId="4134"/>
    <cellStyle name="20% - Accent3 151 3 2" xfId="4135"/>
    <cellStyle name="20% - Accent3 151 4" xfId="4136"/>
    <cellStyle name="20% - Accent3 152" xfId="4137"/>
    <cellStyle name="20% - Accent3 152 2" xfId="4138"/>
    <cellStyle name="20% - Accent3 152 2 2" xfId="4139"/>
    <cellStyle name="20% - Accent3 152 3" xfId="4140"/>
    <cellStyle name="20% - Accent3 152 3 2" xfId="4141"/>
    <cellStyle name="20% - Accent3 152 4" xfId="4142"/>
    <cellStyle name="20% - Accent3 153" xfId="4143"/>
    <cellStyle name="20% - Accent3 153 2" xfId="4144"/>
    <cellStyle name="20% - Accent3 153 2 2" xfId="4145"/>
    <cellStyle name="20% - Accent3 153 3" xfId="4146"/>
    <cellStyle name="20% - Accent3 153 3 2" xfId="4147"/>
    <cellStyle name="20% - Accent3 153 4" xfId="4148"/>
    <cellStyle name="20% - Accent3 154" xfId="4149"/>
    <cellStyle name="20% - Accent3 154 2" xfId="4150"/>
    <cellStyle name="20% - Accent3 154 2 2" xfId="4151"/>
    <cellStyle name="20% - Accent3 154 3" xfId="4152"/>
    <cellStyle name="20% - Accent3 154 3 2" xfId="4153"/>
    <cellStyle name="20% - Accent3 154 4" xfId="4154"/>
    <cellStyle name="20% - Accent3 155" xfId="4155"/>
    <cellStyle name="20% - Accent3 155 2" xfId="4156"/>
    <cellStyle name="20% - Accent3 155 2 2" xfId="4157"/>
    <cellStyle name="20% - Accent3 155 3" xfId="4158"/>
    <cellStyle name="20% - Accent3 155 3 2" xfId="4159"/>
    <cellStyle name="20% - Accent3 155 4" xfId="4160"/>
    <cellStyle name="20% - Accent3 156" xfId="4161"/>
    <cellStyle name="20% - Accent3 156 2" xfId="4162"/>
    <cellStyle name="20% - Accent3 156 2 2" xfId="4163"/>
    <cellStyle name="20% - Accent3 156 3" xfId="4164"/>
    <cellStyle name="20% - Accent3 156 3 2" xfId="4165"/>
    <cellStyle name="20% - Accent3 156 4" xfId="4166"/>
    <cellStyle name="20% - Accent3 157" xfId="4167"/>
    <cellStyle name="20% - Accent3 157 2" xfId="4168"/>
    <cellStyle name="20% - Accent3 157 2 2" xfId="4169"/>
    <cellStyle name="20% - Accent3 157 3" xfId="4170"/>
    <cellStyle name="20% - Accent3 157 3 2" xfId="4171"/>
    <cellStyle name="20% - Accent3 157 4" xfId="4172"/>
    <cellStyle name="20% - Accent3 158" xfId="4173"/>
    <cellStyle name="20% - Accent3 158 2" xfId="4174"/>
    <cellStyle name="20% - Accent3 158 2 2" xfId="4175"/>
    <cellStyle name="20% - Accent3 158 3" xfId="4176"/>
    <cellStyle name="20% - Accent3 158 3 2" xfId="4177"/>
    <cellStyle name="20% - Accent3 158 4" xfId="4178"/>
    <cellStyle name="20% - Accent3 159" xfId="4179"/>
    <cellStyle name="20% - Accent3 159 2" xfId="4180"/>
    <cellStyle name="20% - Accent3 159 2 2" xfId="4181"/>
    <cellStyle name="20% - Accent3 159 3" xfId="4182"/>
    <cellStyle name="20% - Accent3 159 3 2" xfId="4183"/>
    <cellStyle name="20% - Accent3 159 4" xfId="4184"/>
    <cellStyle name="20% - Accent3 16" xfId="4185"/>
    <cellStyle name="20% - Accent3 16 2" xfId="4186"/>
    <cellStyle name="20% - Accent3 16 2 2" xfId="4187"/>
    <cellStyle name="20% - Accent3 16 2 2 2" xfId="4188"/>
    <cellStyle name="20% - Accent3 16 2 3" xfId="4189"/>
    <cellStyle name="20% - Accent3 16 2 3 2" xfId="4190"/>
    <cellStyle name="20% - Accent3 16 2 4" xfId="4191"/>
    <cellStyle name="20% - Accent3 16 3" xfId="4192"/>
    <cellStyle name="20% - Accent3 16 3 2" xfId="4193"/>
    <cellStyle name="20% - Accent3 16 3 2 2" xfId="4194"/>
    <cellStyle name="20% - Accent3 16 3 3" xfId="4195"/>
    <cellStyle name="20% - Accent3 16 3 3 2" xfId="4196"/>
    <cellStyle name="20% - Accent3 16 3 4" xfId="4197"/>
    <cellStyle name="20% - Accent3 16 4" xfId="4198"/>
    <cellStyle name="20% - Accent3 16 4 2" xfId="4199"/>
    <cellStyle name="20% - Accent3 16 5" xfId="4200"/>
    <cellStyle name="20% - Accent3 16 5 2" xfId="4201"/>
    <cellStyle name="20% - Accent3 16 6" xfId="4202"/>
    <cellStyle name="20% - Accent3 160" xfId="4203"/>
    <cellStyle name="20% - Accent3 160 2" xfId="4204"/>
    <cellStyle name="20% - Accent3 160 2 2" xfId="4205"/>
    <cellStyle name="20% - Accent3 160 3" xfId="4206"/>
    <cellStyle name="20% - Accent3 160 3 2" xfId="4207"/>
    <cellStyle name="20% - Accent3 160 4" xfId="4208"/>
    <cellStyle name="20% - Accent3 161" xfId="4209"/>
    <cellStyle name="20% - Accent3 161 2" xfId="4210"/>
    <cellStyle name="20% - Accent3 161 2 2" xfId="4211"/>
    <cellStyle name="20% - Accent3 161 3" xfId="4212"/>
    <cellStyle name="20% - Accent3 161 3 2" xfId="4213"/>
    <cellStyle name="20% - Accent3 161 4" xfId="4214"/>
    <cellStyle name="20% - Accent3 162" xfId="4215"/>
    <cellStyle name="20% - Accent3 162 2" xfId="4216"/>
    <cellStyle name="20% - Accent3 162 2 2" xfId="4217"/>
    <cellStyle name="20% - Accent3 162 3" xfId="4218"/>
    <cellStyle name="20% - Accent3 162 3 2" xfId="4219"/>
    <cellStyle name="20% - Accent3 162 4" xfId="4220"/>
    <cellStyle name="20% - Accent3 163" xfId="4221"/>
    <cellStyle name="20% - Accent3 163 2" xfId="4222"/>
    <cellStyle name="20% - Accent3 163 2 2" xfId="4223"/>
    <cellStyle name="20% - Accent3 163 3" xfId="4224"/>
    <cellStyle name="20% - Accent3 163 3 2" xfId="4225"/>
    <cellStyle name="20% - Accent3 163 4" xfId="4226"/>
    <cellStyle name="20% - Accent3 164" xfId="4227"/>
    <cellStyle name="20% - Accent3 164 2" xfId="4228"/>
    <cellStyle name="20% - Accent3 164 2 2" xfId="4229"/>
    <cellStyle name="20% - Accent3 164 3" xfId="4230"/>
    <cellStyle name="20% - Accent3 164 3 2" xfId="4231"/>
    <cellStyle name="20% - Accent3 164 4" xfId="4232"/>
    <cellStyle name="20% - Accent3 165" xfId="4233"/>
    <cellStyle name="20% - Accent3 165 2" xfId="4234"/>
    <cellStyle name="20% - Accent3 165 2 2" xfId="4235"/>
    <cellStyle name="20% - Accent3 165 3" xfId="4236"/>
    <cellStyle name="20% - Accent3 165 3 2" xfId="4237"/>
    <cellStyle name="20% - Accent3 165 4" xfId="4238"/>
    <cellStyle name="20% - Accent3 166" xfId="4239"/>
    <cellStyle name="20% - Accent3 166 2" xfId="4240"/>
    <cellStyle name="20% - Accent3 166 2 2" xfId="4241"/>
    <cellStyle name="20% - Accent3 166 3" xfId="4242"/>
    <cellStyle name="20% - Accent3 166 3 2" xfId="4243"/>
    <cellStyle name="20% - Accent3 166 4" xfId="4244"/>
    <cellStyle name="20% - Accent3 167" xfId="4245"/>
    <cellStyle name="20% - Accent3 167 2" xfId="4246"/>
    <cellStyle name="20% - Accent3 167 2 2" xfId="4247"/>
    <cellStyle name="20% - Accent3 167 3" xfId="4248"/>
    <cellStyle name="20% - Accent3 167 3 2" xfId="4249"/>
    <cellStyle name="20% - Accent3 167 4" xfId="4250"/>
    <cellStyle name="20% - Accent3 168" xfId="4251"/>
    <cellStyle name="20% - Accent3 168 2" xfId="4252"/>
    <cellStyle name="20% - Accent3 168 2 2" xfId="4253"/>
    <cellStyle name="20% - Accent3 168 3" xfId="4254"/>
    <cellStyle name="20% - Accent3 168 3 2" xfId="4255"/>
    <cellStyle name="20% - Accent3 168 4" xfId="4256"/>
    <cellStyle name="20% - Accent3 169" xfId="4257"/>
    <cellStyle name="20% - Accent3 169 2" xfId="4258"/>
    <cellStyle name="20% - Accent3 169 2 2" xfId="4259"/>
    <cellStyle name="20% - Accent3 169 3" xfId="4260"/>
    <cellStyle name="20% - Accent3 169 3 2" xfId="4261"/>
    <cellStyle name="20% - Accent3 169 4" xfId="4262"/>
    <cellStyle name="20% - Accent3 17" xfId="4263"/>
    <cellStyle name="20% - Accent3 17 2" xfId="4264"/>
    <cellStyle name="20% - Accent3 17 2 2" xfId="4265"/>
    <cellStyle name="20% - Accent3 17 2 2 2" xfId="4266"/>
    <cellStyle name="20% - Accent3 17 2 3" xfId="4267"/>
    <cellStyle name="20% - Accent3 17 2 3 2" xfId="4268"/>
    <cellStyle name="20% - Accent3 17 2 4" xfId="4269"/>
    <cellStyle name="20% - Accent3 17 3" xfId="4270"/>
    <cellStyle name="20% - Accent3 17 3 2" xfId="4271"/>
    <cellStyle name="20% - Accent3 17 3 2 2" xfId="4272"/>
    <cellStyle name="20% - Accent3 17 3 3" xfId="4273"/>
    <cellStyle name="20% - Accent3 17 3 3 2" xfId="4274"/>
    <cellStyle name="20% - Accent3 17 3 4" xfId="4275"/>
    <cellStyle name="20% - Accent3 17 4" xfId="4276"/>
    <cellStyle name="20% - Accent3 17 4 2" xfId="4277"/>
    <cellStyle name="20% - Accent3 17 5" xfId="4278"/>
    <cellStyle name="20% - Accent3 17 5 2" xfId="4279"/>
    <cellStyle name="20% - Accent3 17 6" xfId="4280"/>
    <cellStyle name="20% - Accent3 170" xfId="4281"/>
    <cellStyle name="20% - Accent3 170 2" xfId="4282"/>
    <cellStyle name="20% - Accent3 170 2 2" xfId="4283"/>
    <cellStyle name="20% - Accent3 170 3" xfId="4284"/>
    <cellStyle name="20% - Accent3 170 3 2" xfId="4285"/>
    <cellStyle name="20% - Accent3 170 4" xfId="4286"/>
    <cellStyle name="20% - Accent3 171" xfId="4287"/>
    <cellStyle name="20% - Accent3 171 2" xfId="4288"/>
    <cellStyle name="20% - Accent3 171 2 2" xfId="4289"/>
    <cellStyle name="20% - Accent3 171 3" xfId="4290"/>
    <cellStyle name="20% - Accent3 171 3 2" xfId="4291"/>
    <cellStyle name="20% - Accent3 171 4" xfId="4292"/>
    <cellStyle name="20% - Accent3 172" xfId="4293"/>
    <cellStyle name="20% - Accent3 172 2" xfId="4294"/>
    <cellStyle name="20% - Accent3 172 2 2" xfId="4295"/>
    <cellStyle name="20% - Accent3 172 3" xfId="4296"/>
    <cellStyle name="20% - Accent3 172 3 2" xfId="4297"/>
    <cellStyle name="20% - Accent3 172 4" xfId="4298"/>
    <cellStyle name="20% - Accent3 173" xfId="4299"/>
    <cellStyle name="20% - Accent3 173 2" xfId="4300"/>
    <cellStyle name="20% - Accent3 173 2 2" xfId="4301"/>
    <cellStyle name="20% - Accent3 173 3" xfId="4302"/>
    <cellStyle name="20% - Accent3 173 3 2" xfId="4303"/>
    <cellStyle name="20% - Accent3 173 4" xfId="4304"/>
    <cellStyle name="20% - Accent3 174" xfId="4305"/>
    <cellStyle name="20% - Accent3 174 2" xfId="4306"/>
    <cellStyle name="20% - Accent3 174 2 2" xfId="4307"/>
    <cellStyle name="20% - Accent3 174 3" xfId="4308"/>
    <cellStyle name="20% - Accent3 174 3 2" xfId="4309"/>
    <cellStyle name="20% - Accent3 174 4" xfId="4310"/>
    <cellStyle name="20% - Accent3 175" xfId="4311"/>
    <cellStyle name="20% - Accent3 175 2" xfId="4312"/>
    <cellStyle name="20% - Accent3 175 2 2" xfId="4313"/>
    <cellStyle name="20% - Accent3 175 3" xfId="4314"/>
    <cellStyle name="20% - Accent3 175 3 2" xfId="4315"/>
    <cellStyle name="20% - Accent3 175 4" xfId="4316"/>
    <cellStyle name="20% - Accent3 176" xfId="4317"/>
    <cellStyle name="20% - Accent3 176 2" xfId="4318"/>
    <cellStyle name="20% - Accent3 176 2 2" xfId="4319"/>
    <cellStyle name="20% - Accent3 176 3" xfId="4320"/>
    <cellStyle name="20% - Accent3 176 3 2" xfId="4321"/>
    <cellStyle name="20% - Accent3 176 4" xfId="4322"/>
    <cellStyle name="20% - Accent3 177" xfId="4323"/>
    <cellStyle name="20% - Accent3 177 2" xfId="4324"/>
    <cellStyle name="20% - Accent3 177 2 2" xfId="4325"/>
    <cellStyle name="20% - Accent3 177 3" xfId="4326"/>
    <cellStyle name="20% - Accent3 177 3 2" xfId="4327"/>
    <cellStyle name="20% - Accent3 177 4" xfId="4328"/>
    <cellStyle name="20% - Accent3 178" xfId="4329"/>
    <cellStyle name="20% - Accent3 178 2" xfId="4330"/>
    <cellStyle name="20% - Accent3 178 2 2" xfId="4331"/>
    <cellStyle name="20% - Accent3 178 3" xfId="4332"/>
    <cellStyle name="20% - Accent3 178 3 2" xfId="4333"/>
    <cellStyle name="20% - Accent3 178 4" xfId="4334"/>
    <cellStyle name="20% - Accent3 179" xfId="4335"/>
    <cellStyle name="20% - Accent3 179 2" xfId="4336"/>
    <cellStyle name="20% - Accent3 179 2 2" xfId="4337"/>
    <cellStyle name="20% - Accent3 179 3" xfId="4338"/>
    <cellStyle name="20% - Accent3 179 3 2" xfId="4339"/>
    <cellStyle name="20% - Accent3 179 4" xfId="4340"/>
    <cellStyle name="20% - Accent3 18" xfId="4341"/>
    <cellStyle name="20% - Accent3 18 2" xfId="4342"/>
    <cellStyle name="20% - Accent3 18 2 2" xfId="4343"/>
    <cellStyle name="20% - Accent3 18 2 2 2" xfId="4344"/>
    <cellStyle name="20% - Accent3 18 2 3" xfId="4345"/>
    <cellStyle name="20% - Accent3 18 2 3 2" xfId="4346"/>
    <cellStyle name="20% - Accent3 18 2 4" xfId="4347"/>
    <cellStyle name="20% - Accent3 18 3" xfId="4348"/>
    <cellStyle name="20% - Accent3 18 3 2" xfId="4349"/>
    <cellStyle name="20% - Accent3 18 3 2 2" xfId="4350"/>
    <cellStyle name="20% - Accent3 18 3 3" xfId="4351"/>
    <cellStyle name="20% - Accent3 18 3 3 2" xfId="4352"/>
    <cellStyle name="20% - Accent3 18 3 4" xfId="4353"/>
    <cellStyle name="20% - Accent3 18 4" xfId="4354"/>
    <cellStyle name="20% - Accent3 18 4 2" xfId="4355"/>
    <cellStyle name="20% - Accent3 18 5" xfId="4356"/>
    <cellStyle name="20% - Accent3 18 5 2" xfId="4357"/>
    <cellStyle name="20% - Accent3 18 6" xfId="4358"/>
    <cellStyle name="20% - Accent3 180" xfId="4359"/>
    <cellStyle name="20% - Accent3 180 2" xfId="4360"/>
    <cellStyle name="20% - Accent3 180 2 2" xfId="4361"/>
    <cellStyle name="20% - Accent3 180 3" xfId="4362"/>
    <cellStyle name="20% - Accent3 180 3 2" xfId="4363"/>
    <cellStyle name="20% - Accent3 180 4" xfId="4364"/>
    <cellStyle name="20% - Accent3 181" xfId="4365"/>
    <cellStyle name="20% - Accent3 181 2" xfId="4366"/>
    <cellStyle name="20% - Accent3 181 2 2" xfId="4367"/>
    <cellStyle name="20% - Accent3 181 3" xfId="4368"/>
    <cellStyle name="20% - Accent3 181 3 2" xfId="4369"/>
    <cellStyle name="20% - Accent3 181 4" xfId="4370"/>
    <cellStyle name="20% - Accent3 182" xfId="4371"/>
    <cellStyle name="20% - Accent3 182 2" xfId="4372"/>
    <cellStyle name="20% - Accent3 182 2 2" xfId="4373"/>
    <cellStyle name="20% - Accent3 182 3" xfId="4374"/>
    <cellStyle name="20% - Accent3 182 3 2" xfId="4375"/>
    <cellStyle name="20% - Accent3 182 4" xfId="4376"/>
    <cellStyle name="20% - Accent3 183" xfId="4377"/>
    <cellStyle name="20% - Accent3 183 2" xfId="4378"/>
    <cellStyle name="20% - Accent3 183 2 2" xfId="4379"/>
    <cellStyle name="20% - Accent3 183 3" xfId="4380"/>
    <cellStyle name="20% - Accent3 183 3 2" xfId="4381"/>
    <cellStyle name="20% - Accent3 183 4" xfId="4382"/>
    <cellStyle name="20% - Accent3 184" xfId="4383"/>
    <cellStyle name="20% - Accent3 184 2" xfId="4384"/>
    <cellStyle name="20% - Accent3 184 2 2" xfId="4385"/>
    <cellStyle name="20% - Accent3 184 3" xfId="4386"/>
    <cellStyle name="20% - Accent3 184 3 2" xfId="4387"/>
    <cellStyle name="20% - Accent3 184 4" xfId="4388"/>
    <cellStyle name="20% - Accent3 185" xfId="4389"/>
    <cellStyle name="20% - Accent3 185 2" xfId="4390"/>
    <cellStyle name="20% - Accent3 185 2 2" xfId="4391"/>
    <cellStyle name="20% - Accent3 185 3" xfId="4392"/>
    <cellStyle name="20% - Accent3 185 3 2" xfId="4393"/>
    <cellStyle name="20% - Accent3 185 4" xfId="4394"/>
    <cellStyle name="20% - Accent3 186" xfId="4395"/>
    <cellStyle name="20% - Accent3 186 2" xfId="4396"/>
    <cellStyle name="20% - Accent3 186 2 2" xfId="4397"/>
    <cellStyle name="20% - Accent3 186 3" xfId="4398"/>
    <cellStyle name="20% - Accent3 186 3 2" xfId="4399"/>
    <cellStyle name="20% - Accent3 186 4" xfId="4400"/>
    <cellStyle name="20% - Accent3 187" xfId="4401"/>
    <cellStyle name="20% - Accent3 187 2" xfId="4402"/>
    <cellStyle name="20% - Accent3 187 2 2" xfId="4403"/>
    <cellStyle name="20% - Accent3 187 3" xfId="4404"/>
    <cellStyle name="20% - Accent3 187 3 2" xfId="4405"/>
    <cellStyle name="20% - Accent3 187 4" xfId="4406"/>
    <cellStyle name="20% - Accent3 188" xfId="4407"/>
    <cellStyle name="20% - Accent3 188 2" xfId="4408"/>
    <cellStyle name="20% - Accent3 188 2 2" xfId="4409"/>
    <cellStyle name="20% - Accent3 188 3" xfId="4410"/>
    <cellStyle name="20% - Accent3 188 3 2" xfId="4411"/>
    <cellStyle name="20% - Accent3 188 4" xfId="4412"/>
    <cellStyle name="20% - Accent3 189" xfId="4413"/>
    <cellStyle name="20% - Accent3 189 2" xfId="4414"/>
    <cellStyle name="20% - Accent3 189 2 2" xfId="4415"/>
    <cellStyle name="20% - Accent3 189 3" xfId="4416"/>
    <cellStyle name="20% - Accent3 189 3 2" xfId="4417"/>
    <cellStyle name="20% - Accent3 189 4" xfId="4418"/>
    <cellStyle name="20% - Accent3 19" xfId="4419"/>
    <cellStyle name="20% - Accent3 19 2" xfId="4420"/>
    <cellStyle name="20% - Accent3 19 2 2" xfId="4421"/>
    <cellStyle name="20% - Accent3 19 2 2 2" xfId="4422"/>
    <cellStyle name="20% - Accent3 19 2 3" xfId="4423"/>
    <cellStyle name="20% - Accent3 19 2 3 2" xfId="4424"/>
    <cellStyle name="20% - Accent3 19 2 4" xfId="4425"/>
    <cellStyle name="20% - Accent3 19 3" xfId="4426"/>
    <cellStyle name="20% - Accent3 19 3 2" xfId="4427"/>
    <cellStyle name="20% - Accent3 19 3 2 2" xfId="4428"/>
    <cellStyle name="20% - Accent3 19 3 3" xfId="4429"/>
    <cellStyle name="20% - Accent3 19 3 3 2" xfId="4430"/>
    <cellStyle name="20% - Accent3 19 3 4" xfId="4431"/>
    <cellStyle name="20% - Accent3 19 4" xfId="4432"/>
    <cellStyle name="20% - Accent3 19 4 2" xfId="4433"/>
    <cellStyle name="20% - Accent3 19 5" xfId="4434"/>
    <cellStyle name="20% - Accent3 19 5 2" xfId="4435"/>
    <cellStyle name="20% - Accent3 19 6" xfId="4436"/>
    <cellStyle name="20% - Accent3 190" xfId="4437"/>
    <cellStyle name="20% - Accent3 190 2" xfId="4438"/>
    <cellStyle name="20% - Accent3 190 2 2" xfId="4439"/>
    <cellStyle name="20% - Accent3 190 3" xfId="4440"/>
    <cellStyle name="20% - Accent3 190 3 2" xfId="4441"/>
    <cellStyle name="20% - Accent3 190 4" xfId="4442"/>
    <cellStyle name="20% - Accent3 191" xfId="4443"/>
    <cellStyle name="20% - Accent3 191 2" xfId="4444"/>
    <cellStyle name="20% - Accent3 191 2 2" xfId="4445"/>
    <cellStyle name="20% - Accent3 191 3" xfId="4446"/>
    <cellStyle name="20% - Accent3 191 3 2" xfId="4447"/>
    <cellStyle name="20% - Accent3 191 4" xfId="4448"/>
    <cellStyle name="20% - Accent3 192" xfId="4449"/>
    <cellStyle name="20% - Accent3 192 2" xfId="4450"/>
    <cellStyle name="20% - Accent3 192 2 2" xfId="4451"/>
    <cellStyle name="20% - Accent3 192 3" xfId="4452"/>
    <cellStyle name="20% - Accent3 192 3 2" xfId="4453"/>
    <cellStyle name="20% - Accent3 192 4" xfId="4454"/>
    <cellStyle name="20% - Accent3 193" xfId="4455"/>
    <cellStyle name="20% - Accent3 193 2" xfId="4456"/>
    <cellStyle name="20% - Accent3 193 2 2" xfId="4457"/>
    <cellStyle name="20% - Accent3 193 3" xfId="4458"/>
    <cellStyle name="20% - Accent3 193 3 2" xfId="4459"/>
    <cellStyle name="20% - Accent3 193 4" xfId="4460"/>
    <cellStyle name="20% - Accent3 194" xfId="4461"/>
    <cellStyle name="20% - Accent3 194 2" xfId="4462"/>
    <cellStyle name="20% - Accent3 194 2 2" xfId="4463"/>
    <cellStyle name="20% - Accent3 194 3" xfId="4464"/>
    <cellStyle name="20% - Accent3 194 3 2" xfId="4465"/>
    <cellStyle name="20% - Accent3 194 4" xfId="4466"/>
    <cellStyle name="20% - Accent3 195" xfId="4467"/>
    <cellStyle name="20% - Accent3 195 2" xfId="4468"/>
    <cellStyle name="20% - Accent3 195 2 2" xfId="4469"/>
    <cellStyle name="20% - Accent3 195 3" xfId="4470"/>
    <cellStyle name="20% - Accent3 195 3 2" xfId="4471"/>
    <cellStyle name="20% - Accent3 195 4" xfId="4472"/>
    <cellStyle name="20% - Accent3 196" xfId="4473"/>
    <cellStyle name="20% - Accent3 196 2" xfId="4474"/>
    <cellStyle name="20% - Accent3 196 2 2" xfId="4475"/>
    <cellStyle name="20% - Accent3 196 3" xfId="4476"/>
    <cellStyle name="20% - Accent3 196 3 2" xfId="4477"/>
    <cellStyle name="20% - Accent3 196 4" xfId="4478"/>
    <cellStyle name="20% - Accent3 197" xfId="4479"/>
    <cellStyle name="20% - Accent3 197 2" xfId="4480"/>
    <cellStyle name="20% - Accent3 197 2 2" xfId="4481"/>
    <cellStyle name="20% - Accent3 197 3" xfId="4482"/>
    <cellStyle name="20% - Accent3 197 3 2" xfId="4483"/>
    <cellStyle name="20% - Accent3 197 4" xfId="4484"/>
    <cellStyle name="20% - Accent3 198" xfId="4485"/>
    <cellStyle name="20% - Accent3 198 2" xfId="4486"/>
    <cellStyle name="20% - Accent3 198 2 2" xfId="4487"/>
    <cellStyle name="20% - Accent3 198 3" xfId="4488"/>
    <cellStyle name="20% - Accent3 198 3 2" xfId="4489"/>
    <cellStyle name="20% - Accent3 198 4" xfId="4490"/>
    <cellStyle name="20% - Accent3 199" xfId="4491"/>
    <cellStyle name="20% - Accent3 199 2" xfId="4492"/>
    <cellStyle name="20% - Accent3 199 2 2" xfId="4493"/>
    <cellStyle name="20% - Accent3 199 3" xfId="4494"/>
    <cellStyle name="20% - Accent3 199 3 2" xfId="4495"/>
    <cellStyle name="20% - Accent3 199 4" xfId="4496"/>
    <cellStyle name="20% - Accent3 2" xfId="4497"/>
    <cellStyle name="20% - Accent3 2 2" xfId="4498"/>
    <cellStyle name="20% - Accent3 2 2 2" xfId="4499"/>
    <cellStyle name="20% - Accent3 2 2 2 2" xfId="4500"/>
    <cellStyle name="20% - Accent3 2 2 3" xfId="4501"/>
    <cellStyle name="20% - Accent3 2 2 3 2" xfId="4502"/>
    <cellStyle name="20% - Accent3 2 2 4" xfId="4503"/>
    <cellStyle name="20% - Accent3 2 3" xfId="4504"/>
    <cellStyle name="20% - Accent3 2 3 2" xfId="4505"/>
    <cellStyle name="20% - Accent3 2 3 2 2" xfId="4506"/>
    <cellStyle name="20% - Accent3 2 3 3" xfId="4507"/>
    <cellStyle name="20% - Accent3 2 3 3 2" xfId="4508"/>
    <cellStyle name="20% - Accent3 2 3 4" xfId="4509"/>
    <cellStyle name="20% - Accent3 2 4" xfId="4510"/>
    <cellStyle name="20% - Accent3 2 4 2" xfId="4511"/>
    <cellStyle name="20% - Accent3 2 5" xfId="4512"/>
    <cellStyle name="20% - Accent3 2 5 2" xfId="4513"/>
    <cellStyle name="20% - Accent3 2 6" xfId="4514"/>
    <cellStyle name="20% - Accent3 20" xfId="4515"/>
    <cellStyle name="20% - Accent3 20 2" xfId="4516"/>
    <cellStyle name="20% - Accent3 20 2 2" xfId="4517"/>
    <cellStyle name="20% - Accent3 20 2 2 2" xfId="4518"/>
    <cellStyle name="20% - Accent3 20 2 3" xfId="4519"/>
    <cellStyle name="20% - Accent3 20 2 3 2" xfId="4520"/>
    <cellStyle name="20% - Accent3 20 2 4" xfId="4521"/>
    <cellStyle name="20% - Accent3 20 3" xfId="4522"/>
    <cellStyle name="20% - Accent3 20 3 2" xfId="4523"/>
    <cellStyle name="20% - Accent3 20 3 2 2" xfId="4524"/>
    <cellStyle name="20% - Accent3 20 3 3" xfId="4525"/>
    <cellStyle name="20% - Accent3 20 3 3 2" xfId="4526"/>
    <cellStyle name="20% - Accent3 20 3 4" xfId="4527"/>
    <cellStyle name="20% - Accent3 20 4" xfId="4528"/>
    <cellStyle name="20% - Accent3 20 4 2" xfId="4529"/>
    <cellStyle name="20% - Accent3 20 5" xfId="4530"/>
    <cellStyle name="20% - Accent3 20 5 2" xfId="4531"/>
    <cellStyle name="20% - Accent3 20 6" xfId="4532"/>
    <cellStyle name="20% - Accent3 200" xfId="4533"/>
    <cellStyle name="20% - Accent3 200 2" xfId="4534"/>
    <cellStyle name="20% - Accent3 200 2 2" xfId="4535"/>
    <cellStyle name="20% - Accent3 200 3" xfId="4536"/>
    <cellStyle name="20% - Accent3 200 3 2" xfId="4537"/>
    <cellStyle name="20% - Accent3 200 4" xfId="4538"/>
    <cellStyle name="20% - Accent3 201" xfId="4539"/>
    <cellStyle name="20% - Accent3 201 2" xfId="4540"/>
    <cellStyle name="20% - Accent3 201 2 2" xfId="4541"/>
    <cellStyle name="20% - Accent3 201 3" xfId="4542"/>
    <cellStyle name="20% - Accent3 201 3 2" xfId="4543"/>
    <cellStyle name="20% - Accent3 201 4" xfId="4544"/>
    <cellStyle name="20% - Accent3 202" xfId="4545"/>
    <cellStyle name="20% - Accent3 202 2" xfId="4546"/>
    <cellStyle name="20% - Accent3 202 2 2" xfId="4547"/>
    <cellStyle name="20% - Accent3 202 3" xfId="4548"/>
    <cellStyle name="20% - Accent3 202 3 2" xfId="4549"/>
    <cellStyle name="20% - Accent3 202 4" xfId="4550"/>
    <cellStyle name="20% - Accent3 203" xfId="4551"/>
    <cellStyle name="20% - Accent3 203 2" xfId="4552"/>
    <cellStyle name="20% - Accent3 203 2 2" xfId="4553"/>
    <cellStyle name="20% - Accent3 203 3" xfId="4554"/>
    <cellStyle name="20% - Accent3 203 3 2" xfId="4555"/>
    <cellStyle name="20% - Accent3 203 4" xfId="4556"/>
    <cellStyle name="20% - Accent3 204" xfId="4557"/>
    <cellStyle name="20% - Accent3 204 2" xfId="4558"/>
    <cellStyle name="20% - Accent3 204 2 2" xfId="4559"/>
    <cellStyle name="20% - Accent3 204 3" xfId="4560"/>
    <cellStyle name="20% - Accent3 204 3 2" xfId="4561"/>
    <cellStyle name="20% - Accent3 204 4" xfId="4562"/>
    <cellStyle name="20% - Accent3 205" xfId="4563"/>
    <cellStyle name="20% - Accent3 205 2" xfId="4564"/>
    <cellStyle name="20% - Accent3 205 2 2" xfId="4565"/>
    <cellStyle name="20% - Accent3 205 3" xfId="4566"/>
    <cellStyle name="20% - Accent3 205 3 2" xfId="4567"/>
    <cellStyle name="20% - Accent3 205 4" xfId="4568"/>
    <cellStyle name="20% - Accent3 206" xfId="4569"/>
    <cellStyle name="20% - Accent3 206 2" xfId="4570"/>
    <cellStyle name="20% - Accent3 206 2 2" xfId="4571"/>
    <cellStyle name="20% - Accent3 206 3" xfId="4572"/>
    <cellStyle name="20% - Accent3 206 3 2" xfId="4573"/>
    <cellStyle name="20% - Accent3 206 4" xfId="4574"/>
    <cellStyle name="20% - Accent3 207" xfId="4575"/>
    <cellStyle name="20% - Accent3 207 2" xfId="4576"/>
    <cellStyle name="20% - Accent3 207 2 2" xfId="4577"/>
    <cellStyle name="20% - Accent3 207 3" xfId="4578"/>
    <cellStyle name="20% - Accent3 207 3 2" xfId="4579"/>
    <cellStyle name="20% - Accent3 207 4" xfId="4580"/>
    <cellStyle name="20% - Accent3 208" xfId="4581"/>
    <cellStyle name="20% - Accent3 208 2" xfId="4582"/>
    <cellStyle name="20% - Accent3 208 2 2" xfId="4583"/>
    <cellStyle name="20% - Accent3 208 3" xfId="4584"/>
    <cellStyle name="20% - Accent3 208 3 2" xfId="4585"/>
    <cellStyle name="20% - Accent3 208 4" xfId="4586"/>
    <cellStyle name="20% - Accent3 209" xfId="4587"/>
    <cellStyle name="20% - Accent3 209 2" xfId="4588"/>
    <cellStyle name="20% - Accent3 209 2 2" xfId="4589"/>
    <cellStyle name="20% - Accent3 209 3" xfId="4590"/>
    <cellStyle name="20% - Accent3 209 3 2" xfId="4591"/>
    <cellStyle name="20% - Accent3 209 4" xfId="4592"/>
    <cellStyle name="20% - Accent3 21" xfId="4593"/>
    <cellStyle name="20% - Accent3 21 2" xfId="4594"/>
    <cellStyle name="20% - Accent3 21 2 2" xfId="4595"/>
    <cellStyle name="20% - Accent3 21 2 2 2" xfId="4596"/>
    <cellStyle name="20% - Accent3 21 2 3" xfId="4597"/>
    <cellStyle name="20% - Accent3 21 2 3 2" xfId="4598"/>
    <cellStyle name="20% - Accent3 21 2 4" xfId="4599"/>
    <cellStyle name="20% - Accent3 21 3" xfId="4600"/>
    <cellStyle name="20% - Accent3 21 3 2" xfId="4601"/>
    <cellStyle name="20% - Accent3 21 3 2 2" xfId="4602"/>
    <cellStyle name="20% - Accent3 21 3 3" xfId="4603"/>
    <cellStyle name="20% - Accent3 21 3 3 2" xfId="4604"/>
    <cellStyle name="20% - Accent3 21 3 4" xfId="4605"/>
    <cellStyle name="20% - Accent3 21 4" xfId="4606"/>
    <cellStyle name="20% - Accent3 21 4 2" xfId="4607"/>
    <cellStyle name="20% - Accent3 21 5" xfId="4608"/>
    <cellStyle name="20% - Accent3 21 5 2" xfId="4609"/>
    <cellStyle name="20% - Accent3 21 6" xfId="4610"/>
    <cellStyle name="20% - Accent3 210" xfId="4611"/>
    <cellStyle name="20% - Accent3 210 2" xfId="4612"/>
    <cellStyle name="20% - Accent3 210 2 2" xfId="4613"/>
    <cellStyle name="20% - Accent3 210 3" xfId="4614"/>
    <cellStyle name="20% - Accent3 210 3 2" xfId="4615"/>
    <cellStyle name="20% - Accent3 210 4" xfId="4616"/>
    <cellStyle name="20% - Accent3 211" xfId="4617"/>
    <cellStyle name="20% - Accent3 211 2" xfId="4618"/>
    <cellStyle name="20% - Accent3 211 2 2" xfId="4619"/>
    <cellStyle name="20% - Accent3 211 3" xfId="4620"/>
    <cellStyle name="20% - Accent3 211 3 2" xfId="4621"/>
    <cellStyle name="20% - Accent3 211 4" xfId="4622"/>
    <cellStyle name="20% - Accent3 212" xfId="4623"/>
    <cellStyle name="20% - Accent3 212 2" xfId="4624"/>
    <cellStyle name="20% - Accent3 212 2 2" xfId="4625"/>
    <cellStyle name="20% - Accent3 212 3" xfId="4626"/>
    <cellStyle name="20% - Accent3 212 3 2" xfId="4627"/>
    <cellStyle name="20% - Accent3 212 4" xfId="4628"/>
    <cellStyle name="20% - Accent3 213" xfId="4629"/>
    <cellStyle name="20% - Accent3 213 2" xfId="4630"/>
    <cellStyle name="20% - Accent3 213 2 2" xfId="4631"/>
    <cellStyle name="20% - Accent3 213 3" xfId="4632"/>
    <cellStyle name="20% - Accent3 213 3 2" xfId="4633"/>
    <cellStyle name="20% - Accent3 213 4" xfId="4634"/>
    <cellStyle name="20% - Accent3 214" xfId="4635"/>
    <cellStyle name="20% - Accent3 214 2" xfId="4636"/>
    <cellStyle name="20% - Accent3 214 2 2" xfId="4637"/>
    <cellStyle name="20% - Accent3 214 3" xfId="4638"/>
    <cellStyle name="20% - Accent3 214 3 2" xfId="4639"/>
    <cellStyle name="20% - Accent3 214 4" xfId="4640"/>
    <cellStyle name="20% - Accent3 215" xfId="4641"/>
    <cellStyle name="20% - Accent3 215 2" xfId="4642"/>
    <cellStyle name="20% - Accent3 215 2 2" xfId="4643"/>
    <cellStyle name="20% - Accent3 215 3" xfId="4644"/>
    <cellStyle name="20% - Accent3 215 3 2" xfId="4645"/>
    <cellStyle name="20% - Accent3 215 4" xfId="4646"/>
    <cellStyle name="20% - Accent3 216" xfId="4647"/>
    <cellStyle name="20% - Accent3 216 2" xfId="4648"/>
    <cellStyle name="20% - Accent3 216 2 2" xfId="4649"/>
    <cellStyle name="20% - Accent3 216 3" xfId="4650"/>
    <cellStyle name="20% - Accent3 216 3 2" xfId="4651"/>
    <cellStyle name="20% - Accent3 216 4" xfId="4652"/>
    <cellStyle name="20% - Accent3 217" xfId="4653"/>
    <cellStyle name="20% - Accent3 217 2" xfId="4654"/>
    <cellStyle name="20% - Accent3 217 2 2" xfId="4655"/>
    <cellStyle name="20% - Accent3 217 3" xfId="4656"/>
    <cellStyle name="20% - Accent3 217 3 2" xfId="4657"/>
    <cellStyle name="20% - Accent3 217 4" xfId="4658"/>
    <cellStyle name="20% - Accent3 218" xfId="4659"/>
    <cellStyle name="20% - Accent3 218 2" xfId="4660"/>
    <cellStyle name="20% - Accent3 218 2 2" xfId="4661"/>
    <cellStyle name="20% - Accent3 218 3" xfId="4662"/>
    <cellStyle name="20% - Accent3 218 3 2" xfId="4663"/>
    <cellStyle name="20% - Accent3 218 4" xfId="4664"/>
    <cellStyle name="20% - Accent3 219" xfId="4665"/>
    <cellStyle name="20% - Accent3 219 2" xfId="4666"/>
    <cellStyle name="20% - Accent3 219 2 2" xfId="4667"/>
    <cellStyle name="20% - Accent3 219 3" xfId="4668"/>
    <cellStyle name="20% - Accent3 219 3 2" xfId="4669"/>
    <cellStyle name="20% - Accent3 219 4" xfId="4670"/>
    <cellStyle name="20% - Accent3 22" xfId="4671"/>
    <cellStyle name="20% - Accent3 22 2" xfId="4672"/>
    <cellStyle name="20% - Accent3 22 2 2" xfId="4673"/>
    <cellStyle name="20% - Accent3 22 2 2 2" xfId="4674"/>
    <cellStyle name="20% - Accent3 22 2 3" xfId="4675"/>
    <cellStyle name="20% - Accent3 22 2 3 2" xfId="4676"/>
    <cellStyle name="20% - Accent3 22 2 4" xfId="4677"/>
    <cellStyle name="20% - Accent3 22 3" xfId="4678"/>
    <cellStyle name="20% - Accent3 22 3 2" xfId="4679"/>
    <cellStyle name="20% - Accent3 22 3 2 2" xfId="4680"/>
    <cellStyle name="20% - Accent3 22 3 3" xfId="4681"/>
    <cellStyle name="20% - Accent3 22 3 3 2" xfId="4682"/>
    <cellStyle name="20% - Accent3 22 3 4" xfId="4683"/>
    <cellStyle name="20% - Accent3 22 4" xfId="4684"/>
    <cellStyle name="20% - Accent3 22 4 2" xfId="4685"/>
    <cellStyle name="20% - Accent3 22 5" xfId="4686"/>
    <cellStyle name="20% - Accent3 22 5 2" xfId="4687"/>
    <cellStyle name="20% - Accent3 22 6" xfId="4688"/>
    <cellStyle name="20% - Accent3 220" xfId="4689"/>
    <cellStyle name="20% - Accent3 220 2" xfId="4690"/>
    <cellStyle name="20% - Accent3 220 2 2" xfId="4691"/>
    <cellStyle name="20% - Accent3 220 3" xfId="4692"/>
    <cellStyle name="20% - Accent3 220 3 2" xfId="4693"/>
    <cellStyle name="20% - Accent3 220 4" xfId="4694"/>
    <cellStyle name="20% - Accent3 221" xfId="4695"/>
    <cellStyle name="20% - Accent3 221 2" xfId="4696"/>
    <cellStyle name="20% - Accent3 221 2 2" xfId="4697"/>
    <cellStyle name="20% - Accent3 221 3" xfId="4698"/>
    <cellStyle name="20% - Accent3 221 3 2" xfId="4699"/>
    <cellStyle name="20% - Accent3 221 4" xfId="4700"/>
    <cellStyle name="20% - Accent3 222" xfId="4701"/>
    <cellStyle name="20% - Accent3 222 2" xfId="4702"/>
    <cellStyle name="20% - Accent3 223" xfId="4703"/>
    <cellStyle name="20% - Accent3 223 2" xfId="4704"/>
    <cellStyle name="20% - Accent3 224" xfId="4705"/>
    <cellStyle name="20% - Accent3 23" xfId="4706"/>
    <cellStyle name="20% - Accent3 23 2" xfId="4707"/>
    <cellStyle name="20% - Accent3 23 2 2" xfId="4708"/>
    <cellStyle name="20% - Accent3 23 2 2 2" xfId="4709"/>
    <cellStyle name="20% - Accent3 23 2 3" xfId="4710"/>
    <cellStyle name="20% - Accent3 23 2 3 2" xfId="4711"/>
    <cellStyle name="20% - Accent3 23 2 4" xfId="4712"/>
    <cellStyle name="20% - Accent3 23 3" xfId="4713"/>
    <cellStyle name="20% - Accent3 23 3 2" xfId="4714"/>
    <cellStyle name="20% - Accent3 23 3 2 2" xfId="4715"/>
    <cellStyle name="20% - Accent3 23 3 3" xfId="4716"/>
    <cellStyle name="20% - Accent3 23 3 3 2" xfId="4717"/>
    <cellStyle name="20% - Accent3 23 3 4" xfId="4718"/>
    <cellStyle name="20% - Accent3 23 4" xfId="4719"/>
    <cellStyle name="20% - Accent3 23 4 2" xfId="4720"/>
    <cellStyle name="20% - Accent3 23 5" xfId="4721"/>
    <cellStyle name="20% - Accent3 23 5 2" xfId="4722"/>
    <cellStyle name="20% - Accent3 23 6" xfId="4723"/>
    <cellStyle name="20% - Accent3 24" xfId="4724"/>
    <cellStyle name="20% - Accent3 24 2" xfId="4725"/>
    <cellStyle name="20% - Accent3 24 2 2" xfId="4726"/>
    <cellStyle name="20% - Accent3 24 2 2 2" xfId="4727"/>
    <cellStyle name="20% - Accent3 24 2 3" xfId="4728"/>
    <cellStyle name="20% - Accent3 24 2 3 2" xfId="4729"/>
    <cellStyle name="20% - Accent3 24 2 4" xfId="4730"/>
    <cellStyle name="20% - Accent3 24 3" xfId="4731"/>
    <cellStyle name="20% - Accent3 24 3 2" xfId="4732"/>
    <cellStyle name="20% - Accent3 24 3 2 2" xfId="4733"/>
    <cellStyle name="20% - Accent3 24 3 3" xfId="4734"/>
    <cellStyle name="20% - Accent3 24 3 3 2" xfId="4735"/>
    <cellStyle name="20% - Accent3 24 3 4" xfId="4736"/>
    <cellStyle name="20% - Accent3 24 4" xfId="4737"/>
    <cellStyle name="20% - Accent3 24 4 2" xfId="4738"/>
    <cellStyle name="20% - Accent3 24 5" xfId="4739"/>
    <cellStyle name="20% - Accent3 24 5 2" xfId="4740"/>
    <cellStyle name="20% - Accent3 24 6" xfId="4741"/>
    <cellStyle name="20% - Accent3 24 7" xfId="4742"/>
    <cellStyle name="20% - Accent3 25" xfId="4743"/>
    <cellStyle name="20% - Accent3 25 2" xfId="4744"/>
    <cellStyle name="20% - Accent3 25 2 2" xfId="4745"/>
    <cellStyle name="20% - Accent3 25 2 2 2" xfId="4746"/>
    <cellStyle name="20% - Accent3 25 2 3" xfId="4747"/>
    <cellStyle name="20% - Accent3 25 2 3 2" xfId="4748"/>
    <cellStyle name="20% - Accent3 25 2 4" xfId="4749"/>
    <cellStyle name="20% - Accent3 25 3" xfId="4750"/>
    <cellStyle name="20% - Accent3 25 3 2" xfId="4751"/>
    <cellStyle name="20% - Accent3 25 3 2 2" xfId="4752"/>
    <cellStyle name="20% - Accent3 25 3 3" xfId="4753"/>
    <cellStyle name="20% - Accent3 25 3 3 2" xfId="4754"/>
    <cellStyle name="20% - Accent3 25 3 4" xfId="4755"/>
    <cellStyle name="20% - Accent3 25 4" xfId="4756"/>
    <cellStyle name="20% - Accent3 25 4 2" xfId="4757"/>
    <cellStyle name="20% - Accent3 25 5" xfId="4758"/>
    <cellStyle name="20% - Accent3 25 5 2" xfId="4759"/>
    <cellStyle name="20% - Accent3 25 6" xfId="4760"/>
    <cellStyle name="20% - Accent3 25 7" xfId="4761"/>
    <cellStyle name="20% - Accent3 26" xfId="4762"/>
    <cellStyle name="20% - Accent3 26 2" xfId="4763"/>
    <cellStyle name="20% - Accent3 26 2 2" xfId="4764"/>
    <cellStyle name="20% - Accent3 26 2 2 2" xfId="4765"/>
    <cellStyle name="20% - Accent3 26 2 3" xfId="4766"/>
    <cellStyle name="20% - Accent3 26 2 3 2" xfId="4767"/>
    <cellStyle name="20% - Accent3 26 2 4" xfId="4768"/>
    <cellStyle name="20% - Accent3 26 3" xfId="4769"/>
    <cellStyle name="20% - Accent3 26 3 2" xfId="4770"/>
    <cellStyle name="20% - Accent3 26 3 2 2" xfId="4771"/>
    <cellStyle name="20% - Accent3 26 3 3" xfId="4772"/>
    <cellStyle name="20% - Accent3 26 3 3 2" xfId="4773"/>
    <cellStyle name="20% - Accent3 26 3 4" xfId="4774"/>
    <cellStyle name="20% - Accent3 26 4" xfId="4775"/>
    <cellStyle name="20% - Accent3 26 4 2" xfId="4776"/>
    <cellStyle name="20% - Accent3 26 5" xfId="4777"/>
    <cellStyle name="20% - Accent3 26 5 2" xfId="4778"/>
    <cellStyle name="20% - Accent3 26 6" xfId="4779"/>
    <cellStyle name="20% - Accent3 26 7" xfId="4780"/>
    <cellStyle name="20% - Accent3 27" xfId="4781"/>
    <cellStyle name="20% - Accent3 27 2" xfId="4782"/>
    <cellStyle name="20% - Accent3 27 2 2" xfId="4783"/>
    <cellStyle name="20% - Accent3 27 2 2 2" xfId="4784"/>
    <cellStyle name="20% - Accent3 27 2 3" xfId="4785"/>
    <cellStyle name="20% - Accent3 27 2 3 2" xfId="4786"/>
    <cellStyle name="20% - Accent3 27 2 4" xfId="4787"/>
    <cellStyle name="20% - Accent3 27 3" xfId="4788"/>
    <cellStyle name="20% - Accent3 27 3 2" xfId="4789"/>
    <cellStyle name="20% - Accent3 27 3 2 2" xfId="4790"/>
    <cellStyle name="20% - Accent3 27 3 3" xfId="4791"/>
    <cellStyle name="20% - Accent3 27 3 3 2" xfId="4792"/>
    <cellStyle name="20% - Accent3 27 3 4" xfId="4793"/>
    <cellStyle name="20% - Accent3 27 4" xfId="4794"/>
    <cellStyle name="20% - Accent3 27 4 2" xfId="4795"/>
    <cellStyle name="20% - Accent3 27 5" xfId="4796"/>
    <cellStyle name="20% - Accent3 27 5 2" xfId="4797"/>
    <cellStyle name="20% - Accent3 27 6" xfId="4798"/>
    <cellStyle name="20% - Accent3 27 7" xfId="4799"/>
    <cellStyle name="20% - Accent3 28" xfId="4800"/>
    <cellStyle name="20% - Accent3 28 2" xfId="4801"/>
    <cellStyle name="20% - Accent3 28 2 2" xfId="4802"/>
    <cellStyle name="20% - Accent3 28 2 2 2" xfId="4803"/>
    <cellStyle name="20% - Accent3 28 2 3" xfId="4804"/>
    <cellStyle name="20% - Accent3 28 2 3 2" xfId="4805"/>
    <cellStyle name="20% - Accent3 28 2 4" xfId="4806"/>
    <cellStyle name="20% - Accent3 28 3" xfId="4807"/>
    <cellStyle name="20% - Accent3 28 3 2" xfId="4808"/>
    <cellStyle name="20% - Accent3 28 3 2 2" xfId="4809"/>
    <cellStyle name="20% - Accent3 28 3 3" xfId="4810"/>
    <cellStyle name="20% - Accent3 28 3 3 2" xfId="4811"/>
    <cellStyle name="20% - Accent3 28 3 4" xfId="4812"/>
    <cellStyle name="20% - Accent3 28 4" xfId="4813"/>
    <cellStyle name="20% - Accent3 28 4 2" xfId="4814"/>
    <cellStyle name="20% - Accent3 28 5" xfId="4815"/>
    <cellStyle name="20% - Accent3 28 5 2" xfId="4816"/>
    <cellStyle name="20% - Accent3 28 6" xfId="4817"/>
    <cellStyle name="20% - Accent3 28 7" xfId="4818"/>
    <cellStyle name="20% - Accent3 29" xfId="4819"/>
    <cellStyle name="20% - Accent3 29 2" xfId="4820"/>
    <cellStyle name="20% - Accent3 29 2 2" xfId="4821"/>
    <cellStyle name="20% - Accent3 29 2 2 2" xfId="4822"/>
    <cellStyle name="20% - Accent3 29 2 3" xfId="4823"/>
    <cellStyle name="20% - Accent3 29 2 3 2" xfId="4824"/>
    <cellStyle name="20% - Accent3 29 2 4" xfId="4825"/>
    <cellStyle name="20% - Accent3 29 3" xfId="4826"/>
    <cellStyle name="20% - Accent3 29 3 2" xfId="4827"/>
    <cellStyle name="20% - Accent3 29 3 2 2" xfId="4828"/>
    <cellStyle name="20% - Accent3 29 3 3" xfId="4829"/>
    <cellStyle name="20% - Accent3 29 3 3 2" xfId="4830"/>
    <cellStyle name="20% - Accent3 29 3 4" xfId="4831"/>
    <cellStyle name="20% - Accent3 29 4" xfId="4832"/>
    <cellStyle name="20% - Accent3 29 4 2" xfId="4833"/>
    <cellStyle name="20% - Accent3 29 5" xfId="4834"/>
    <cellStyle name="20% - Accent3 29 5 2" xfId="4835"/>
    <cellStyle name="20% - Accent3 29 6" xfId="4836"/>
    <cellStyle name="20% - Accent3 29 7" xfId="4837"/>
    <cellStyle name="20% - Accent3 3" xfId="4838"/>
    <cellStyle name="20% - Accent3 3 2" xfId="4839"/>
    <cellStyle name="20% - Accent3 3 2 2" xfId="4840"/>
    <cellStyle name="20% - Accent3 3 2 2 2" xfId="4841"/>
    <cellStyle name="20% - Accent3 3 2 3" xfId="4842"/>
    <cellStyle name="20% - Accent3 3 2 3 2" xfId="4843"/>
    <cellStyle name="20% - Accent3 3 2 4" xfId="4844"/>
    <cellStyle name="20% - Accent3 3 3" xfId="4845"/>
    <cellStyle name="20% - Accent3 3 3 2" xfId="4846"/>
    <cellStyle name="20% - Accent3 3 3 2 2" xfId="4847"/>
    <cellStyle name="20% - Accent3 3 3 3" xfId="4848"/>
    <cellStyle name="20% - Accent3 3 3 3 2" xfId="4849"/>
    <cellStyle name="20% - Accent3 3 3 4" xfId="4850"/>
    <cellStyle name="20% - Accent3 3 4" xfId="4851"/>
    <cellStyle name="20% - Accent3 3 4 2" xfId="4852"/>
    <cellStyle name="20% - Accent3 3 5" xfId="4853"/>
    <cellStyle name="20% - Accent3 3 5 2" xfId="4854"/>
    <cellStyle name="20% - Accent3 3 6" xfId="4855"/>
    <cellStyle name="20% - Accent3 30" xfId="4856"/>
    <cellStyle name="20% - Accent3 30 2" xfId="4857"/>
    <cellStyle name="20% - Accent3 30 2 2" xfId="4858"/>
    <cellStyle name="20% - Accent3 30 2 2 2" xfId="4859"/>
    <cellStyle name="20% - Accent3 30 2 3" xfId="4860"/>
    <cellStyle name="20% - Accent3 30 2 3 2" xfId="4861"/>
    <cellStyle name="20% - Accent3 30 2 4" xfId="4862"/>
    <cellStyle name="20% - Accent3 30 3" xfId="4863"/>
    <cellStyle name="20% - Accent3 30 3 2" xfId="4864"/>
    <cellStyle name="20% - Accent3 30 3 2 2" xfId="4865"/>
    <cellStyle name="20% - Accent3 30 3 3" xfId="4866"/>
    <cellStyle name="20% - Accent3 30 3 3 2" xfId="4867"/>
    <cellStyle name="20% - Accent3 30 3 4" xfId="4868"/>
    <cellStyle name="20% - Accent3 30 4" xfId="4869"/>
    <cellStyle name="20% - Accent3 30 4 2" xfId="4870"/>
    <cellStyle name="20% - Accent3 30 5" xfId="4871"/>
    <cellStyle name="20% - Accent3 30 5 2" xfId="4872"/>
    <cellStyle name="20% - Accent3 30 6" xfId="4873"/>
    <cellStyle name="20% - Accent3 30 7" xfId="4874"/>
    <cellStyle name="20% - Accent3 31" xfId="4875"/>
    <cellStyle name="20% - Accent3 31 2" xfId="4876"/>
    <cellStyle name="20% - Accent3 31 2 2" xfId="4877"/>
    <cellStyle name="20% - Accent3 31 2 2 2" xfId="4878"/>
    <cellStyle name="20% - Accent3 31 2 3" xfId="4879"/>
    <cellStyle name="20% - Accent3 31 2 3 2" xfId="4880"/>
    <cellStyle name="20% - Accent3 31 2 4" xfId="4881"/>
    <cellStyle name="20% - Accent3 31 3" xfId="4882"/>
    <cellStyle name="20% - Accent3 31 3 2" xfId="4883"/>
    <cellStyle name="20% - Accent3 31 3 2 2" xfId="4884"/>
    <cellStyle name="20% - Accent3 31 3 3" xfId="4885"/>
    <cellStyle name="20% - Accent3 31 3 3 2" xfId="4886"/>
    <cellStyle name="20% - Accent3 31 3 4" xfId="4887"/>
    <cellStyle name="20% - Accent3 31 4" xfId="4888"/>
    <cellStyle name="20% - Accent3 31 4 2" xfId="4889"/>
    <cellStyle name="20% - Accent3 31 5" xfId="4890"/>
    <cellStyle name="20% - Accent3 31 5 2" xfId="4891"/>
    <cellStyle name="20% - Accent3 31 6" xfId="4892"/>
    <cellStyle name="20% - Accent3 31 7" xfId="4893"/>
    <cellStyle name="20% - Accent3 32" xfId="4894"/>
    <cellStyle name="20% - Accent3 32 2" xfId="4895"/>
    <cellStyle name="20% - Accent3 32 2 2" xfId="4896"/>
    <cellStyle name="20% - Accent3 32 2 2 2" xfId="4897"/>
    <cellStyle name="20% - Accent3 32 2 3" xfId="4898"/>
    <cellStyle name="20% - Accent3 32 2 3 2" xfId="4899"/>
    <cellStyle name="20% - Accent3 32 2 4" xfId="4900"/>
    <cellStyle name="20% - Accent3 32 3" xfId="4901"/>
    <cellStyle name="20% - Accent3 32 3 2" xfId="4902"/>
    <cellStyle name="20% - Accent3 32 3 2 2" xfId="4903"/>
    <cellStyle name="20% - Accent3 32 3 3" xfId="4904"/>
    <cellStyle name="20% - Accent3 32 3 3 2" xfId="4905"/>
    <cellStyle name="20% - Accent3 32 3 4" xfId="4906"/>
    <cellStyle name="20% - Accent3 32 4" xfId="4907"/>
    <cellStyle name="20% - Accent3 32 4 2" xfId="4908"/>
    <cellStyle name="20% - Accent3 32 5" xfId="4909"/>
    <cellStyle name="20% - Accent3 32 5 2" xfId="4910"/>
    <cellStyle name="20% - Accent3 32 6" xfId="4911"/>
    <cellStyle name="20% - Accent3 32 7" xfId="4912"/>
    <cellStyle name="20% - Accent3 33" xfId="4913"/>
    <cellStyle name="20% - Accent3 33 2" xfId="4914"/>
    <cellStyle name="20% - Accent3 33 2 2" xfId="4915"/>
    <cellStyle name="20% - Accent3 33 2 2 2" xfId="4916"/>
    <cellStyle name="20% - Accent3 33 2 3" xfId="4917"/>
    <cellStyle name="20% - Accent3 33 2 3 2" xfId="4918"/>
    <cellStyle name="20% - Accent3 33 2 4" xfId="4919"/>
    <cellStyle name="20% - Accent3 33 3" xfId="4920"/>
    <cellStyle name="20% - Accent3 33 3 2" xfId="4921"/>
    <cellStyle name="20% - Accent3 33 3 2 2" xfId="4922"/>
    <cellStyle name="20% - Accent3 33 3 3" xfId="4923"/>
    <cellStyle name="20% - Accent3 33 3 3 2" xfId="4924"/>
    <cellStyle name="20% - Accent3 33 3 4" xfId="4925"/>
    <cellStyle name="20% - Accent3 33 4" xfId="4926"/>
    <cellStyle name="20% - Accent3 33 4 2" xfId="4927"/>
    <cellStyle name="20% - Accent3 33 5" xfId="4928"/>
    <cellStyle name="20% - Accent3 33 5 2" xfId="4929"/>
    <cellStyle name="20% - Accent3 33 6" xfId="4930"/>
    <cellStyle name="20% - Accent3 33 7" xfId="4931"/>
    <cellStyle name="20% - Accent3 34" xfId="4932"/>
    <cellStyle name="20% - Accent3 34 2" xfId="4933"/>
    <cellStyle name="20% - Accent3 34 2 2" xfId="4934"/>
    <cellStyle name="20% - Accent3 34 2 2 2" xfId="4935"/>
    <cellStyle name="20% - Accent3 34 2 3" xfId="4936"/>
    <cellStyle name="20% - Accent3 34 2 3 2" xfId="4937"/>
    <cellStyle name="20% - Accent3 34 2 4" xfId="4938"/>
    <cellStyle name="20% - Accent3 34 3" xfId="4939"/>
    <cellStyle name="20% - Accent3 34 3 2" xfId="4940"/>
    <cellStyle name="20% - Accent3 34 3 2 2" xfId="4941"/>
    <cellStyle name="20% - Accent3 34 3 3" xfId="4942"/>
    <cellStyle name="20% - Accent3 34 3 3 2" xfId="4943"/>
    <cellStyle name="20% - Accent3 34 3 4" xfId="4944"/>
    <cellStyle name="20% - Accent3 34 4" xfId="4945"/>
    <cellStyle name="20% - Accent3 34 4 2" xfId="4946"/>
    <cellStyle name="20% - Accent3 34 5" xfId="4947"/>
    <cellStyle name="20% - Accent3 34 5 2" xfId="4948"/>
    <cellStyle name="20% - Accent3 34 6" xfId="4949"/>
    <cellStyle name="20% - Accent3 34 7" xfId="4950"/>
    <cellStyle name="20% - Accent3 35" xfId="4951"/>
    <cellStyle name="20% - Accent3 35 2" xfId="4952"/>
    <cellStyle name="20% - Accent3 35 2 2" xfId="4953"/>
    <cellStyle name="20% - Accent3 35 2 2 2" xfId="4954"/>
    <cellStyle name="20% - Accent3 35 2 3" xfId="4955"/>
    <cellStyle name="20% - Accent3 35 2 3 2" xfId="4956"/>
    <cellStyle name="20% - Accent3 35 2 4" xfId="4957"/>
    <cellStyle name="20% - Accent3 35 3" xfId="4958"/>
    <cellStyle name="20% - Accent3 35 3 2" xfId="4959"/>
    <cellStyle name="20% - Accent3 35 3 2 2" xfId="4960"/>
    <cellStyle name="20% - Accent3 35 3 3" xfId="4961"/>
    <cellStyle name="20% - Accent3 35 3 3 2" xfId="4962"/>
    <cellStyle name="20% - Accent3 35 3 4" xfId="4963"/>
    <cellStyle name="20% - Accent3 35 4" xfId="4964"/>
    <cellStyle name="20% - Accent3 35 4 2" xfId="4965"/>
    <cellStyle name="20% - Accent3 35 5" xfId="4966"/>
    <cellStyle name="20% - Accent3 35 5 2" xfId="4967"/>
    <cellStyle name="20% - Accent3 35 6" xfId="4968"/>
    <cellStyle name="20% - Accent3 35 7" xfId="4969"/>
    <cellStyle name="20% - Accent3 36" xfId="4970"/>
    <cellStyle name="20% - Accent3 36 2" xfId="4971"/>
    <cellStyle name="20% - Accent3 36 2 2" xfId="4972"/>
    <cellStyle name="20% - Accent3 36 2 2 2" xfId="4973"/>
    <cellStyle name="20% - Accent3 36 2 3" xfId="4974"/>
    <cellStyle name="20% - Accent3 36 2 3 2" xfId="4975"/>
    <cellStyle name="20% - Accent3 36 2 4" xfId="4976"/>
    <cellStyle name="20% - Accent3 36 3" xfId="4977"/>
    <cellStyle name="20% - Accent3 36 3 2" xfId="4978"/>
    <cellStyle name="20% - Accent3 36 3 2 2" xfId="4979"/>
    <cellStyle name="20% - Accent3 36 3 3" xfId="4980"/>
    <cellStyle name="20% - Accent3 36 3 3 2" xfId="4981"/>
    <cellStyle name="20% - Accent3 36 3 4" xfId="4982"/>
    <cellStyle name="20% - Accent3 36 4" xfId="4983"/>
    <cellStyle name="20% - Accent3 36 4 2" xfId="4984"/>
    <cellStyle name="20% - Accent3 36 5" xfId="4985"/>
    <cellStyle name="20% - Accent3 36 5 2" xfId="4986"/>
    <cellStyle name="20% - Accent3 36 6" xfId="4987"/>
    <cellStyle name="20% - Accent3 36 7" xfId="4988"/>
    <cellStyle name="20% - Accent3 37" xfId="4989"/>
    <cellStyle name="20% - Accent3 37 2" xfId="4990"/>
    <cellStyle name="20% - Accent3 37 2 2" xfId="4991"/>
    <cellStyle name="20% - Accent3 37 2 2 2" xfId="4992"/>
    <cellStyle name="20% - Accent3 37 2 3" xfId="4993"/>
    <cellStyle name="20% - Accent3 37 2 3 2" xfId="4994"/>
    <cellStyle name="20% - Accent3 37 2 4" xfId="4995"/>
    <cellStyle name="20% - Accent3 37 3" xfId="4996"/>
    <cellStyle name="20% - Accent3 37 3 2" xfId="4997"/>
    <cellStyle name="20% - Accent3 37 3 2 2" xfId="4998"/>
    <cellStyle name="20% - Accent3 37 3 3" xfId="4999"/>
    <cellStyle name="20% - Accent3 37 3 3 2" xfId="5000"/>
    <cellStyle name="20% - Accent3 37 3 4" xfId="5001"/>
    <cellStyle name="20% - Accent3 37 4" xfId="5002"/>
    <cellStyle name="20% - Accent3 37 4 2" xfId="5003"/>
    <cellStyle name="20% - Accent3 37 5" xfId="5004"/>
    <cellStyle name="20% - Accent3 37 5 2" xfId="5005"/>
    <cellStyle name="20% - Accent3 37 6" xfId="5006"/>
    <cellStyle name="20% - Accent3 37 7" xfId="5007"/>
    <cellStyle name="20% - Accent3 38" xfId="5008"/>
    <cellStyle name="20% - Accent3 38 2" xfId="5009"/>
    <cellStyle name="20% - Accent3 38 2 2" xfId="5010"/>
    <cellStyle name="20% - Accent3 38 2 2 2" xfId="5011"/>
    <cellStyle name="20% - Accent3 38 2 3" xfId="5012"/>
    <cellStyle name="20% - Accent3 38 2 3 2" xfId="5013"/>
    <cellStyle name="20% - Accent3 38 2 4" xfId="5014"/>
    <cellStyle name="20% - Accent3 38 3" xfId="5015"/>
    <cellStyle name="20% - Accent3 38 3 2" xfId="5016"/>
    <cellStyle name="20% - Accent3 38 3 2 2" xfId="5017"/>
    <cellStyle name="20% - Accent3 38 3 3" xfId="5018"/>
    <cellStyle name="20% - Accent3 38 3 3 2" xfId="5019"/>
    <cellStyle name="20% - Accent3 38 3 4" xfId="5020"/>
    <cellStyle name="20% - Accent3 38 4" xfId="5021"/>
    <cellStyle name="20% - Accent3 38 4 2" xfId="5022"/>
    <cellStyle name="20% - Accent3 38 5" xfId="5023"/>
    <cellStyle name="20% - Accent3 38 5 2" xfId="5024"/>
    <cellStyle name="20% - Accent3 38 6" xfId="5025"/>
    <cellStyle name="20% - Accent3 38 7" xfId="5026"/>
    <cellStyle name="20% - Accent3 39" xfId="5027"/>
    <cellStyle name="20% - Accent3 39 2" xfId="5028"/>
    <cellStyle name="20% - Accent3 39 2 2" xfId="5029"/>
    <cellStyle name="20% - Accent3 39 2 2 2" xfId="5030"/>
    <cellStyle name="20% - Accent3 39 2 3" xfId="5031"/>
    <cellStyle name="20% - Accent3 39 2 3 2" xfId="5032"/>
    <cellStyle name="20% - Accent3 39 2 4" xfId="5033"/>
    <cellStyle name="20% - Accent3 39 3" xfId="5034"/>
    <cellStyle name="20% - Accent3 39 3 2" xfId="5035"/>
    <cellStyle name="20% - Accent3 39 3 2 2" xfId="5036"/>
    <cellStyle name="20% - Accent3 39 3 3" xfId="5037"/>
    <cellStyle name="20% - Accent3 39 3 3 2" xfId="5038"/>
    <cellStyle name="20% - Accent3 39 3 4" xfId="5039"/>
    <cellStyle name="20% - Accent3 39 4" xfId="5040"/>
    <cellStyle name="20% - Accent3 39 4 2" xfId="5041"/>
    <cellStyle name="20% - Accent3 39 5" xfId="5042"/>
    <cellStyle name="20% - Accent3 39 5 2" xfId="5043"/>
    <cellStyle name="20% - Accent3 39 6" xfId="5044"/>
    <cellStyle name="20% - Accent3 39 7" xfId="5045"/>
    <cellStyle name="20% - Accent3 4" xfId="5046"/>
    <cellStyle name="20% - Accent3 4 2" xfId="5047"/>
    <cellStyle name="20% - Accent3 4 2 2" xfId="5048"/>
    <cellStyle name="20% - Accent3 4 2 2 2" xfId="5049"/>
    <cellStyle name="20% - Accent3 4 2 3" xfId="5050"/>
    <cellStyle name="20% - Accent3 4 2 3 2" xfId="5051"/>
    <cellStyle name="20% - Accent3 4 2 4" xfId="5052"/>
    <cellStyle name="20% - Accent3 4 3" xfId="5053"/>
    <cellStyle name="20% - Accent3 4 3 2" xfId="5054"/>
    <cellStyle name="20% - Accent3 4 3 2 2" xfId="5055"/>
    <cellStyle name="20% - Accent3 4 3 3" xfId="5056"/>
    <cellStyle name="20% - Accent3 4 3 3 2" xfId="5057"/>
    <cellStyle name="20% - Accent3 4 3 4" xfId="5058"/>
    <cellStyle name="20% - Accent3 4 4" xfId="5059"/>
    <cellStyle name="20% - Accent3 4 4 2" xfId="5060"/>
    <cellStyle name="20% - Accent3 4 5" xfId="5061"/>
    <cellStyle name="20% - Accent3 4 5 2" xfId="5062"/>
    <cellStyle name="20% - Accent3 4 6" xfId="5063"/>
    <cellStyle name="20% - Accent3 40" xfId="5064"/>
    <cellStyle name="20% - Accent3 40 2" xfId="5065"/>
    <cellStyle name="20% - Accent3 40 2 2" xfId="5066"/>
    <cellStyle name="20% - Accent3 40 2 2 2" xfId="5067"/>
    <cellStyle name="20% - Accent3 40 2 3" xfId="5068"/>
    <cellStyle name="20% - Accent3 40 2 3 2" xfId="5069"/>
    <cellStyle name="20% - Accent3 40 2 4" xfId="5070"/>
    <cellStyle name="20% - Accent3 40 3" xfId="5071"/>
    <cellStyle name="20% - Accent3 40 3 2" xfId="5072"/>
    <cellStyle name="20% - Accent3 40 3 2 2" xfId="5073"/>
    <cellStyle name="20% - Accent3 40 3 3" xfId="5074"/>
    <cellStyle name="20% - Accent3 40 3 3 2" xfId="5075"/>
    <cellStyle name="20% - Accent3 40 3 4" xfId="5076"/>
    <cellStyle name="20% - Accent3 40 4" xfId="5077"/>
    <cellStyle name="20% - Accent3 40 4 2" xfId="5078"/>
    <cellStyle name="20% - Accent3 40 5" xfId="5079"/>
    <cellStyle name="20% - Accent3 40 5 2" xfId="5080"/>
    <cellStyle name="20% - Accent3 40 6" xfId="5081"/>
    <cellStyle name="20% - Accent3 40 7" xfId="5082"/>
    <cellStyle name="20% - Accent3 41" xfId="5083"/>
    <cellStyle name="20% - Accent3 41 2" xfId="5084"/>
    <cellStyle name="20% - Accent3 41 2 2" xfId="5085"/>
    <cellStyle name="20% - Accent3 41 2 2 2" xfId="5086"/>
    <cellStyle name="20% - Accent3 41 2 3" xfId="5087"/>
    <cellStyle name="20% - Accent3 41 2 3 2" xfId="5088"/>
    <cellStyle name="20% - Accent3 41 2 4" xfId="5089"/>
    <cellStyle name="20% - Accent3 41 3" xfId="5090"/>
    <cellStyle name="20% - Accent3 41 3 2" xfId="5091"/>
    <cellStyle name="20% - Accent3 41 3 2 2" xfId="5092"/>
    <cellStyle name="20% - Accent3 41 3 3" xfId="5093"/>
    <cellStyle name="20% - Accent3 41 3 3 2" xfId="5094"/>
    <cellStyle name="20% - Accent3 41 3 4" xfId="5095"/>
    <cellStyle name="20% - Accent3 41 4" xfId="5096"/>
    <cellStyle name="20% - Accent3 41 4 2" xfId="5097"/>
    <cellStyle name="20% - Accent3 41 5" xfId="5098"/>
    <cellStyle name="20% - Accent3 41 5 2" xfId="5099"/>
    <cellStyle name="20% - Accent3 41 6" xfId="5100"/>
    <cellStyle name="20% - Accent3 41 7" xfId="5101"/>
    <cellStyle name="20% - Accent3 42" xfId="5102"/>
    <cellStyle name="20% - Accent3 42 2" xfId="5103"/>
    <cellStyle name="20% - Accent3 42 2 2" xfId="5104"/>
    <cellStyle name="20% - Accent3 42 3" xfId="5105"/>
    <cellStyle name="20% - Accent3 42 3 2" xfId="5106"/>
    <cellStyle name="20% - Accent3 42 4" xfId="5107"/>
    <cellStyle name="20% - Accent3 42 5" xfId="5108"/>
    <cellStyle name="20% - Accent3 43" xfId="5109"/>
    <cellStyle name="20% - Accent3 43 2" xfId="5110"/>
    <cellStyle name="20% - Accent3 43 2 2" xfId="5111"/>
    <cellStyle name="20% - Accent3 43 3" xfId="5112"/>
    <cellStyle name="20% - Accent3 43 3 2" xfId="5113"/>
    <cellStyle name="20% - Accent3 43 4" xfId="5114"/>
    <cellStyle name="20% - Accent3 43 5" xfId="5115"/>
    <cellStyle name="20% - Accent3 44" xfId="5116"/>
    <cellStyle name="20% - Accent3 44 2" xfId="5117"/>
    <cellStyle name="20% - Accent3 44 2 2" xfId="5118"/>
    <cellStyle name="20% - Accent3 44 3" xfId="5119"/>
    <cellStyle name="20% - Accent3 44 3 2" xfId="5120"/>
    <cellStyle name="20% - Accent3 44 4" xfId="5121"/>
    <cellStyle name="20% - Accent3 44 5" xfId="5122"/>
    <cellStyle name="20% - Accent3 45" xfId="5123"/>
    <cellStyle name="20% - Accent3 45 2" xfId="5124"/>
    <cellStyle name="20% - Accent3 45 2 2" xfId="5125"/>
    <cellStyle name="20% - Accent3 45 3" xfId="5126"/>
    <cellStyle name="20% - Accent3 45 3 2" xfId="5127"/>
    <cellStyle name="20% - Accent3 45 4" xfId="5128"/>
    <cellStyle name="20% - Accent3 45 5" xfId="5129"/>
    <cellStyle name="20% - Accent3 46" xfId="5130"/>
    <cellStyle name="20% - Accent3 46 2" xfId="5131"/>
    <cellStyle name="20% - Accent3 46 2 2" xfId="5132"/>
    <cellStyle name="20% - Accent3 46 3" xfId="5133"/>
    <cellStyle name="20% - Accent3 46 3 2" xfId="5134"/>
    <cellStyle name="20% - Accent3 46 4" xfId="5135"/>
    <cellStyle name="20% - Accent3 46 5" xfId="5136"/>
    <cellStyle name="20% - Accent3 47" xfId="5137"/>
    <cellStyle name="20% - Accent3 47 2" xfId="5138"/>
    <cellStyle name="20% - Accent3 47 2 2" xfId="5139"/>
    <cellStyle name="20% - Accent3 47 3" xfId="5140"/>
    <cellStyle name="20% - Accent3 47 3 2" xfId="5141"/>
    <cellStyle name="20% - Accent3 47 4" xfId="5142"/>
    <cellStyle name="20% - Accent3 47 5" xfId="5143"/>
    <cellStyle name="20% - Accent3 48" xfId="5144"/>
    <cellStyle name="20% - Accent3 48 2" xfId="5145"/>
    <cellStyle name="20% - Accent3 48 2 2" xfId="5146"/>
    <cellStyle name="20% - Accent3 48 3" xfId="5147"/>
    <cellStyle name="20% - Accent3 48 3 2" xfId="5148"/>
    <cellStyle name="20% - Accent3 48 4" xfId="5149"/>
    <cellStyle name="20% - Accent3 48 5" xfId="5150"/>
    <cellStyle name="20% - Accent3 49" xfId="5151"/>
    <cellStyle name="20% - Accent3 49 2" xfId="5152"/>
    <cellStyle name="20% - Accent3 49 2 2" xfId="5153"/>
    <cellStyle name="20% - Accent3 49 3" xfId="5154"/>
    <cellStyle name="20% - Accent3 49 3 2" xfId="5155"/>
    <cellStyle name="20% - Accent3 49 4" xfId="5156"/>
    <cellStyle name="20% - Accent3 49 5" xfId="5157"/>
    <cellStyle name="20% - Accent3 5" xfId="5158"/>
    <cellStyle name="20% - Accent3 5 2" xfId="5159"/>
    <cellStyle name="20% - Accent3 5 2 2" xfId="5160"/>
    <cellStyle name="20% - Accent3 5 2 2 2" xfId="5161"/>
    <cellStyle name="20% - Accent3 5 2 3" xfId="5162"/>
    <cellStyle name="20% - Accent3 5 2 3 2" xfId="5163"/>
    <cellStyle name="20% - Accent3 5 2 4" xfId="5164"/>
    <cellStyle name="20% - Accent3 5 3" xfId="5165"/>
    <cellStyle name="20% - Accent3 5 3 2" xfId="5166"/>
    <cellStyle name="20% - Accent3 5 3 2 2" xfId="5167"/>
    <cellStyle name="20% - Accent3 5 3 3" xfId="5168"/>
    <cellStyle name="20% - Accent3 5 3 3 2" xfId="5169"/>
    <cellStyle name="20% - Accent3 5 3 4" xfId="5170"/>
    <cellStyle name="20% - Accent3 5 4" xfId="5171"/>
    <cellStyle name="20% - Accent3 5 4 2" xfId="5172"/>
    <cellStyle name="20% - Accent3 5 5" xfId="5173"/>
    <cellStyle name="20% - Accent3 5 5 2" xfId="5174"/>
    <cellStyle name="20% - Accent3 5 6" xfId="5175"/>
    <cellStyle name="20% - Accent3 50" xfId="5176"/>
    <cellStyle name="20% - Accent3 50 2" xfId="5177"/>
    <cellStyle name="20% - Accent3 50 2 2" xfId="5178"/>
    <cellStyle name="20% - Accent3 50 3" xfId="5179"/>
    <cellStyle name="20% - Accent3 50 3 2" xfId="5180"/>
    <cellStyle name="20% - Accent3 50 4" xfId="5181"/>
    <cellStyle name="20% - Accent3 50 5" xfId="5182"/>
    <cellStyle name="20% - Accent3 51" xfId="5183"/>
    <cellStyle name="20% - Accent3 51 2" xfId="5184"/>
    <cellStyle name="20% - Accent3 51 2 2" xfId="5185"/>
    <cellStyle name="20% - Accent3 51 3" xfId="5186"/>
    <cellStyle name="20% - Accent3 51 3 2" xfId="5187"/>
    <cellStyle name="20% - Accent3 51 4" xfId="5188"/>
    <cellStyle name="20% - Accent3 51 5" xfId="5189"/>
    <cellStyle name="20% - Accent3 52" xfId="5190"/>
    <cellStyle name="20% - Accent3 52 2" xfId="5191"/>
    <cellStyle name="20% - Accent3 52 2 2" xfId="5192"/>
    <cellStyle name="20% - Accent3 52 3" xfId="5193"/>
    <cellStyle name="20% - Accent3 52 3 2" xfId="5194"/>
    <cellStyle name="20% - Accent3 52 4" xfId="5195"/>
    <cellStyle name="20% - Accent3 52 5" xfId="5196"/>
    <cellStyle name="20% - Accent3 53" xfId="5197"/>
    <cellStyle name="20% - Accent3 53 2" xfId="5198"/>
    <cellStyle name="20% - Accent3 53 2 2" xfId="5199"/>
    <cellStyle name="20% - Accent3 53 3" xfId="5200"/>
    <cellStyle name="20% - Accent3 53 3 2" xfId="5201"/>
    <cellStyle name="20% - Accent3 53 4" xfId="5202"/>
    <cellStyle name="20% - Accent3 53 5" xfId="5203"/>
    <cellStyle name="20% - Accent3 54" xfId="5204"/>
    <cellStyle name="20% - Accent3 54 2" xfId="5205"/>
    <cellStyle name="20% - Accent3 54 2 2" xfId="5206"/>
    <cellStyle name="20% - Accent3 54 3" xfId="5207"/>
    <cellStyle name="20% - Accent3 54 3 2" xfId="5208"/>
    <cellStyle name="20% - Accent3 54 4" xfId="5209"/>
    <cellStyle name="20% - Accent3 54 5" xfId="5210"/>
    <cellStyle name="20% - Accent3 55" xfId="5211"/>
    <cellStyle name="20% - Accent3 55 2" xfId="5212"/>
    <cellStyle name="20% - Accent3 55 2 2" xfId="5213"/>
    <cellStyle name="20% - Accent3 55 3" xfId="5214"/>
    <cellStyle name="20% - Accent3 55 3 2" xfId="5215"/>
    <cellStyle name="20% - Accent3 55 4" xfId="5216"/>
    <cellStyle name="20% - Accent3 55 5" xfId="5217"/>
    <cellStyle name="20% - Accent3 56" xfId="5218"/>
    <cellStyle name="20% - Accent3 56 2" xfId="5219"/>
    <cellStyle name="20% - Accent3 56 2 2" xfId="5220"/>
    <cellStyle name="20% - Accent3 56 3" xfId="5221"/>
    <cellStyle name="20% - Accent3 56 3 2" xfId="5222"/>
    <cellStyle name="20% - Accent3 56 4" xfId="5223"/>
    <cellStyle name="20% - Accent3 56 5" xfId="5224"/>
    <cellStyle name="20% - Accent3 57" xfId="5225"/>
    <cellStyle name="20% - Accent3 57 2" xfId="5226"/>
    <cellStyle name="20% - Accent3 57 2 2" xfId="5227"/>
    <cellStyle name="20% - Accent3 57 3" xfId="5228"/>
    <cellStyle name="20% - Accent3 57 3 2" xfId="5229"/>
    <cellStyle name="20% - Accent3 57 4" xfId="5230"/>
    <cellStyle name="20% - Accent3 57 5" xfId="5231"/>
    <cellStyle name="20% - Accent3 58" xfId="5232"/>
    <cellStyle name="20% - Accent3 58 2" xfId="5233"/>
    <cellStyle name="20% - Accent3 58 2 2" xfId="5234"/>
    <cellStyle name="20% - Accent3 58 3" xfId="5235"/>
    <cellStyle name="20% - Accent3 58 3 2" xfId="5236"/>
    <cellStyle name="20% - Accent3 58 4" xfId="5237"/>
    <cellStyle name="20% - Accent3 58 5" xfId="5238"/>
    <cellStyle name="20% - Accent3 59" xfId="5239"/>
    <cellStyle name="20% - Accent3 59 2" xfId="5240"/>
    <cellStyle name="20% - Accent3 59 2 2" xfId="5241"/>
    <cellStyle name="20% - Accent3 59 3" xfId="5242"/>
    <cellStyle name="20% - Accent3 59 3 2" xfId="5243"/>
    <cellStyle name="20% - Accent3 59 4" xfId="5244"/>
    <cellStyle name="20% - Accent3 59 5" xfId="5245"/>
    <cellStyle name="20% - Accent3 6" xfId="5246"/>
    <cellStyle name="20% - Accent3 6 2" xfId="5247"/>
    <cellStyle name="20% - Accent3 6 2 2" xfId="5248"/>
    <cellStyle name="20% - Accent3 6 2 2 2" xfId="5249"/>
    <cellStyle name="20% - Accent3 6 2 3" xfId="5250"/>
    <cellStyle name="20% - Accent3 6 2 3 2" xfId="5251"/>
    <cellStyle name="20% - Accent3 6 2 4" xfId="5252"/>
    <cellStyle name="20% - Accent3 6 3" xfId="5253"/>
    <cellStyle name="20% - Accent3 6 3 2" xfId="5254"/>
    <cellStyle name="20% - Accent3 6 3 2 2" xfId="5255"/>
    <cellStyle name="20% - Accent3 6 3 3" xfId="5256"/>
    <cellStyle name="20% - Accent3 6 3 3 2" xfId="5257"/>
    <cellStyle name="20% - Accent3 6 3 4" xfId="5258"/>
    <cellStyle name="20% - Accent3 6 4" xfId="5259"/>
    <cellStyle name="20% - Accent3 6 4 2" xfId="5260"/>
    <cellStyle name="20% - Accent3 6 5" xfId="5261"/>
    <cellStyle name="20% - Accent3 6 5 2" xfId="5262"/>
    <cellStyle name="20% - Accent3 6 6" xfId="5263"/>
    <cellStyle name="20% - Accent3 60" xfId="5264"/>
    <cellStyle name="20% - Accent3 60 2" xfId="5265"/>
    <cellStyle name="20% - Accent3 60 2 2" xfId="5266"/>
    <cellStyle name="20% - Accent3 60 3" xfId="5267"/>
    <cellStyle name="20% - Accent3 60 3 2" xfId="5268"/>
    <cellStyle name="20% - Accent3 60 4" xfId="5269"/>
    <cellStyle name="20% - Accent3 60 5" xfId="5270"/>
    <cellStyle name="20% - Accent3 61" xfId="5271"/>
    <cellStyle name="20% - Accent3 61 2" xfId="5272"/>
    <cellStyle name="20% - Accent3 61 2 2" xfId="5273"/>
    <cellStyle name="20% - Accent3 61 3" xfId="5274"/>
    <cellStyle name="20% - Accent3 61 3 2" xfId="5275"/>
    <cellStyle name="20% - Accent3 61 4" xfId="5276"/>
    <cellStyle name="20% - Accent3 61 5" xfId="5277"/>
    <cellStyle name="20% - Accent3 62" xfId="5278"/>
    <cellStyle name="20% - Accent3 62 2" xfId="5279"/>
    <cellStyle name="20% - Accent3 62 2 2" xfId="5280"/>
    <cellStyle name="20% - Accent3 62 3" xfId="5281"/>
    <cellStyle name="20% - Accent3 62 3 2" xfId="5282"/>
    <cellStyle name="20% - Accent3 62 4" xfId="5283"/>
    <cellStyle name="20% - Accent3 62 5" xfId="5284"/>
    <cellStyle name="20% - Accent3 63" xfId="5285"/>
    <cellStyle name="20% - Accent3 63 2" xfId="5286"/>
    <cellStyle name="20% - Accent3 63 2 2" xfId="5287"/>
    <cellStyle name="20% - Accent3 63 3" xfId="5288"/>
    <cellStyle name="20% - Accent3 63 3 2" xfId="5289"/>
    <cellStyle name="20% - Accent3 63 4" xfId="5290"/>
    <cellStyle name="20% - Accent3 63 5" xfId="5291"/>
    <cellStyle name="20% - Accent3 64" xfId="5292"/>
    <cellStyle name="20% - Accent3 64 2" xfId="5293"/>
    <cellStyle name="20% - Accent3 64 2 2" xfId="5294"/>
    <cellStyle name="20% - Accent3 64 3" xfId="5295"/>
    <cellStyle name="20% - Accent3 64 3 2" xfId="5296"/>
    <cellStyle name="20% - Accent3 64 4" xfId="5297"/>
    <cellStyle name="20% - Accent3 64 5" xfId="5298"/>
    <cellStyle name="20% - Accent3 65" xfId="5299"/>
    <cellStyle name="20% - Accent3 65 2" xfId="5300"/>
    <cellStyle name="20% - Accent3 65 2 2" xfId="5301"/>
    <cellStyle name="20% - Accent3 65 3" xfId="5302"/>
    <cellStyle name="20% - Accent3 65 3 2" xfId="5303"/>
    <cellStyle name="20% - Accent3 65 4" xfId="5304"/>
    <cellStyle name="20% - Accent3 65 5" xfId="5305"/>
    <cellStyle name="20% - Accent3 66" xfId="5306"/>
    <cellStyle name="20% - Accent3 66 2" xfId="5307"/>
    <cellStyle name="20% - Accent3 66 2 2" xfId="5308"/>
    <cellStyle name="20% - Accent3 66 3" xfId="5309"/>
    <cellStyle name="20% - Accent3 66 3 2" xfId="5310"/>
    <cellStyle name="20% - Accent3 66 4" xfId="5311"/>
    <cellStyle name="20% - Accent3 66 5" xfId="5312"/>
    <cellStyle name="20% - Accent3 67" xfId="5313"/>
    <cellStyle name="20% - Accent3 67 2" xfId="5314"/>
    <cellStyle name="20% - Accent3 67 2 2" xfId="5315"/>
    <cellStyle name="20% - Accent3 67 3" xfId="5316"/>
    <cellStyle name="20% - Accent3 67 3 2" xfId="5317"/>
    <cellStyle name="20% - Accent3 67 4" xfId="5318"/>
    <cellStyle name="20% - Accent3 67 5" xfId="5319"/>
    <cellStyle name="20% - Accent3 68" xfId="5320"/>
    <cellStyle name="20% - Accent3 68 2" xfId="5321"/>
    <cellStyle name="20% - Accent3 68 2 2" xfId="5322"/>
    <cellStyle name="20% - Accent3 68 3" xfId="5323"/>
    <cellStyle name="20% - Accent3 68 3 2" xfId="5324"/>
    <cellStyle name="20% - Accent3 68 4" xfId="5325"/>
    <cellStyle name="20% - Accent3 68 5" xfId="5326"/>
    <cellStyle name="20% - Accent3 69" xfId="5327"/>
    <cellStyle name="20% - Accent3 69 2" xfId="5328"/>
    <cellStyle name="20% - Accent3 69 2 2" xfId="5329"/>
    <cellStyle name="20% - Accent3 69 3" xfId="5330"/>
    <cellStyle name="20% - Accent3 69 3 2" xfId="5331"/>
    <cellStyle name="20% - Accent3 69 4" xfId="5332"/>
    <cellStyle name="20% - Accent3 69 5" xfId="5333"/>
    <cellStyle name="20% - Accent3 7" xfId="5334"/>
    <cellStyle name="20% - Accent3 7 2" xfId="5335"/>
    <cellStyle name="20% - Accent3 7 2 2" xfId="5336"/>
    <cellStyle name="20% - Accent3 7 2 2 2" xfId="5337"/>
    <cellStyle name="20% - Accent3 7 2 3" xfId="5338"/>
    <cellStyle name="20% - Accent3 7 2 3 2" xfId="5339"/>
    <cellStyle name="20% - Accent3 7 2 4" xfId="5340"/>
    <cellStyle name="20% - Accent3 7 3" xfId="5341"/>
    <cellStyle name="20% - Accent3 7 3 2" xfId="5342"/>
    <cellStyle name="20% - Accent3 7 3 2 2" xfId="5343"/>
    <cellStyle name="20% - Accent3 7 3 3" xfId="5344"/>
    <cellStyle name="20% - Accent3 7 3 3 2" xfId="5345"/>
    <cellStyle name="20% - Accent3 7 3 4" xfId="5346"/>
    <cellStyle name="20% - Accent3 7 4" xfId="5347"/>
    <cellStyle name="20% - Accent3 7 4 2" xfId="5348"/>
    <cellStyle name="20% - Accent3 7 5" xfId="5349"/>
    <cellStyle name="20% - Accent3 7 5 2" xfId="5350"/>
    <cellStyle name="20% - Accent3 7 6" xfId="5351"/>
    <cellStyle name="20% - Accent3 70" xfId="5352"/>
    <cellStyle name="20% - Accent3 70 2" xfId="5353"/>
    <cellStyle name="20% - Accent3 70 2 2" xfId="5354"/>
    <cellStyle name="20% - Accent3 70 3" xfId="5355"/>
    <cellStyle name="20% - Accent3 70 3 2" xfId="5356"/>
    <cellStyle name="20% - Accent3 70 4" xfId="5357"/>
    <cellStyle name="20% - Accent3 71" xfId="5358"/>
    <cellStyle name="20% - Accent3 71 2" xfId="5359"/>
    <cellStyle name="20% - Accent3 71 2 2" xfId="5360"/>
    <cellStyle name="20% - Accent3 71 3" xfId="5361"/>
    <cellStyle name="20% - Accent3 71 3 2" xfId="5362"/>
    <cellStyle name="20% - Accent3 71 4" xfId="5363"/>
    <cellStyle name="20% - Accent3 72" xfId="5364"/>
    <cellStyle name="20% - Accent3 72 2" xfId="5365"/>
    <cellStyle name="20% - Accent3 72 2 2" xfId="5366"/>
    <cellStyle name="20% - Accent3 72 3" xfId="5367"/>
    <cellStyle name="20% - Accent3 72 3 2" xfId="5368"/>
    <cellStyle name="20% - Accent3 72 4" xfId="5369"/>
    <cellStyle name="20% - Accent3 73" xfId="5370"/>
    <cellStyle name="20% - Accent3 73 2" xfId="5371"/>
    <cellStyle name="20% - Accent3 73 2 2" xfId="5372"/>
    <cellStyle name="20% - Accent3 73 3" xfId="5373"/>
    <cellStyle name="20% - Accent3 73 3 2" xfId="5374"/>
    <cellStyle name="20% - Accent3 73 4" xfId="5375"/>
    <cellStyle name="20% - Accent3 74" xfId="5376"/>
    <cellStyle name="20% - Accent3 74 2" xfId="5377"/>
    <cellStyle name="20% - Accent3 74 2 2" xfId="5378"/>
    <cellStyle name="20% - Accent3 74 3" xfId="5379"/>
    <cellStyle name="20% - Accent3 74 3 2" xfId="5380"/>
    <cellStyle name="20% - Accent3 74 4" xfId="5381"/>
    <cellStyle name="20% - Accent3 75" xfId="5382"/>
    <cellStyle name="20% - Accent3 75 2" xfId="5383"/>
    <cellStyle name="20% - Accent3 75 2 2" xfId="5384"/>
    <cellStyle name="20% - Accent3 75 3" xfId="5385"/>
    <cellStyle name="20% - Accent3 75 3 2" xfId="5386"/>
    <cellStyle name="20% - Accent3 75 4" xfId="5387"/>
    <cellStyle name="20% - Accent3 76" xfId="5388"/>
    <cellStyle name="20% - Accent3 76 2" xfId="5389"/>
    <cellStyle name="20% - Accent3 76 2 2" xfId="5390"/>
    <cellStyle name="20% - Accent3 76 3" xfId="5391"/>
    <cellStyle name="20% - Accent3 76 3 2" xfId="5392"/>
    <cellStyle name="20% - Accent3 76 4" xfId="5393"/>
    <cellStyle name="20% - Accent3 77" xfId="5394"/>
    <cellStyle name="20% - Accent3 77 2" xfId="5395"/>
    <cellStyle name="20% - Accent3 77 2 2" xfId="5396"/>
    <cellStyle name="20% - Accent3 77 3" xfId="5397"/>
    <cellStyle name="20% - Accent3 77 3 2" xfId="5398"/>
    <cellStyle name="20% - Accent3 77 4" xfId="5399"/>
    <cellStyle name="20% - Accent3 78" xfId="5400"/>
    <cellStyle name="20% - Accent3 78 2" xfId="5401"/>
    <cellStyle name="20% - Accent3 78 2 2" xfId="5402"/>
    <cellStyle name="20% - Accent3 78 3" xfId="5403"/>
    <cellStyle name="20% - Accent3 78 3 2" xfId="5404"/>
    <cellStyle name="20% - Accent3 78 4" xfId="5405"/>
    <cellStyle name="20% - Accent3 79" xfId="5406"/>
    <cellStyle name="20% - Accent3 79 2" xfId="5407"/>
    <cellStyle name="20% - Accent3 79 2 2" xfId="5408"/>
    <cellStyle name="20% - Accent3 79 3" xfId="5409"/>
    <cellStyle name="20% - Accent3 79 3 2" xfId="5410"/>
    <cellStyle name="20% - Accent3 79 4" xfId="5411"/>
    <cellStyle name="20% - Accent3 8" xfId="5412"/>
    <cellStyle name="20% - Accent3 8 2" xfId="5413"/>
    <cellStyle name="20% - Accent3 8 2 2" xfId="5414"/>
    <cellStyle name="20% - Accent3 8 2 2 2" xfId="5415"/>
    <cellStyle name="20% - Accent3 8 2 3" xfId="5416"/>
    <cellStyle name="20% - Accent3 8 2 3 2" xfId="5417"/>
    <cellStyle name="20% - Accent3 8 2 4" xfId="5418"/>
    <cellStyle name="20% - Accent3 8 3" xfId="5419"/>
    <cellStyle name="20% - Accent3 8 3 2" xfId="5420"/>
    <cellStyle name="20% - Accent3 8 3 2 2" xfId="5421"/>
    <cellStyle name="20% - Accent3 8 3 3" xfId="5422"/>
    <cellStyle name="20% - Accent3 8 3 3 2" xfId="5423"/>
    <cellStyle name="20% - Accent3 8 3 4" xfId="5424"/>
    <cellStyle name="20% - Accent3 8 4" xfId="5425"/>
    <cellStyle name="20% - Accent3 8 4 2" xfId="5426"/>
    <cellStyle name="20% - Accent3 8 5" xfId="5427"/>
    <cellStyle name="20% - Accent3 8 5 2" xfId="5428"/>
    <cellStyle name="20% - Accent3 8 6" xfId="5429"/>
    <cellStyle name="20% - Accent3 80" xfId="5430"/>
    <cellStyle name="20% - Accent3 80 2" xfId="5431"/>
    <cellStyle name="20% - Accent3 80 2 2" xfId="5432"/>
    <cellStyle name="20% - Accent3 80 3" xfId="5433"/>
    <cellStyle name="20% - Accent3 80 3 2" xfId="5434"/>
    <cellStyle name="20% - Accent3 80 4" xfId="5435"/>
    <cellStyle name="20% - Accent3 81" xfId="5436"/>
    <cellStyle name="20% - Accent3 81 2" xfId="5437"/>
    <cellStyle name="20% - Accent3 81 2 2" xfId="5438"/>
    <cellStyle name="20% - Accent3 81 3" xfId="5439"/>
    <cellStyle name="20% - Accent3 81 3 2" xfId="5440"/>
    <cellStyle name="20% - Accent3 81 4" xfId="5441"/>
    <cellStyle name="20% - Accent3 82" xfId="5442"/>
    <cellStyle name="20% - Accent3 82 2" xfId="5443"/>
    <cellStyle name="20% - Accent3 82 2 2" xfId="5444"/>
    <cellStyle name="20% - Accent3 82 3" xfId="5445"/>
    <cellStyle name="20% - Accent3 82 3 2" xfId="5446"/>
    <cellStyle name="20% - Accent3 82 4" xfId="5447"/>
    <cellStyle name="20% - Accent3 83" xfId="5448"/>
    <cellStyle name="20% - Accent3 83 2" xfId="5449"/>
    <cellStyle name="20% - Accent3 83 2 2" xfId="5450"/>
    <cellStyle name="20% - Accent3 83 3" xfId="5451"/>
    <cellStyle name="20% - Accent3 83 3 2" xfId="5452"/>
    <cellStyle name="20% - Accent3 83 4" xfId="5453"/>
    <cellStyle name="20% - Accent3 84" xfId="5454"/>
    <cellStyle name="20% - Accent3 84 2" xfId="5455"/>
    <cellStyle name="20% - Accent3 84 2 2" xfId="5456"/>
    <cellStyle name="20% - Accent3 84 3" xfId="5457"/>
    <cellStyle name="20% - Accent3 84 3 2" xfId="5458"/>
    <cellStyle name="20% - Accent3 84 4" xfId="5459"/>
    <cellStyle name="20% - Accent3 85" xfId="5460"/>
    <cellStyle name="20% - Accent3 85 2" xfId="5461"/>
    <cellStyle name="20% - Accent3 85 2 2" xfId="5462"/>
    <cellStyle name="20% - Accent3 85 3" xfId="5463"/>
    <cellStyle name="20% - Accent3 85 3 2" xfId="5464"/>
    <cellStyle name="20% - Accent3 85 4" xfId="5465"/>
    <cellStyle name="20% - Accent3 86" xfId="5466"/>
    <cellStyle name="20% - Accent3 86 2" xfId="5467"/>
    <cellStyle name="20% - Accent3 86 2 2" xfId="5468"/>
    <cellStyle name="20% - Accent3 86 3" xfId="5469"/>
    <cellStyle name="20% - Accent3 86 3 2" xfId="5470"/>
    <cellStyle name="20% - Accent3 86 4" xfId="5471"/>
    <cellStyle name="20% - Accent3 87" xfId="5472"/>
    <cellStyle name="20% - Accent3 87 2" xfId="5473"/>
    <cellStyle name="20% - Accent3 87 2 2" xfId="5474"/>
    <cellStyle name="20% - Accent3 87 3" xfId="5475"/>
    <cellStyle name="20% - Accent3 87 3 2" xfId="5476"/>
    <cellStyle name="20% - Accent3 87 4" xfId="5477"/>
    <cellStyle name="20% - Accent3 88" xfId="5478"/>
    <cellStyle name="20% - Accent3 88 2" xfId="5479"/>
    <cellStyle name="20% - Accent3 88 2 2" xfId="5480"/>
    <cellStyle name="20% - Accent3 88 3" xfId="5481"/>
    <cellStyle name="20% - Accent3 88 3 2" xfId="5482"/>
    <cellStyle name="20% - Accent3 88 4" xfId="5483"/>
    <cellStyle name="20% - Accent3 89" xfId="5484"/>
    <cellStyle name="20% - Accent3 89 2" xfId="5485"/>
    <cellStyle name="20% - Accent3 89 2 2" xfId="5486"/>
    <cellStyle name="20% - Accent3 89 3" xfId="5487"/>
    <cellStyle name="20% - Accent3 89 3 2" xfId="5488"/>
    <cellStyle name="20% - Accent3 89 4" xfId="5489"/>
    <cellStyle name="20% - Accent3 9" xfId="5490"/>
    <cellStyle name="20% - Accent3 9 2" xfId="5491"/>
    <cellStyle name="20% - Accent3 9 2 2" xfId="5492"/>
    <cellStyle name="20% - Accent3 9 2 2 2" xfId="5493"/>
    <cellStyle name="20% - Accent3 9 2 3" xfId="5494"/>
    <cellStyle name="20% - Accent3 9 2 3 2" xfId="5495"/>
    <cellStyle name="20% - Accent3 9 2 4" xfId="5496"/>
    <cellStyle name="20% - Accent3 9 3" xfId="5497"/>
    <cellStyle name="20% - Accent3 9 3 2" xfId="5498"/>
    <cellStyle name="20% - Accent3 9 3 2 2" xfId="5499"/>
    <cellStyle name="20% - Accent3 9 3 3" xfId="5500"/>
    <cellStyle name="20% - Accent3 9 3 3 2" xfId="5501"/>
    <cellStyle name="20% - Accent3 9 3 4" xfId="5502"/>
    <cellStyle name="20% - Accent3 9 4" xfId="5503"/>
    <cellStyle name="20% - Accent3 9 4 2" xfId="5504"/>
    <cellStyle name="20% - Accent3 9 5" xfId="5505"/>
    <cellStyle name="20% - Accent3 9 5 2" xfId="5506"/>
    <cellStyle name="20% - Accent3 9 6" xfId="5507"/>
    <cellStyle name="20% - Accent3 90" xfId="5508"/>
    <cellStyle name="20% - Accent3 90 2" xfId="5509"/>
    <cellStyle name="20% - Accent3 90 2 2" xfId="5510"/>
    <cellStyle name="20% - Accent3 90 3" xfId="5511"/>
    <cellStyle name="20% - Accent3 90 3 2" xfId="5512"/>
    <cellStyle name="20% - Accent3 90 4" xfId="5513"/>
    <cellStyle name="20% - Accent3 91" xfId="5514"/>
    <cellStyle name="20% - Accent3 91 2" xfId="5515"/>
    <cellStyle name="20% - Accent3 91 2 2" xfId="5516"/>
    <cellStyle name="20% - Accent3 91 3" xfId="5517"/>
    <cellStyle name="20% - Accent3 91 3 2" xfId="5518"/>
    <cellStyle name="20% - Accent3 91 4" xfId="5519"/>
    <cellStyle name="20% - Accent3 92" xfId="5520"/>
    <cellStyle name="20% - Accent3 92 2" xfId="5521"/>
    <cellStyle name="20% - Accent3 92 2 2" xfId="5522"/>
    <cellStyle name="20% - Accent3 92 3" xfId="5523"/>
    <cellStyle name="20% - Accent3 92 3 2" xfId="5524"/>
    <cellStyle name="20% - Accent3 92 4" xfId="5525"/>
    <cellStyle name="20% - Accent3 93" xfId="5526"/>
    <cellStyle name="20% - Accent3 93 2" xfId="5527"/>
    <cellStyle name="20% - Accent3 93 2 2" xfId="5528"/>
    <cellStyle name="20% - Accent3 93 3" xfId="5529"/>
    <cellStyle name="20% - Accent3 93 3 2" xfId="5530"/>
    <cellStyle name="20% - Accent3 93 4" xfId="5531"/>
    <cellStyle name="20% - Accent3 94" xfId="5532"/>
    <cellStyle name="20% - Accent3 94 2" xfId="5533"/>
    <cellStyle name="20% - Accent3 94 2 2" xfId="5534"/>
    <cellStyle name="20% - Accent3 94 3" xfId="5535"/>
    <cellStyle name="20% - Accent3 94 3 2" xfId="5536"/>
    <cellStyle name="20% - Accent3 94 4" xfId="5537"/>
    <cellStyle name="20% - Accent3 95" xfId="5538"/>
    <cellStyle name="20% - Accent3 95 2" xfId="5539"/>
    <cellStyle name="20% - Accent3 95 2 2" xfId="5540"/>
    <cellStyle name="20% - Accent3 95 3" xfId="5541"/>
    <cellStyle name="20% - Accent3 95 3 2" xfId="5542"/>
    <cellStyle name="20% - Accent3 95 4" xfId="5543"/>
    <cellStyle name="20% - Accent3 96" xfId="5544"/>
    <cellStyle name="20% - Accent3 96 2" xfId="5545"/>
    <cellStyle name="20% - Accent3 96 2 2" xfId="5546"/>
    <cellStyle name="20% - Accent3 96 3" xfId="5547"/>
    <cellStyle name="20% - Accent3 96 3 2" xfId="5548"/>
    <cellStyle name="20% - Accent3 96 4" xfId="5549"/>
    <cellStyle name="20% - Accent3 97" xfId="5550"/>
    <cellStyle name="20% - Accent3 97 2" xfId="5551"/>
    <cellStyle name="20% - Accent3 97 2 2" xfId="5552"/>
    <cellStyle name="20% - Accent3 97 3" xfId="5553"/>
    <cellStyle name="20% - Accent3 97 3 2" xfId="5554"/>
    <cellStyle name="20% - Accent3 97 4" xfId="5555"/>
    <cellStyle name="20% - Accent3 98" xfId="5556"/>
    <cellStyle name="20% - Accent3 98 2" xfId="5557"/>
    <cellStyle name="20% - Accent3 98 2 2" xfId="5558"/>
    <cellStyle name="20% - Accent3 98 3" xfId="5559"/>
    <cellStyle name="20% - Accent3 98 3 2" xfId="5560"/>
    <cellStyle name="20% - Accent3 98 4" xfId="5561"/>
    <cellStyle name="20% - Accent3 99" xfId="5562"/>
    <cellStyle name="20% - Accent3 99 2" xfId="5563"/>
    <cellStyle name="20% - Accent3 99 2 2" xfId="5564"/>
    <cellStyle name="20% - Accent3 99 3" xfId="5565"/>
    <cellStyle name="20% - Accent3 99 3 2" xfId="5566"/>
    <cellStyle name="20% - Accent3 99 4" xfId="5567"/>
    <cellStyle name="20% - Accent4 10" xfId="5568"/>
    <cellStyle name="20% - Accent4 10 2" xfId="5569"/>
    <cellStyle name="20% - Accent4 10 2 2" xfId="5570"/>
    <cellStyle name="20% - Accent4 10 2 2 2" xfId="5571"/>
    <cellStyle name="20% - Accent4 10 2 3" xfId="5572"/>
    <cellStyle name="20% - Accent4 10 2 3 2" xfId="5573"/>
    <cellStyle name="20% - Accent4 10 2 4" xfId="5574"/>
    <cellStyle name="20% - Accent4 10 3" xfId="5575"/>
    <cellStyle name="20% - Accent4 10 3 2" xfId="5576"/>
    <cellStyle name="20% - Accent4 10 3 2 2" xfId="5577"/>
    <cellStyle name="20% - Accent4 10 3 3" xfId="5578"/>
    <cellStyle name="20% - Accent4 10 3 3 2" xfId="5579"/>
    <cellStyle name="20% - Accent4 10 3 4" xfId="5580"/>
    <cellStyle name="20% - Accent4 10 4" xfId="5581"/>
    <cellStyle name="20% - Accent4 10 4 2" xfId="5582"/>
    <cellStyle name="20% - Accent4 10 5" xfId="5583"/>
    <cellStyle name="20% - Accent4 10 5 2" xfId="5584"/>
    <cellStyle name="20% - Accent4 10 6" xfId="5585"/>
    <cellStyle name="20% - Accent4 100" xfId="5586"/>
    <cellStyle name="20% - Accent4 100 2" xfId="5587"/>
    <cellStyle name="20% - Accent4 100 2 2" xfId="5588"/>
    <cellStyle name="20% - Accent4 100 3" xfId="5589"/>
    <cellStyle name="20% - Accent4 100 3 2" xfId="5590"/>
    <cellStyle name="20% - Accent4 100 4" xfId="5591"/>
    <cellStyle name="20% - Accent4 101" xfId="5592"/>
    <cellStyle name="20% - Accent4 101 2" xfId="5593"/>
    <cellStyle name="20% - Accent4 101 2 2" xfId="5594"/>
    <cellStyle name="20% - Accent4 101 3" xfId="5595"/>
    <cellStyle name="20% - Accent4 101 3 2" xfId="5596"/>
    <cellStyle name="20% - Accent4 101 4" xfId="5597"/>
    <cellStyle name="20% - Accent4 102" xfId="5598"/>
    <cellStyle name="20% - Accent4 102 2" xfId="5599"/>
    <cellStyle name="20% - Accent4 102 2 2" xfId="5600"/>
    <cellStyle name="20% - Accent4 102 3" xfId="5601"/>
    <cellStyle name="20% - Accent4 102 3 2" xfId="5602"/>
    <cellStyle name="20% - Accent4 102 4" xfId="5603"/>
    <cellStyle name="20% - Accent4 103" xfId="5604"/>
    <cellStyle name="20% - Accent4 103 2" xfId="5605"/>
    <cellStyle name="20% - Accent4 103 2 2" xfId="5606"/>
    <cellStyle name="20% - Accent4 103 3" xfId="5607"/>
    <cellStyle name="20% - Accent4 103 3 2" xfId="5608"/>
    <cellStyle name="20% - Accent4 103 4" xfId="5609"/>
    <cellStyle name="20% - Accent4 104" xfId="5610"/>
    <cellStyle name="20% - Accent4 104 2" xfId="5611"/>
    <cellStyle name="20% - Accent4 104 2 2" xfId="5612"/>
    <cellStyle name="20% - Accent4 104 3" xfId="5613"/>
    <cellStyle name="20% - Accent4 104 3 2" xfId="5614"/>
    <cellStyle name="20% - Accent4 104 4" xfId="5615"/>
    <cellStyle name="20% - Accent4 105" xfId="5616"/>
    <cellStyle name="20% - Accent4 105 2" xfId="5617"/>
    <cellStyle name="20% - Accent4 105 2 2" xfId="5618"/>
    <cellStyle name="20% - Accent4 105 3" xfId="5619"/>
    <cellStyle name="20% - Accent4 105 3 2" xfId="5620"/>
    <cellStyle name="20% - Accent4 105 4" xfId="5621"/>
    <cellStyle name="20% - Accent4 106" xfId="5622"/>
    <cellStyle name="20% - Accent4 106 2" xfId="5623"/>
    <cellStyle name="20% - Accent4 106 2 2" xfId="5624"/>
    <cellStyle name="20% - Accent4 106 3" xfId="5625"/>
    <cellStyle name="20% - Accent4 106 3 2" xfId="5626"/>
    <cellStyle name="20% - Accent4 106 4" xfId="5627"/>
    <cellStyle name="20% - Accent4 107" xfId="5628"/>
    <cellStyle name="20% - Accent4 107 2" xfId="5629"/>
    <cellStyle name="20% - Accent4 107 2 2" xfId="5630"/>
    <cellStyle name="20% - Accent4 107 3" xfId="5631"/>
    <cellStyle name="20% - Accent4 107 3 2" xfId="5632"/>
    <cellStyle name="20% - Accent4 107 4" xfId="5633"/>
    <cellStyle name="20% - Accent4 108" xfId="5634"/>
    <cellStyle name="20% - Accent4 108 2" xfId="5635"/>
    <cellStyle name="20% - Accent4 108 2 2" xfId="5636"/>
    <cellStyle name="20% - Accent4 108 3" xfId="5637"/>
    <cellStyle name="20% - Accent4 108 3 2" xfId="5638"/>
    <cellStyle name="20% - Accent4 108 4" xfId="5639"/>
    <cellStyle name="20% - Accent4 109" xfId="5640"/>
    <cellStyle name="20% - Accent4 109 2" xfId="5641"/>
    <cellStyle name="20% - Accent4 109 2 2" xfId="5642"/>
    <cellStyle name="20% - Accent4 109 3" xfId="5643"/>
    <cellStyle name="20% - Accent4 109 3 2" xfId="5644"/>
    <cellStyle name="20% - Accent4 109 4" xfId="5645"/>
    <cellStyle name="20% - Accent4 11" xfId="5646"/>
    <cellStyle name="20% - Accent4 11 2" xfId="5647"/>
    <cellStyle name="20% - Accent4 11 2 2" xfId="5648"/>
    <cellStyle name="20% - Accent4 11 2 2 2" xfId="5649"/>
    <cellStyle name="20% - Accent4 11 2 3" xfId="5650"/>
    <cellStyle name="20% - Accent4 11 2 3 2" xfId="5651"/>
    <cellStyle name="20% - Accent4 11 2 4" xfId="5652"/>
    <cellStyle name="20% - Accent4 11 3" xfId="5653"/>
    <cellStyle name="20% - Accent4 11 3 2" xfId="5654"/>
    <cellStyle name="20% - Accent4 11 3 2 2" xfId="5655"/>
    <cellStyle name="20% - Accent4 11 3 3" xfId="5656"/>
    <cellStyle name="20% - Accent4 11 3 3 2" xfId="5657"/>
    <cellStyle name="20% - Accent4 11 3 4" xfId="5658"/>
    <cellStyle name="20% - Accent4 11 4" xfId="5659"/>
    <cellStyle name="20% - Accent4 11 4 2" xfId="5660"/>
    <cellStyle name="20% - Accent4 11 5" xfId="5661"/>
    <cellStyle name="20% - Accent4 11 5 2" xfId="5662"/>
    <cellStyle name="20% - Accent4 11 6" xfId="5663"/>
    <cellStyle name="20% - Accent4 110" xfId="5664"/>
    <cellStyle name="20% - Accent4 110 2" xfId="5665"/>
    <cellStyle name="20% - Accent4 110 2 2" xfId="5666"/>
    <cellStyle name="20% - Accent4 110 3" xfId="5667"/>
    <cellStyle name="20% - Accent4 110 3 2" xfId="5668"/>
    <cellStyle name="20% - Accent4 110 4" xfId="5669"/>
    <cellStyle name="20% - Accent4 111" xfId="5670"/>
    <cellStyle name="20% - Accent4 111 2" xfId="5671"/>
    <cellStyle name="20% - Accent4 111 2 2" xfId="5672"/>
    <cellStyle name="20% - Accent4 111 3" xfId="5673"/>
    <cellStyle name="20% - Accent4 111 3 2" xfId="5674"/>
    <cellStyle name="20% - Accent4 111 4" xfId="5675"/>
    <cellStyle name="20% - Accent4 112" xfId="5676"/>
    <cellStyle name="20% - Accent4 112 2" xfId="5677"/>
    <cellStyle name="20% - Accent4 112 2 2" xfId="5678"/>
    <cellStyle name="20% - Accent4 112 3" xfId="5679"/>
    <cellStyle name="20% - Accent4 112 3 2" xfId="5680"/>
    <cellStyle name="20% - Accent4 112 4" xfId="5681"/>
    <cellStyle name="20% - Accent4 113" xfId="5682"/>
    <cellStyle name="20% - Accent4 113 2" xfId="5683"/>
    <cellStyle name="20% - Accent4 113 2 2" xfId="5684"/>
    <cellStyle name="20% - Accent4 113 3" xfId="5685"/>
    <cellStyle name="20% - Accent4 113 3 2" xfId="5686"/>
    <cellStyle name="20% - Accent4 113 4" xfId="5687"/>
    <cellStyle name="20% - Accent4 114" xfId="5688"/>
    <cellStyle name="20% - Accent4 114 2" xfId="5689"/>
    <cellStyle name="20% - Accent4 114 2 2" xfId="5690"/>
    <cellStyle name="20% - Accent4 114 3" xfId="5691"/>
    <cellStyle name="20% - Accent4 114 3 2" xfId="5692"/>
    <cellStyle name="20% - Accent4 114 4" xfId="5693"/>
    <cellStyle name="20% - Accent4 115" xfId="5694"/>
    <cellStyle name="20% - Accent4 115 2" xfId="5695"/>
    <cellStyle name="20% - Accent4 115 2 2" xfId="5696"/>
    <cellStyle name="20% - Accent4 115 3" xfId="5697"/>
    <cellStyle name="20% - Accent4 115 3 2" xfId="5698"/>
    <cellStyle name="20% - Accent4 115 4" xfId="5699"/>
    <cellStyle name="20% - Accent4 116" xfId="5700"/>
    <cellStyle name="20% - Accent4 116 2" xfId="5701"/>
    <cellStyle name="20% - Accent4 116 2 2" xfId="5702"/>
    <cellStyle name="20% - Accent4 116 3" xfId="5703"/>
    <cellStyle name="20% - Accent4 116 3 2" xfId="5704"/>
    <cellStyle name="20% - Accent4 116 4" xfId="5705"/>
    <cellStyle name="20% - Accent4 117" xfId="5706"/>
    <cellStyle name="20% - Accent4 117 2" xfId="5707"/>
    <cellStyle name="20% - Accent4 117 2 2" xfId="5708"/>
    <cellStyle name="20% - Accent4 117 3" xfId="5709"/>
    <cellStyle name="20% - Accent4 117 3 2" xfId="5710"/>
    <cellStyle name="20% - Accent4 117 4" xfId="5711"/>
    <cellStyle name="20% - Accent4 118" xfId="5712"/>
    <cellStyle name="20% - Accent4 118 2" xfId="5713"/>
    <cellStyle name="20% - Accent4 118 2 2" xfId="5714"/>
    <cellStyle name="20% - Accent4 118 3" xfId="5715"/>
    <cellStyle name="20% - Accent4 118 3 2" xfId="5716"/>
    <cellStyle name="20% - Accent4 118 4" xfId="5717"/>
    <cellStyle name="20% - Accent4 119" xfId="5718"/>
    <cellStyle name="20% - Accent4 119 2" xfId="5719"/>
    <cellStyle name="20% - Accent4 119 2 2" xfId="5720"/>
    <cellStyle name="20% - Accent4 119 3" xfId="5721"/>
    <cellStyle name="20% - Accent4 119 3 2" xfId="5722"/>
    <cellStyle name="20% - Accent4 119 4" xfId="5723"/>
    <cellStyle name="20% - Accent4 12" xfId="5724"/>
    <cellStyle name="20% - Accent4 12 2" xfId="5725"/>
    <cellStyle name="20% - Accent4 12 2 2" xfId="5726"/>
    <cellStyle name="20% - Accent4 12 2 2 2" xfId="5727"/>
    <cellStyle name="20% - Accent4 12 2 3" xfId="5728"/>
    <cellStyle name="20% - Accent4 12 2 3 2" xfId="5729"/>
    <cellStyle name="20% - Accent4 12 2 4" xfId="5730"/>
    <cellStyle name="20% - Accent4 12 3" xfId="5731"/>
    <cellStyle name="20% - Accent4 12 3 2" xfId="5732"/>
    <cellStyle name="20% - Accent4 12 3 2 2" xfId="5733"/>
    <cellStyle name="20% - Accent4 12 3 3" xfId="5734"/>
    <cellStyle name="20% - Accent4 12 3 3 2" xfId="5735"/>
    <cellStyle name="20% - Accent4 12 3 4" xfId="5736"/>
    <cellStyle name="20% - Accent4 12 4" xfId="5737"/>
    <cellStyle name="20% - Accent4 12 4 2" xfId="5738"/>
    <cellStyle name="20% - Accent4 12 5" xfId="5739"/>
    <cellStyle name="20% - Accent4 12 5 2" xfId="5740"/>
    <cellStyle name="20% - Accent4 12 6" xfId="5741"/>
    <cellStyle name="20% - Accent4 120" xfId="5742"/>
    <cellStyle name="20% - Accent4 120 2" xfId="5743"/>
    <cellStyle name="20% - Accent4 120 2 2" xfId="5744"/>
    <cellStyle name="20% - Accent4 120 3" xfId="5745"/>
    <cellStyle name="20% - Accent4 120 3 2" xfId="5746"/>
    <cellStyle name="20% - Accent4 120 4" xfId="5747"/>
    <cellStyle name="20% - Accent4 121" xfId="5748"/>
    <cellStyle name="20% - Accent4 121 2" xfId="5749"/>
    <cellStyle name="20% - Accent4 121 2 2" xfId="5750"/>
    <cellStyle name="20% - Accent4 121 3" xfId="5751"/>
    <cellStyle name="20% - Accent4 121 3 2" xfId="5752"/>
    <cellStyle name="20% - Accent4 121 4" xfId="5753"/>
    <cellStyle name="20% - Accent4 122" xfId="5754"/>
    <cellStyle name="20% - Accent4 122 2" xfId="5755"/>
    <cellStyle name="20% - Accent4 122 2 2" xfId="5756"/>
    <cellStyle name="20% - Accent4 122 3" xfId="5757"/>
    <cellStyle name="20% - Accent4 122 3 2" xfId="5758"/>
    <cellStyle name="20% - Accent4 122 4" xfId="5759"/>
    <cellStyle name="20% - Accent4 123" xfId="5760"/>
    <cellStyle name="20% - Accent4 123 2" xfId="5761"/>
    <cellStyle name="20% - Accent4 123 2 2" xfId="5762"/>
    <cellStyle name="20% - Accent4 123 3" xfId="5763"/>
    <cellStyle name="20% - Accent4 123 3 2" xfId="5764"/>
    <cellStyle name="20% - Accent4 123 4" xfId="5765"/>
    <cellStyle name="20% - Accent4 124" xfId="5766"/>
    <cellStyle name="20% - Accent4 124 2" xfId="5767"/>
    <cellStyle name="20% - Accent4 124 2 2" xfId="5768"/>
    <cellStyle name="20% - Accent4 124 3" xfId="5769"/>
    <cellStyle name="20% - Accent4 124 3 2" xfId="5770"/>
    <cellStyle name="20% - Accent4 124 4" xfId="5771"/>
    <cellStyle name="20% - Accent4 125" xfId="5772"/>
    <cellStyle name="20% - Accent4 125 2" xfId="5773"/>
    <cellStyle name="20% - Accent4 125 2 2" xfId="5774"/>
    <cellStyle name="20% - Accent4 125 3" xfId="5775"/>
    <cellStyle name="20% - Accent4 125 3 2" xfId="5776"/>
    <cellStyle name="20% - Accent4 125 4" xfId="5777"/>
    <cellStyle name="20% - Accent4 126" xfId="5778"/>
    <cellStyle name="20% - Accent4 126 2" xfId="5779"/>
    <cellStyle name="20% - Accent4 126 2 2" xfId="5780"/>
    <cellStyle name="20% - Accent4 126 3" xfId="5781"/>
    <cellStyle name="20% - Accent4 126 3 2" xfId="5782"/>
    <cellStyle name="20% - Accent4 126 4" xfId="5783"/>
    <cellStyle name="20% - Accent4 127" xfId="5784"/>
    <cellStyle name="20% - Accent4 127 2" xfId="5785"/>
    <cellStyle name="20% - Accent4 127 2 2" xfId="5786"/>
    <cellStyle name="20% - Accent4 127 3" xfId="5787"/>
    <cellStyle name="20% - Accent4 127 3 2" xfId="5788"/>
    <cellStyle name="20% - Accent4 127 4" xfId="5789"/>
    <cellStyle name="20% - Accent4 128" xfId="5790"/>
    <cellStyle name="20% - Accent4 128 2" xfId="5791"/>
    <cellStyle name="20% - Accent4 128 2 2" xfId="5792"/>
    <cellStyle name="20% - Accent4 128 3" xfId="5793"/>
    <cellStyle name="20% - Accent4 128 3 2" xfId="5794"/>
    <cellStyle name="20% - Accent4 128 4" xfId="5795"/>
    <cellStyle name="20% - Accent4 129" xfId="5796"/>
    <cellStyle name="20% - Accent4 129 2" xfId="5797"/>
    <cellStyle name="20% - Accent4 129 2 2" xfId="5798"/>
    <cellStyle name="20% - Accent4 129 3" xfId="5799"/>
    <cellStyle name="20% - Accent4 129 3 2" xfId="5800"/>
    <cellStyle name="20% - Accent4 129 4" xfId="5801"/>
    <cellStyle name="20% - Accent4 13" xfId="5802"/>
    <cellStyle name="20% - Accent4 13 2" xfId="5803"/>
    <cellStyle name="20% - Accent4 13 2 2" xfId="5804"/>
    <cellStyle name="20% - Accent4 13 2 2 2" xfId="5805"/>
    <cellStyle name="20% - Accent4 13 2 3" xfId="5806"/>
    <cellStyle name="20% - Accent4 13 2 3 2" xfId="5807"/>
    <cellStyle name="20% - Accent4 13 2 4" xfId="5808"/>
    <cellStyle name="20% - Accent4 13 3" xfId="5809"/>
    <cellStyle name="20% - Accent4 13 3 2" xfId="5810"/>
    <cellStyle name="20% - Accent4 13 3 2 2" xfId="5811"/>
    <cellStyle name="20% - Accent4 13 3 3" xfId="5812"/>
    <cellStyle name="20% - Accent4 13 3 3 2" xfId="5813"/>
    <cellStyle name="20% - Accent4 13 3 4" xfId="5814"/>
    <cellStyle name="20% - Accent4 13 4" xfId="5815"/>
    <cellStyle name="20% - Accent4 13 4 2" xfId="5816"/>
    <cellStyle name="20% - Accent4 13 5" xfId="5817"/>
    <cellStyle name="20% - Accent4 13 5 2" xfId="5818"/>
    <cellStyle name="20% - Accent4 13 6" xfId="5819"/>
    <cellStyle name="20% - Accent4 130" xfId="5820"/>
    <cellStyle name="20% - Accent4 130 2" xfId="5821"/>
    <cellStyle name="20% - Accent4 130 2 2" xfId="5822"/>
    <cellStyle name="20% - Accent4 130 3" xfId="5823"/>
    <cellStyle name="20% - Accent4 130 3 2" xfId="5824"/>
    <cellStyle name="20% - Accent4 130 4" xfId="5825"/>
    <cellStyle name="20% - Accent4 131" xfId="5826"/>
    <cellStyle name="20% - Accent4 131 2" xfId="5827"/>
    <cellStyle name="20% - Accent4 131 2 2" xfId="5828"/>
    <cellStyle name="20% - Accent4 131 3" xfId="5829"/>
    <cellStyle name="20% - Accent4 131 3 2" xfId="5830"/>
    <cellStyle name="20% - Accent4 131 4" xfId="5831"/>
    <cellStyle name="20% - Accent4 132" xfId="5832"/>
    <cellStyle name="20% - Accent4 132 2" xfId="5833"/>
    <cellStyle name="20% - Accent4 132 2 2" xfId="5834"/>
    <cellStyle name="20% - Accent4 132 3" xfId="5835"/>
    <cellStyle name="20% - Accent4 132 3 2" xfId="5836"/>
    <cellStyle name="20% - Accent4 132 4" xfId="5837"/>
    <cellStyle name="20% - Accent4 133" xfId="5838"/>
    <cellStyle name="20% - Accent4 133 2" xfId="5839"/>
    <cellStyle name="20% - Accent4 133 2 2" xfId="5840"/>
    <cellStyle name="20% - Accent4 133 3" xfId="5841"/>
    <cellStyle name="20% - Accent4 133 3 2" xfId="5842"/>
    <cellStyle name="20% - Accent4 133 4" xfId="5843"/>
    <cellStyle name="20% - Accent4 134" xfId="5844"/>
    <cellStyle name="20% - Accent4 134 2" xfId="5845"/>
    <cellStyle name="20% - Accent4 134 2 2" xfId="5846"/>
    <cellStyle name="20% - Accent4 134 3" xfId="5847"/>
    <cellStyle name="20% - Accent4 134 3 2" xfId="5848"/>
    <cellStyle name="20% - Accent4 134 4" xfId="5849"/>
    <cellStyle name="20% - Accent4 135" xfId="5850"/>
    <cellStyle name="20% - Accent4 135 2" xfId="5851"/>
    <cellStyle name="20% - Accent4 135 2 2" xfId="5852"/>
    <cellStyle name="20% - Accent4 135 3" xfId="5853"/>
    <cellStyle name="20% - Accent4 135 3 2" xfId="5854"/>
    <cellStyle name="20% - Accent4 135 4" xfId="5855"/>
    <cellStyle name="20% - Accent4 136" xfId="5856"/>
    <cellStyle name="20% - Accent4 136 2" xfId="5857"/>
    <cellStyle name="20% - Accent4 136 2 2" xfId="5858"/>
    <cellStyle name="20% - Accent4 136 3" xfId="5859"/>
    <cellStyle name="20% - Accent4 136 3 2" xfId="5860"/>
    <cellStyle name="20% - Accent4 136 4" xfId="5861"/>
    <cellStyle name="20% - Accent4 137" xfId="5862"/>
    <cellStyle name="20% - Accent4 137 2" xfId="5863"/>
    <cellStyle name="20% - Accent4 137 2 2" xfId="5864"/>
    <cellStyle name="20% - Accent4 137 3" xfId="5865"/>
    <cellStyle name="20% - Accent4 137 3 2" xfId="5866"/>
    <cellStyle name="20% - Accent4 137 4" xfId="5867"/>
    <cellStyle name="20% - Accent4 138" xfId="5868"/>
    <cellStyle name="20% - Accent4 138 2" xfId="5869"/>
    <cellStyle name="20% - Accent4 138 2 2" xfId="5870"/>
    <cellStyle name="20% - Accent4 138 3" xfId="5871"/>
    <cellStyle name="20% - Accent4 138 3 2" xfId="5872"/>
    <cellStyle name="20% - Accent4 138 4" xfId="5873"/>
    <cellStyle name="20% - Accent4 139" xfId="5874"/>
    <cellStyle name="20% - Accent4 139 2" xfId="5875"/>
    <cellStyle name="20% - Accent4 139 2 2" xfId="5876"/>
    <cellStyle name="20% - Accent4 139 3" xfId="5877"/>
    <cellStyle name="20% - Accent4 139 3 2" xfId="5878"/>
    <cellStyle name="20% - Accent4 139 4" xfId="5879"/>
    <cellStyle name="20% - Accent4 14" xfId="5880"/>
    <cellStyle name="20% - Accent4 14 2" xfId="5881"/>
    <cellStyle name="20% - Accent4 14 2 2" xfId="5882"/>
    <cellStyle name="20% - Accent4 14 2 2 2" xfId="5883"/>
    <cellStyle name="20% - Accent4 14 2 3" xfId="5884"/>
    <cellStyle name="20% - Accent4 14 2 3 2" xfId="5885"/>
    <cellStyle name="20% - Accent4 14 2 4" xfId="5886"/>
    <cellStyle name="20% - Accent4 14 3" xfId="5887"/>
    <cellStyle name="20% - Accent4 14 3 2" xfId="5888"/>
    <cellStyle name="20% - Accent4 14 3 2 2" xfId="5889"/>
    <cellStyle name="20% - Accent4 14 3 3" xfId="5890"/>
    <cellStyle name="20% - Accent4 14 3 3 2" xfId="5891"/>
    <cellStyle name="20% - Accent4 14 3 4" xfId="5892"/>
    <cellStyle name="20% - Accent4 14 4" xfId="5893"/>
    <cellStyle name="20% - Accent4 14 4 2" xfId="5894"/>
    <cellStyle name="20% - Accent4 14 5" xfId="5895"/>
    <cellStyle name="20% - Accent4 14 5 2" xfId="5896"/>
    <cellStyle name="20% - Accent4 14 6" xfId="5897"/>
    <cellStyle name="20% - Accent4 140" xfId="5898"/>
    <cellStyle name="20% - Accent4 140 2" xfId="5899"/>
    <cellStyle name="20% - Accent4 140 2 2" xfId="5900"/>
    <cellStyle name="20% - Accent4 140 3" xfId="5901"/>
    <cellStyle name="20% - Accent4 140 3 2" xfId="5902"/>
    <cellStyle name="20% - Accent4 140 4" xfId="5903"/>
    <cellStyle name="20% - Accent4 141" xfId="5904"/>
    <cellStyle name="20% - Accent4 141 2" xfId="5905"/>
    <cellStyle name="20% - Accent4 141 2 2" xfId="5906"/>
    <cellStyle name="20% - Accent4 141 3" xfId="5907"/>
    <cellStyle name="20% - Accent4 141 3 2" xfId="5908"/>
    <cellStyle name="20% - Accent4 141 4" xfId="5909"/>
    <cellStyle name="20% - Accent4 142" xfId="5910"/>
    <cellStyle name="20% - Accent4 142 2" xfId="5911"/>
    <cellStyle name="20% - Accent4 142 2 2" xfId="5912"/>
    <cellStyle name="20% - Accent4 142 3" xfId="5913"/>
    <cellStyle name="20% - Accent4 142 3 2" xfId="5914"/>
    <cellStyle name="20% - Accent4 142 4" xfId="5915"/>
    <cellStyle name="20% - Accent4 143" xfId="5916"/>
    <cellStyle name="20% - Accent4 143 2" xfId="5917"/>
    <cellStyle name="20% - Accent4 143 2 2" xfId="5918"/>
    <cellStyle name="20% - Accent4 143 3" xfId="5919"/>
    <cellStyle name="20% - Accent4 143 3 2" xfId="5920"/>
    <cellStyle name="20% - Accent4 143 4" xfId="5921"/>
    <cellStyle name="20% - Accent4 144" xfId="5922"/>
    <cellStyle name="20% - Accent4 144 2" xfId="5923"/>
    <cellStyle name="20% - Accent4 144 2 2" xfId="5924"/>
    <cellStyle name="20% - Accent4 144 3" xfId="5925"/>
    <cellStyle name="20% - Accent4 144 3 2" xfId="5926"/>
    <cellStyle name="20% - Accent4 144 4" xfId="5927"/>
    <cellStyle name="20% - Accent4 145" xfId="5928"/>
    <cellStyle name="20% - Accent4 145 2" xfId="5929"/>
    <cellStyle name="20% - Accent4 145 2 2" xfId="5930"/>
    <cellStyle name="20% - Accent4 145 3" xfId="5931"/>
    <cellStyle name="20% - Accent4 145 3 2" xfId="5932"/>
    <cellStyle name="20% - Accent4 145 4" xfId="5933"/>
    <cellStyle name="20% - Accent4 146" xfId="5934"/>
    <cellStyle name="20% - Accent4 146 2" xfId="5935"/>
    <cellStyle name="20% - Accent4 146 2 2" xfId="5936"/>
    <cellStyle name="20% - Accent4 146 3" xfId="5937"/>
    <cellStyle name="20% - Accent4 146 3 2" xfId="5938"/>
    <cellStyle name="20% - Accent4 146 4" xfId="5939"/>
    <cellStyle name="20% - Accent4 147" xfId="5940"/>
    <cellStyle name="20% - Accent4 147 2" xfId="5941"/>
    <cellStyle name="20% - Accent4 147 2 2" xfId="5942"/>
    <cellStyle name="20% - Accent4 147 3" xfId="5943"/>
    <cellStyle name="20% - Accent4 147 3 2" xfId="5944"/>
    <cellStyle name="20% - Accent4 147 4" xfId="5945"/>
    <cellStyle name="20% - Accent4 148" xfId="5946"/>
    <cellStyle name="20% - Accent4 148 2" xfId="5947"/>
    <cellStyle name="20% - Accent4 148 2 2" xfId="5948"/>
    <cellStyle name="20% - Accent4 148 3" xfId="5949"/>
    <cellStyle name="20% - Accent4 148 3 2" xfId="5950"/>
    <cellStyle name="20% - Accent4 148 4" xfId="5951"/>
    <cellStyle name="20% - Accent4 149" xfId="5952"/>
    <cellStyle name="20% - Accent4 149 2" xfId="5953"/>
    <cellStyle name="20% - Accent4 149 2 2" xfId="5954"/>
    <cellStyle name="20% - Accent4 149 3" xfId="5955"/>
    <cellStyle name="20% - Accent4 149 3 2" xfId="5956"/>
    <cellStyle name="20% - Accent4 149 4" xfId="5957"/>
    <cellStyle name="20% - Accent4 15" xfId="5958"/>
    <cellStyle name="20% - Accent4 15 2" xfId="5959"/>
    <cellStyle name="20% - Accent4 15 2 2" xfId="5960"/>
    <cellStyle name="20% - Accent4 15 2 2 2" xfId="5961"/>
    <cellStyle name="20% - Accent4 15 2 3" xfId="5962"/>
    <cellStyle name="20% - Accent4 15 2 3 2" xfId="5963"/>
    <cellStyle name="20% - Accent4 15 2 4" xfId="5964"/>
    <cellStyle name="20% - Accent4 15 3" xfId="5965"/>
    <cellStyle name="20% - Accent4 15 3 2" xfId="5966"/>
    <cellStyle name="20% - Accent4 15 3 2 2" xfId="5967"/>
    <cellStyle name="20% - Accent4 15 3 3" xfId="5968"/>
    <cellStyle name="20% - Accent4 15 3 3 2" xfId="5969"/>
    <cellStyle name="20% - Accent4 15 3 4" xfId="5970"/>
    <cellStyle name="20% - Accent4 15 4" xfId="5971"/>
    <cellStyle name="20% - Accent4 15 4 2" xfId="5972"/>
    <cellStyle name="20% - Accent4 15 5" xfId="5973"/>
    <cellStyle name="20% - Accent4 15 5 2" xfId="5974"/>
    <cellStyle name="20% - Accent4 15 6" xfId="5975"/>
    <cellStyle name="20% - Accent4 150" xfId="5976"/>
    <cellStyle name="20% - Accent4 150 2" xfId="5977"/>
    <cellStyle name="20% - Accent4 150 2 2" xfId="5978"/>
    <cellStyle name="20% - Accent4 150 3" xfId="5979"/>
    <cellStyle name="20% - Accent4 150 3 2" xfId="5980"/>
    <cellStyle name="20% - Accent4 150 4" xfId="5981"/>
    <cellStyle name="20% - Accent4 151" xfId="5982"/>
    <cellStyle name="20% - Accent4 151 2" xfId="5983"/>
    <cellStyle name="20% - Accent4 151 2 2" xfId="5984"/>
    <cellStyle name="20% - Accent4 151 3" xfId="5985"/>
    <cellStyle name="20% - Accent4 151 3 2" xfId="5986"/>
    <cellStyle name="20% - Accent4 151 4" xfId="5987"/>
    <cellStyle name="20% - Accent4 152" xfId="5988"/>
    <cellStyle name="20% - Accent4 152 2" xfId="5989"/>
    <cellStyle name="20% - Accent4 152 2 2" xfId="5990"/>
    <cellStyle name="20% - Accent4 152 3" xfId="5991"/>
    <cellStyle name="20% - Accent4 152 3 2" xfId="5992"/>
    <cellStyle name="20% - Accent4 152 4" xfId="5993"/>
    <cellStyle name="20% - Accent4 153" xfId="5994"/>
    <cellStyle name="20% - Accent4 153 2" xfId="5995"/>
    <cellStyle name="20% - Accent4 153 2 2" xfId="5996"/>
    <cellStyle name="20% - Accent4 153 3" xfId="5997"/>
    <cellStyle name="20% - Accent4 153 3 2" xfId="5998"/>
    <cellStyle name="20% - Accent4 153 4" xfId="5999"/>
    <cellStyle name="20% - Accent4 154" xfId="6000"/>
    <cellStyle name="20% - Accent4 154 2" xfId="6001"/>
    <cellStyle name="20% - Accent4 154 2 2" xfId="6002"/>
    <cellStyle name="20% - Accent4 154 3" xfId="6003"/>
    <cellStyle name="20% - Accent4 154 3 2" xfId="6004"/>
    <cellStyle name="20% - Accent4 154 4" xfId="6005"/>
    <cellStyle name="20% - Accent4 155" xfId="6006"/>
    <cellStyle name="20% - Accent4 155 2" xfId="6007"/>
    <cellStyle name="20% - Accent4 155 2 2" xfId="6008"/>
    <cellStyle name="20% - Accent4 155 3" xfId="6009"/>
    <cellStyle name="20% - Accent4 155 3 2" xfId="6010"/>
    <cellStyle name="20% - Accent4 155 4" xfId="6011"/>
    <cellStyle name="20% - Accent4 156" xfId="6012"/>
    <cellStyle name="20% - Accent4 156 2" xfId="6013"/>
    <cellStyle name="20% - Accent4 156 2 2" xfId="6014"/>
    <cellStyle name="20% - Accent4 156 3" xfId="6015"/>
    <cellStyle name="20% - Accent4 156 3 2" xfId="6016"/>
    <cellStyle name="20% - Accent4 156 4" xfId="6017"/>
    <cellStyle name="20% - Accent4 157" xfId="6018"/>
    <cellStyle name="20% - Accent4 157 2" xfId="6019"/>
    <cellStyle name="20% - Accent4 157 2 2" xfId="6020"/>
    <cellStyle name="20% - Accent4 157 3" xfId="6021"/>
    <cellStyle name="20% - Accent4 157 3 2" xfId="6022"/>
    <cellStyle name="20% - Accent4 157 4" xfId="6023"/>
    <cellStyle name="20% - Accent4 158" xfId="6024"/>
    <cellStyle name="20% - Accent4 158 2" xfId="6025"/>
    <cellStyle name="20% - Accent4 158 2 2" xfId="6026"/>
    <cellStyle name="20% - Accent4 158 3" xfId="6027"/>
    <cellStyle name="20% - Accent4 158 3 2" xfId="6028"/>
    <cellStyle name="20% - Accent4 158 4" xfId="6029"/>
    <cellStyle name="20% - Accent4 159" xfId="6030"/>
    <cellStyle name="20% - Accent4 159 2" xfId="6031"/>
    <cellStyle name="20% - Accent4 159 2 2" xfId="6032"/>
    <cellStyle name="20% - Accent4 159 3" xfId="6033"/>
    <cellStyle name="20% - Accent4 159 3 2" xfId="6034"/>
    <cellStyle name="20% - Accent4 159 4" xfId="6035"/>
    <cellStyle name="20% - Accent4 16" xfId="6036"/>
    <cellStyle name="20% - Accent4 16 2" xfId="6037"/>
    <cellStyle name="20% - Accent4 16 2 2" xfId="6038"/>
    <cellStyle name="20% - Accent4 16 2 2 2" xfId="6039"/>
    <cellStyle name="20% - Accent4 16 2 3" xfId="6040"/>
    <cellStyle name="20% - Accent4 16 2 3 2" xfId="6041"/>
    <cellStyle name="20% - Accent4 16 2 4" xfId="6042"/>
    <cellStyle name="20% - Accent4 16 3" xfId="6043"/>
    <cellStyle name="20% - Accent4 16 3 2" xfId="6044"/>
    <cellStyle name="20% - Accent4 16 3 2 2" xfId="6045"/>
    <cellStyle name="20% - Accent4 16 3 3" xfId="6046"/>
    <cellStyle name="20% - Accent4 16 3 3 2" xfId="6047"/>
    <cellStyle name="20% - Accent4 16 3 4" xfId="6048"/>
    <cellStyle name="20% - Accent4 16 4" xfId="6049"/>
    <cellStyle name="20% - Accent4 16 4 2" xfId="6050"/>
    <cellStyle name="20% - Accent4 16 5" xfId="6051"/>
    <cellStyle name="20% - Accent4 16 5 2" xfId="6052"/>
    <cellStyle name="20% - Accent4 16 6" xfId="6053"/>
    <cellStyle name="20% - Accent4 160" xfId="6054"/>
    <cellStyle name="20% - Accent4 160 2" xfId="6055"/>
    <cellStyle name="20% - Accent4 160 2 2" xfId="6056"/>
    <cellStyle name="20% - Accent4 160 3" xfId="6057"/>
    <cellStyle name="20% - Accent4 160 3 2" xfId="6058"/>
    <cellStyle name="20% - Accent4 160 4" xfId="6059"/>
    <cellStyle name="20% - Accent4 161" xfId="6060"/>
    <cellStyle name="20% - Accent4 161 2" xfId="6061"/>
    <cellStyle name="20% - Accent4 161 2 2" xfId="6062"/>
    <cellStyle name="20% - Accent4 161 3" xfId="6063"/>
    <cellStyle name="20% - Accent4 161 3 2" xfId="6064"/>
    <cellStyle name="20% - Accent4 161 4" xfId="6065"/>
    <cellStyle name="20% - Accent4 162" xfId="6066"/>
    <cellStyle name="20% - Accent4 162 2" xfId="6067"/>
    <cellStyle name="20% - Accent4 162 2 2" xfId="6068"/>
    <cellStyle name="20% - Accent4 162 3" xfId="6069"/>
    <cellStyle name="20% - Accent4 162 3 2" xfId="6070"/>
    <cellStyle name="20% - Accent4 162 4" xfId="6071"/>
    <cellStyle name="20% - Accent4 163" xfId="6072"/>
    <cellStyle name="20% - Accent4 163 2" xfId="6073"/>
    <cellStyle name="20% - Accent4 163 2 2" xfId="6074"/>
    <cellStyle name="20% - Accent4 163 3" xfId="6075"/>
    <cellStyle name="20% - Accent4 163 3 2" xfId="6076"/>
    <cellStyle name="20% - Accent4 163 4" xfId="6077"/>
    <cellStyle name="20% - Accent4 164" xfId="6078"/>
    <cellStyle name="20% - Accent4 164 2" xfId="6079"/>
    <cellStyle name="20% - Accent4 164 2 2" xfId="6080"/>
    <cellStyle name="20% - Accent4 164 3" xfId="6081"/>
    <cellStyle name="20% - Accent4 164 3 2" xfId="6082"/>
    <cellStyle name="20% - Accent4 164 4" xfId="6083"/>
    <cellStyle name="20% - Accent4 165" xfId="6084"/>
    <cellStyle name="20% - Accent4 165 2" xfId="6085"/>
    <cellStyle name="20% - Accent4 165 2 2" xfId="6086"/>
    <cellStyle name="20% - Accent4 165 3" xfId="6087"/>
    <cellStyle name="20% - Accent4 165 3 2" xfId="6088"/>
    <cellStyle name="20% - Accent4 165 4" xfId="6089"/>
    <cellStyle name="20% - Accent4 166" xfId="6090"/>
    <cellStyle name="20% - Accent4 166 2" xfId="6091"/>
    <cellStyle name="20% - Accent4 166 2 2" xfId="6092"/>
    <cellStyle name="20% - Accent4 166 3" xfId="6093"/>
    <cellStyle name="20% - Accent4 166 3 2" xfId="6094"/>
    <cellStyle name="20% - Accent4 166 4" xfId="6095"/>
    <cellStyle name="20% - Accent4 167" xfId="6096"/>
    <cellStyle name="20% - Accent4 167 2" xfId="6097"/>
    <cellStyle name="20% - Accent4 167 2 2" xfId="6098"/>
    <cellStyle name="20% - Accent4 167 3" xfId="6099"/>
    <cellStyle name="20% - Accent4 167 3 2" xfId="6100"/>
    <cellStyle name="20% - Accent4 167 4" xfId="6101"/>
    <cellStyle name="20% - Accent4 168" xfId="6102"/>
    <cellStyle name="20% - Accent4 168 2" xfId="6103"/>
    <cellStyle name="20% - Accent4 168 2 2" xfId="6104"/>
    <cellStyle name="20% - Accent4 168 3" xfId="6105"/>
    <cellStyle name="20% - Accent4 168 3 2" xfId="6106"/>
    <cellStyle name="20% - Accent4 168 4" xfId="6107"/>
    <cellStyle name="20% - Accent4 169" xfId="6108"/>
    <cellStyle name="20% - Accent4 169 2" xfId="6109"/>
    <cellStyle name="20% - Accent4 169 2 2" xfId="6110"/>
    <cellStyle name="20% - Accent4 169 3" xfId="6111"/>
    <cellStyle name="20% - Accent4 169 3 2" xfId="6112"/>
    <cellStyle name="20% - Accent4 169 4" xfId="6113"/>
    <cellStyle name="20% - Accent4 17" xfId="6114"/>
    <cellStyle name="20% - Accent4 17 2" xfId="6115"/>
    <cellStyle name="20% - Accent4 17 2 2" xfId="6116"/>
    <cellStyle name="20% - Accent4 17 2 2 2" xfId="6117"/>
    <cellStyle name="20% - Accent4 17 2 3" xfId="6118"/>
    <cellStyle name="20% - Accent4 17 2 3 2" xfId="6119"/>
    <cellStyle name="20% - Accent4 17 2 4" xfId="6120"/>
    <cellStyle name="20% - Accent4 17 3" xfId="6121"/>
    <cellStyle name="20% - Accent4 17 3 2" xfId="6122"/>
    <cellStyle name="20% - Accent4 17 3 2 2" xfId="6123"/>
    <cellStyle name="20% - Accent4 17 3 3" xfId="6124"/>
    <cellStyle name="20% - Accent4 17 3 3 2" xfId="6125"/>
    <cellStyle name="20% - Accent4 17 3 4" xfId="6126"/>
    <cellStyle name="20% - Accent4 17 4" xfId="6127"/>
    <cellStyle name="20% - Accent4 17 4 2" xfId="6128"/>
    <cellStyle name="20% - Accent4 17 5" xfId="6129"/>
    <cellStyle name="20% - Accent4 17 5 2" xfId="6130"/>
    <cellStyle name="20% - Accent4 17 6" xfId="6131"/>
    <cellStyle name="20% - Accent4 170" xfId="6132"/>
    <cellStyle name="20% - Accent4 170 2" xfId="6133"/>
    <cellStyle name="20% - Accent4 170 2 2" xfId="6134"/>
    <cellStyle name="20% - Accent4 170 3" xfId="6135"/>
    <cellStyle name="20% - Accent4 170 3 2" xfId="6136"/>
    <cellStyle name="20% - Accent4 170 4" xfId="6137"/>
    <cellStyle name="20% - Accent4 171" xfId="6138"/>
    <cellStyle name="20% - Accent4 171 2" xfId="6139"/>
    <cellStyle name="20% - Accent4 171 2 2" xfId="6140"/>
    <cellStyle name="20% - Accent4 171 3" xfId="6141"/>
    <cellStyle name="20% - Accent4 171 3 2" xfId="6142"/>
    <cellStyle name="20% - Accent4 171 4" xfId="6143"/>
    <cellStyle name="20% - Accent4 172" xfId="6144"/>
    <cellStyle name="20% - Accent4 172 2" xfId="6145"/>
    <cellStyle name="20% - Accent4 172 2 2" xfId="6146"/>
    <cellStyle name="20% - Accent4 172 3" xfId="6147"/>
    <cellStyle name="20% - Accent4 172 3 2" xfId="6148"/>
    <cellStyle name="20% - Accent4 172 4" xfId="6149"/>
    <cellStyle name="20% - Accent4 173" xfId="6150"/>
    <cellStyle name="20% - Accent4 173 2" xfId="6151"/>
    <cellStyle name="20% - Accent4 173 2 2" xfId="6152"/>
    <cellStyle name="20% - Accent4 173 3" xfId="6153"/>
    <cellStyle name="20% - Accent4 173 3 2" xfId="6154"/>
    <cellStyle name="20% - Accent4 173 4" xfId="6155"/>
    <cellStyle name="20% - Accent4 174" xfId="6156"/>
    <cellStyle name="20% - Accent4 174 2" xfId="6157"/>
    <cellStyle name="20% - Accent4 174 2 2" xfId="6158"/>
    <cellStyle name="20% - Accent4 174 3" xfId="6159"/>
    <cellStyle name="20% - Accent4 174 3 2" xfId="6160"/>
    <cellStyle name="20% - Accent4 174 4" xfId="6161"/>
    <cellStyle name="20% - Accent4 175" xfId="6162"/>
    <cellStyle name="20% - Accent4 175 2" xfId="6163"/>
    <cellStyle name="20% - Accent4 175 2 2" xfId="6164"/>
    <cellStyle name="20% - Accent4 175 3" xfId="6165"/>
    <cellStyle name="20% - Accent4 175 3 2" xfId="6166"/>
    <cellStyle name="20% - Accent4 175 4" xfId="6167"/>
    <cellStyle name="20% - Accent4 176" xfId="6168"/>
    <cellStyle name="20% - Accent4 176 2" xfId="6169"/>
    <cellStyle name="20% - Accent4 176 2 2" xfId="6170"/>
    <cellStyle name="20% - Accent4 176 3" xfId="6171"/>
    <cellStyle name="20% - Accent4 176 3 2" xfId="6172"/>
    <cellStyle name="20% - Accent4 176 4" xfId="6173"/>
    <cellStyle name="20% - Accent4 177" xfId="6174"/>
    <cellStyle name="20% - Accent4 177 2" xfId="6175"/>
    <cellStyle name="20% - Accent4 177 2 2" xfId="6176"/>
    <cellStyle name="20% - Accent4 177 3" xfId="6177"/>
    <cellStyle name="20% - Accent4 177 3 2" xfId="6178"/>
    <cellStyle name="20% - Accent4 177 4" xfId="6179"/>
    <cellStyle name="20% - Accent4 178" xfId="6180"/>
    <cellStyle name="20% - Accent4 178 2" xfId="6181"/>
    <cellStyle name="20% - Accent4 178 2 2" xfId="6182"/>
    <cellStyle name="20% - Accent4 178 3" xfId="6183"/>
    <cellStyle name="20% - Accent4 178 3 2" xfId="6184"/>
    <cellStyle name="20% - Accent4 178 4" xfId="6185"/>
    <cellStyle name="20% - Accent4 179" xfId="6186"/>
    <cellStyle name="20% - Accent4 179 2" xfId="6187"/>
    <cellStyle name="20% - Accent4 179 2 2" xfId="6188"/>
    <cellStyle name="20% - Accent4 179 3" xfId="6189"/>
    <cellStyle name="20% - Accent4 179 3 2" xfId="6190"/>
    <cellStyle name="20% - Accent4 179 4" xfId="6191"/>
    <cellStyle name="20% - Accent4 18" xfId="6192"/>
    <cellStyle name="20% - Accent4 18 2" xfId="6193"/>
    <cellStyle name="20% - Accent4 18 2 2" xfId="6194"/>
    <cellStyle name="20% - Accent4 18 2 2 2" xfId="6195"/>
    <cellStyle name="20% - Accent4 18 2 3" xfId="6196"/>
    <cellStyle name="20% - Accent4 18 2 3 2" xfId="6197"/>
    <cellStyle name="20% - Accent4 18 2 4" xfId="6198"/>
    <cellStyle name="20% - Accent4 18 3" xfId="6199"/>
    <cellStyle name="20% - Accent4 18 3 2" xfId="6200"/>
    <cellStyle name="20% - Accent4 18 3 2 2" xfId="6201"/>
    <cellStyle name="20% - Accent4 18 3 3" xfId="6202"/>
    <cellStyle name="20% - Accent4 18 3 3 2" xfId="6203"/>
    <cellStyle name="20% - Accent4 18 3 4" xfId="6204"/>
    <cellStyle name="20% - Accent4 18 4" xfId="6205"/>
    <cellStyle name="20% - Accent4 18 4 2" xfId="6206"/>
    <cellStyle name="20% - Accent4 18 5" xfId="6207"/>
    <cellStyle name="20% - Accent4 18 5 2" xfId="6208"/>
    <cellStyle name="20% - Accent4 18 6" xfId="6209"/>
    <cellStyle name="20% - Accent4 180" xfId="6210"/>
    <cellStyle name="20% - Accent4 180 2" xfId="6211"/>
    <cellStyle name="20% - Accent4 180 2 2" xfId="6212"/>
    <cellStyle name="20% - Accent4 180 3" xfId="6213"/>
    <cellStyle name="20% - Accent4 180 3 2" xfId="6214"/>
    <cellStyle name="20% - Accent4 180 4" xfId="6215"/>
    <cellStyle name="20% - Accent4 181" xfId="6216"/>
    <cellStyle name="20% - Accent4 181 2" xfId="6217"/>
    <cellStyle name="20% - Accent4 181 2 2" xfId="6218"/>
    <cellStyle name="20% - Accent4 181 3" xfId="6219"/>
    <cellStyle name="20% - Accent4 181 3 2" xfId="6220"/>
    <cellStyle name="20% - Accent4 181 4" xfId="6221"/>
    <cellStyle name="20% - Accent4 182" xfId="6222"/>
    <cellStyle name="20% - Accent4 182 2" xfId="6223"/>
    <cellStyle name="20% - Accent4 182 2 2" xfId="6224"/>
    <cellStyle name="20% - Accent4 182 3" xfId="6225"/>
    <cellStyle name="20% - Accent4 182 3 2" xfId="6226"/>
    <cellStyle name="20% - Accent4 182 4" xfId="6227"/>
    <cellStyle name="20% - Accent4 183" xfId="6228"/>
    <cellStyle name="20% - Accent4 183 2" xfId="6229"/>
    <cellStyle name="20% - Accent4 183 2 2" xfId="6230"/>
    <cellStyle name="20% - Accent4 183 3" xfId="6231"/>
    <cellStyle name="20% - Accent4 183 3 2" xfId="6232"/>
    <cellStyle name="20% - Accent4 183 4" xfId="6233"/>
    <cellStyle name="20% - Accent4 184" xfId="6234"/>
    <cellStyle name="20% - Accent4 184 2" xfId="6235"/>
    <cellStyle name="20% - Accent4 184 2 2" xfId="6236"/>
    <cellStyle name="20% - Accent4 184 3" xfId="6237"/>
    <cellStyle name="20% - Accent4 184 3 2" xfId="6238"/>
    <cellStyle name="20% - Accent4 184 4" xfId="6239"/>
    <cellStyle name="20% - Accent4 185" xfId="6240"/>
    <cellStyle name="20% - Accent4 185 2" xfId="6241"/>
    <cellStyle name="20% - Accent4 185 2 2" xfId="6242"/>
    <cellStyle name="20% - Accent4 185 3" xfId="6243"/>
    <cellStyle name="20% - Accent4 185 3 2" xfId="6244"/>
    <cellStyle name="20% - Accent4 185 4" xfId="6245"/>
    <cellStyle name="20% - Accent4 186" xfId="6246"/>
    <cellStyle name="20% - Accent4 186 2" xfId="6247"/>
    <cellStyle name="20% - Accent4 186 2 2" xfId="6248"/>
    <cellStyle name="20% - Accent4 186 3" xfId="6249"/>
    <cellStyle name="20% - Accent4 186 3 2" xfId="6250"/>
    <cellStyle name="20% - Accent4 186 4" xfId="6251"/>
    <cellStyle name="20% - Accent4 187" xfId="6252"/>
    <cellStyle name="20% - Accent4 187 2" xfId="6253"/>
    <cellStyle name="20% - Accent4 187 2 2" xfId="6254"/>
    <cellStyle name="20% - Accent4 187 3" xfId="6255"/>
    <cellStyle name="20% - Accent4 187 3 2" xfId="6256"/>
    <cellStyle name="20% - Accent4 187 4" xfId="6257"/>
    <cellStyle name="20% - Accent4 188" xfId="6258"/>
    <cellStyle name="20% - Accent4 188 2" xfId="6259"/>
    <cellStyle name="20% - Accent4 188 2 2" xfId="6260"/>
    <cellStyle name="20% - Accent4 188 3" xfId="6261"/>
    <cellStyle name="20% - Accent4 188 3 2" xfId="6262"/>
    <cellStyle name="20% - Accent4 188 4" xfId="6263"/>
    <cellStyle name="20% - Accent4 189" xfId="6264"/>
    <cellStyle name="20% - Accent4 189 2" xfId="6265"/>
    <cellStyle name="20% - Accent4 189 2 2" xfId="6266"/>
    <cellStyle name="20% - Accent4 189 3" xfId="6267"/>
    <cellStyle name="20% - Accent4 189 3 2" xfId="6268"/>
    <cellStyle name="20% - Accent4 189 4" xfId="6269"/>
    <cellStyle name="20% - Accent4 19" xfId="6270"/>
    <cellStyle name="20% - Accent4 19 2" xfId="6271"/>
    <cellStyle name="20% - Accent4 19 2 2" xfId="6272"/>
    <cellStyle name="20% - Accent4 19 2 2 2" xfId="6273"/>
    <cellStyle name="20% - Accent4 19 2 3" xfId="6274"/>
    <cellStyle name="20% - Accent4 19 2 3 2" xfId="6275"/>
    <cellStyle name="20% - Accent4 19 2 4" xfId="6276"/>
    <cellStyle name="20% - Accent4 19 3" xfId="6277"/>
    <cellStyle name="20% - Accent4 19 3 2" xfId="6278"/>
    <cellStyle name="20% - Accent4 19 3 2 2" xfId="6279"/>
    <cellStyle name="20% - Accent4 19 3 3" xfId="6280"/>
    <cellStyle name="20% - Accent4 19 3 3 2" xfId="6281"/>
    <cellStyle name="20% - Accent4 19 3 4" xfId="6282"/>
    <cellStyle name="20% - Accent4 19 4" xfId="6283"/>
    <cellStyle name="20% - Accent4 19 4 2" xfId="6284"/>
    <cellStyle name="20% - Accent4 19 5" xfId="6285"/>
    <cellStyle name="20% - Accent4 19 5 2" xfId="6286"/>
    <cellStyle name="20% - Accent4 19 6" xfId="6287"/>
    <cellStyle name="20% - Accent4 190" xfId="6288"/>
    <cellStyle name="20% - Accent4 190 2" xfId="6289"/>
    <cellStyle name="20% - Accent4 190 2 2" xfId="6290"/>
    <cellStyle name="20% - Accent4 190 3" xfId="6291"/>
    <cellStyle name="20% - Accent4 190 3 2" xfId="6292"/>
    <cellStyle name="20% - Accent4 190 4" xfId="6293"/>
    <cellStyle name="20% - Accent4 191" xfId="6294"/>
    <cellStyle name="20% - Accent4 191 2" xfId="6295"/>
    <cellStyle name="20% - Accent4 191 2 2" xfId="6296"/>
    <cellStyle name="20% - Accent4 191 3" xfId="6297"/>
    <cellStyle name="20% - Accent4 191 3 2" xfId="6298"/>
    <cellStyle name="20% - Accent4 191 4" xfId="6299"/>
    <cellStyle name="20% - Accent4 192" xfId="6300"/>
    <cellStyle name="20% - Accent4 192 2" xfId="6301"/>
    <cellStyle name="20% - Accent4 192 2 2" xfId="6302"/>
    <cellStyle name="20% - Accent4 192 3" xfId="6303"/>
    <cellStyle name="20% - Accent4 192 3 2" xfId="6304"/>
    <cellStyle name="20% - Accent4 192 4" xfId="6305"/>
    <cellStyle name="20% - Accent4 193" xfId="6306"/>
    <cellStyle name="20% - Accent4 193 2" xfId="6307"/>
    <cellStyle name="20% - Accent4 193 2 2" xfId="6308"/>
    <cellStyle name="20% - Accent4 193 3" xfId="6309"/>
    <cellStyle name="20% - Accent4 193 3 2" xfId="6310"/>
    <cellStyle name="20% - Accent4 193 4" xfId="6311"/>
    <cellStyle name="20% - Accent4 194" xfId="6312"/>
    <cellStyle name="20% - Accent4 194 2" xfId="6313"/>
    <cellStyle name="20% - Accent4 194 2 2" xfId="6314"/>
    <cellStyle name="20% - Accent4 194 3" xfId="6315"/>
    <cellStyle name="20% - Accent4 194 3 2" xfId="6316"/>
    <cellStyle name="20% - Accent4 194 4" xfId="6317"/>
    <cellStyle name="20% - Accent4 195" xfId="6318"/>
    <cellStyle name="20% - Accent4 195 2" xfId="6319"/>
    <cellStyle name="20% - Accent4 195 2 2" xfId="6320"/>
    <cellStyle name="20% - Accent4 195 3" xfId="6321"/>
    <cellStyle name="20% - Accent4 195 3 2" xfId="6322"/>
    <cellStyle name="20% - Accent4 195 4" xfId="6323"/>
    <cellStyle name="20% - Accent4 196" xfId="6324"/>
    <cellStyle name="20% - Accent4 196 2" xfId="6325"/>
    <cellStyle name="20% - Accent4 196 2 2" xfId="6326"/>
    <cellStyle name="20% - Accent4 196 3" xfId="6327"/>
    <cellStyle name="20% - Accent4 196 3 2" xfId="6328"/>
    <cellStyle name="20% - Accent4 196 4" xfId="6329"/>
    <cellStyle name="20% - Accent4 197" xfId="6330"/>
    <cellStyle name="20% - Accent4 197 2" xfId="6331"/>
    <cellStyle name="20% - Accent4 197 2 2" xfId="6332"/>
    <cellStyle name="20% - Accent4 197 3" xfId="6333"/>
    <cellStyle name="20% - Accent4 197 3 2" xfId="6334"/>
    <cellStyle name="20% - Accent4 197 4" xfId="6335"/>
    <cellStyle name="20% - Accent4 198" xfId="6336"/>
    <cellStyle name="20% - Accent4 198 2" xfId="6337"/>
    <cellStyle name="20% - Accent4 198 2 2" xfId="6338"/>
    <cellStyle name="20% - Accent4 198 3" xfId="6339"/>
    <cellStyle name="20% - Accent4 198 3 2" xfId="6340"/>
    <cellStyle name="20% - Accent4 198 4" xfId="6341"/>
    <cellStyle name="20% - Accent4 199" xfId="6342"/>
    <cellStyle name="20% - Accent4 199 2" xfId="6343"/>
    <cellStyle name="20% - Accent4 199 2 2" xfId="6344"/>
    <cellStyle name="20% - Accent4 199 3" xfId="6345"/>
    <cellStyle name="20% - Accent4 199 3 2" xfId="6346"/>
    <cellStyle name="20% - Accent4 199 4" xfId="6347"/>
    <cellStyle name="20% - Accent4 2" xfId="6348"/>
    <cellStyle name="20% - Accent4 2 2" xfId="6349"/>
    <cellStyle name="20% - Accent4 2 2 2" xfId="6350"/>
    <cellStyle name="20% - Accent4 2 2 2 2" xfId="6351"/>
    <cellStyle name="20% - Accent4 2 2 3" xfId="6352"/>
    <cellStyle name="20% - Accent4 2 2 3 2" xfId="6353"/>
    <cellStyle name="20% - Accent4 2 2 4" xfId="6354"/>
    <cellStyle name="20% - Accent4 2 3" xfId="6355"/>
    <cellStyle name="20% - Accent4 2 3 2" xfId="6356"/>
    <cellStyle name="20% - Accent4 2 3 2 2" xfId="6357"/>
    <cellStyle name="20% - Accent4 2 3 3" xfId="6358"/>
    <cellStyle name="20% - Accent4 2 3 3 2" xfId="6359"/>
    <cellStyle name="20% - Accent4 2 3 4" xfId="6360"/>
    <cellStyle name="20% - Accent4 2 4" xfId="6361"/>
    <cellStyle name="20% - Accent4 2 4 2" xfId="6362"/>
    <cellStyle name="20% - Accent4 2 5" xfId="6363"/>
    <cellStyle name="20% - Accent4 2 5 2" xfId="6364"/>
    <cellStyle name="20% - Accent4 2 6" xfId="6365"/>
    <cellStyle name="20% - Accent4 20" xfId="6366"/>
    <cellStyle name="20% - Accent4 20 2" xfId="6367"/>
    <cellStyle name="20% - Accent4 20 2 2" xfId="6368"/>
    <cellStyle name="20% - Accent4 20 2 2 2" xfId="6369"/>
    <cellStyle name="20% - Accent4 20 2 3" xfId="6370"/>
    <cellStyle name="20% - Accent4 20 2 3 2" xfId="6371"/>
    <cellStyle name="20% - Accent4 20 2 4" xfId="6372"/>
    <cellStyle name="20% - Accent4 20 3" xfId="6373"/>
    <cellStyle name="20% - Accent4 20 3 2" xfId="6374"/>
    <cellStyle name="20% - Accent4 20 3 2 2" xfId="6375"/>
    <cellStyle name="20% - Accent4 20 3 3" xfId="6376"/>
    <cellStyle name="20% - Accent4 20 3 3 2" xfId="6377"/>
    <cellStyle name="20% - Accent4 20 3 4" xfId="6378"/>
    <cellStyle name="20% - Accent4 20 4" xfId="6379"/>
    <cellStyle name="20% - Accent4 20 4 2" xfId="6380"/>
    <cellStyle name="20% - Accent4 20 5" xfId="6381"/>
    <cellStyle name="20% - Accent4 20 5 2" xfId="6382"/>
    <cellStyle name="20% - Accent4 20 6" xfId="6383"/>
    <cellStyle name="20% - Accent4 200" xfId="6384"/>
    <cellStyle name="20% - Accent4 200 2" xfId="6385"/>
    <cellStyle name="20% - Accent4 200 2 2" xfId="6386"/>
    <cellStyle name="20% - Accent4 200 3" xfId="6387"/>
    <cellStyle name="20% - Accent4 200 3 2" xfId="6388"/>
    <cellStyle name="20% - Accent4 200 4" xfId="6389"/>
    <cellStyle name="20% - Accent4 201" xfId="6390"/>
    <cellStyle name="20% - Accent4 201 2" xfId="6391"/>
    <cellStyle name="20% - Accent4 201 2 2" xfId="6392"/>
    <cellStyle name="20% - Accent4 201 3" xfId="6393"/>
    <cellStyle name="20% - Accent4 201 3 2" xfId="6394"/>
    <cellStyle name="20% - Accent4 201 4" xfId="6395"/>
    <cellStyle name="20% - Accent4 202" xfId="6396"/>
    <cellStyle name="20% - Accent4 202 2" xfId="6397"/>
    <cellStyle name="20% - Accent4 202 2 2" xfId="6398"/>
    <cellStyle name="20% - Accent4 202 3" xfId="6399"/>
    <cellStyle name="20% - Accent4 202 3 2" xfId="6400"/>
    <cellStyle name="20% - Accent4 202 4" xfId="6401"/>
    <cellStyle name="20% - Accent4 203" xfId="6402"/>
    <cellStyle name="20% - Accent4 203 2" xfId="6403"/>
    <cellStyle name="20% - Accent4 203 2 2" xfId="6404"/>
    <cellStyle name="20% - Accent4 203 3" xfId="6405"/>
    <cellStyle name="20% - Accent4 203 3 2" xfId="6406"/>
    <cellStyle name="20% - Accent4 203 4" xfId="6407"/>
    <cellStyle name="20% - Accent4 204" xfId="6408"/>
    <cellStyle name="20% - Accent4 204 2" xfId="6409"/>
    <cellStyle name="20% - Accent4 204 2 2" xfId="6410"/>
    <cellStyle name="20% - Accent4 204 3" xfId="6411"/>
    <cellStyle name="20% - Accent4 204 3 2" xfId="6412"/>
    <cellStyle name="20% - Accent4 204 4" xfId="6413"/>
    <cellStyle name="20% - Accent4 205" xfId="6414"/>
    <cellStyle name="20% - Accent4 205 2" xfId="6415"/>
    <cellStyle name="20% - Accent4 205 2 2" xfId="6416"/>
    <cellStyle name="20% - Accent4 205 3" xfId="6417"/>
    <cellStyle name="20% - Accent4 205 3 2" xfId="6418"/>
    <cellStyle name="20% - Accent4 205 4" xfId="6419"/>
    <cellStyle name="20% - Accent4 206" xfId="6420"/>
    <cellStyle name="20% - Accent4 206 2" xfId="6421"/>
    <cellStyle name="20% - Accent4 206 2 2" xfId="6422"/>
    <cellStyle name="20% - Accent4 206 3" xfId="6423"/>
    <cellStyle name="20% - Accent4 206 3 2" xfId="6424"/>
    <cellStyle name="20% - Accent4 206 4" xfId="6425"/>
    <cellStyle name="20% - Accent4 207" xfId="6426"/>
    <cellStyle name="20% - Accent4 207 2" xfId="6427"/>
    <cellStyle name="20% - Accent4 207 2 2" xfId="6428"/>
    <cellStyle name="20% - Accent4 207 3" xfId="6429"/>
    <cellStyle name="20% - Accent4 207 3 2" xfId="6430"/>
    <cellStyle name="20% - Accent4 207 4" xfId="6431"/>
    <cellStyle name="20% - Accent4 208" xfId="6432"/>
    <cellStyle name="20% - Accent4 208 2" xfId="6433"/>
    <cellStyle name="20% - Accent4 208 2 2" xfId="6434"/>
    <cellStyle name="20% - Accent4 208 3" xfId="6435"/>
    <cellStyle name="20% - Accent4 208 3 2" xfId="6436"/>
    <cellStyle name="20% - Accent4 208 4" xfId="6437"/>
    <cellStyle name="20% - Accent4 209" xfId="6438"/>
    <cellStyle name="20% - Accent4 209 2" xfId="6439"/>
    <cellStyle name="20% - Accent4 209 2 2" xfId="6440"/>
    <cellStyle name="20% - Accent4 209 3" xfId="6441"/>
    <cellStyle name="20% - Accent4 209 3 2" xfId="6442"/>
    <cellStyle name="20% - Accent4 209 4" xfId="6443"/>
    <cellStyle name="20% - Accent4 21" xfId="6444"/>
    <cellStyle name="20% - Accent4 21 2" xfId="6445"/>
    <cellStyle name="20% - Accent4 21 2 2" xfId="6446"/>
    <cellStyle name="20% - Accent4 21 2 2 2" xfId="6447"/>
    <cellStyle name="20% - Accent4 21 2 3" xfId="6448"/>
    <cellStyle name="20% - Accent4 21 2 3 2" xfId="6449"/>
    <cellStyle name="20% - Accent4 21 2 4" xfId="6450"/>
    <cellStyle name="20% - Accent4 21 3" xfId="6451"/>
    <cellStyle name="20% - Accent4 21 3 2" xfId="6452"/>
    <cellStyle name="20% - Accent4 21 3 2 2" xfId="6453"/>
    <cellStyle name="20% - Accent4 21 3 3" xfId="6454"/>
    <cellStyle name="20% - Accent4 21 3 3 2" xfId="6455"/>
    <cellStyle name="20% - Accent4 21 3 4" xfId="6456"/>
    <cellStyle name="20% - Accent4 21 4" xfId="6457"/>
    <cellStyle name="20% - Accent4 21 4 2" xfId="6458"/>
    <cellStyle name="20% - Accent4 21 5" xfId="6459"/>
    <cellStyle name="20% - Accent4 21 5 2" xfId="6460"/>
    <cellStyle name="20% - Accent4 21 6" xfId="6461"/>
    <cellStyle name="20% - Accent4 210" xfId="6462"/>
    <cellStyle name="20% - Accent4 210 2" xfId="6463"/>
    <cellStyle name="20% - Accent4 210 2 2" xfId="6464"/>
    <cellStyle name="20% - Accent4 210 3" xfId="6465"/>
    <cellStyle name="20% - Accent4 210 3 2" xfId="6466"/>
    <cellStyle name="20% - Accent4 210 4" xfId="6467"/>
    <cellStyle name="20% - Accent4 211" xfId="6468"/>
    <cellStyle name="20% - Accent4 211 2" xfId="6469"/>
    <cellStyle name="20% - Accent4 211 2 2" xfId="6470"/>
    <cellStyle name="20% - Accent4 211 3" xfId="6471"/>
    <cellStyle name="20% - Accent4 211 3 2" xfId="6472"/>
    <cellStyle name="20% - Accent4 211 4" xfId="6473"/>
    <cellStyle name="20% - Accent4 212" xfId="6474"/>
    <cellStyle name="20% - Accent4 212 2" xfId="6475"/>
    <cellStyle name="20% - Accent4 212 2 2" xfId="6476"/>
    <cellStyle name="20% - Accent4 212 3" xfId="6477"/>
    <cellStyle name="20% - Accent4 212 3 2" xfId="6478"/>
    <cellStyle name="20% - Accent4 212 4" xfId="6479"/>
    <cellStyle name="20% - Accent4 213" xfId="6480"/>
    <cellStyle name="20% - Accent4 213 2" xfId="6481"/>
    <cellStyle name="20% - Accent4 213 2 2" xfId="6482"/>
    <cellStyle name="20% - Accent4 213 3" xfId="6483"/>
    <cellStyle name="20% - Accent4 213 3 2" xfId="6484"/>
    <cellStyle name="20% - Accent4 213 4" xfId="6485"/>
    <cellStyle name="20% - Accent4 214" xfId="6486"/>
    <cellStyle name="20% - Accent4 214 2" xfId="6487"/>
    <cellStyle name="20% - Accent4 214 2 2" xfId="6488"/>
    <cellStyle name="20% - Accent4 214 3" xfId="6489"/>
    <cellStyle name="20% - Accent4 214 3 2" xfId="6490"/>
    <cellStyle name="20% - Accent4 214 4" xfId="6491"/>
    <cellStyle name="20% - Accent4 215" xfId="6492"/>
    <cellStyle name="20% - Accent4 215 2" xfId="6493"/>
    <cellStyle name="20% - Accent4 215 2 2" xfId="6494"/>
    <cellStyle name="20% - Accent4 215 3" xfId="6495"/>
    <cellStyle name="20% - Accent4 215 3 2" xfId="6496"/>
    <cellStyle name="20% - Accent4 215 4" xfId="6497"/>
    <cellStyle name="20% - Accent4 216" xfId="6498"/>
    <cellStyle name="20% - Accent4 216 2" xfId="6499"/>
    <cellStyle name="20% - Accent4 216 2 2" xfId="6500"/>
    <cellStyle name="20% - Accent4 216 3" xfId="6501"/>
    <cellStyle name="20% - Accent4 216 3 2" xfId="6502"/>
    <cellStyle name="20% - Accent4 216 4" xfId="6503"/>
    <cellStyle name="20% - Accent4 217" xfId="6504"/>
    <cellStyle name="20% - Accent4 217 2" xfId="6505"/>
    <cellStyle name="20% - Accent4 217 2 2" xfId="6506"/>
    <cellStyle name="20% - Accent4 217 3" xfId="6507"/>
    <cellStyle name="20% - Accent4 217 3 2" xfId="6508"/>
    <cellStyle name="20% - Accent4 217 4" xfId="6509"/>
    <cellStyle name="20% - Accent4 218" xfId="6510"/>
    <cellStyle name="20% - Accent4 218 2" xfId="6511"/>
    <cellStyle name="20% - Accent4 218 2 2" xfId="6512"/>
    <cellStyle name="20% - Accent4 218 3" xfId="6513"/>
    <cellStyle name="20% - Accent4 218 3 2" xfId="6514"/>
    <cellStyle name="20% - Accent4 218 4" xfId="6515"/>
    <cellStyle name="20% - Accent4 219" xfId="6516"/>
    <cellStyle name="20% - Accent4 219 2" xfId="6517"/>
    <cellStyle name="20% - Accent4 219 2 2" xfId="6518"/>
    <cellStyle name="20% - Accent4 219 3" xfId="6519"/>
    <cellStyle name="20% - Accent4 219 3 2" xfId="6520"/>
    <cellStyle name="20% - Accent4 219 4" xfId="6521"/>
    <cellStyle name="20% - Accent4 22" xfId="6522"/>
    <cellStyle name="20% - Accent4 22 2" xfId="6523"/>
    <cellStyle name="20% - Accent4 22 2 2" xfId="6524"/>
    <cellStyle name="20% - Accent4 22 2 2 2" xfId="6525"/>
    <cellStyle name="20% - Accent4 22 2 3" xfId="6526"/>
    <cellStyle name="20% - Accent4 22 2 3 2" xfId="6527"/>
    <cellStyle name="20% - Accent4 22 2 4" xfId="6528"/>
    <cellStyle name="20% - Accent4 22 3" xfId="6529"/>
    <cellStyle name="20% - Accent4 22 3 2" xfId="6530"/>
    <cellStyle name="20% - Accent4 22 3 2 2" xfId="6531"/>
    <cellStyle name="20% - Accent4 22 3 3" xfId="6532"/>
    <cellStyle name="20% - Accent4 22 3 3 2" xfId="6533"/>
    <cellStyle name="20% - Accent4 22 3 4" xfId="6534"/>
    <cellStyle name="20% - Accent4 22 4" xfId="6535"/>
    <cellStyle name="20% - Accent4 22 4 2" xfId="6536"/>
    <cellStyle name="20% - Accent4 22 5" xfId="6537"/>
    <cellStyle name="20% - Accent4 22 5 2" xfId="6538"/>
    <cellStyle name="20% - Accent4 22 6" xfId="6539"/>
    <cellStyle name="20% - Accent4 220" xfId="6540"/>
    <cellStyle name="20% - Accent4 220 2" xfId="6541"/>
    <cellStyle name="20% - Accent4 220 2 2" xfId="6542"/>
    <cellStyle name="20% - Accent4 220 3" xfId="6543"/>
    <cellStyle name="20% - Accent4 220 3 2" xfId="6544"/>
    <cellStyle name="20% - Accent4 220 4" xfId="6545"/>
    <cellStyle name="20% - Accent4 221" xfId="6546"/>
    <cellStyle name="20% - Accent4 221 2" xfId="6547"/>
    <cellStyle name="20% - Accent4 221 2 2" xfId="6548"/>
    <cellStyle name="20% - Accent4 221 3" xfId="6549"/>
    <cellStyle name="20% - Accent4 221 3 2" xfId="6550"/>
    <cellStyle name="20% - Accent4 221 4" xfId="6551"/>
    <cellStyle name="20% - Accent4 222" xfId="6552"/>
    <cellStyle name="20% - Accent4 222 2" xfId="6553"/>
    <cellStyle name="20% - Accent4 223" xfId="6554"/>
    <cellStyle name="20% - Accent4 223 2" xfId="6555"/>
    <cellStyle name="20% - Accent4 224" xfId="6556"/>
    <cellStyle name="20% - Accent4 23" xfId="6557"/>
    <cellStyle name="20% - Accent4 23 2" xfId="6558"/>
    <cellStyle name="20% - Accent4 23 2 2" xfId="6559"/>
    <cellStyle name="20% - Accent4 23 2 2 2" xfId="6560"/>
    <cellStyle name="20% - Accent4 23 2 3" xfId="6561"/>
    <cellStyle name="20% - Accent4 23 2 3 2" xfId="6562"/>
    <cellStyle name="20% - Accent4 23 2 4" xfId="6563"/>
    <cellStyle name="20% - Accent4 23 3" xfId="6564"/>
    <cellStyle name="20% - Accent4 23 3 2" xfId="6565"/>
    <cellStyle name="20% - Accent4 23 3 2 2" xfId="6566"/>
    <cellStyle name="20% - Accent4 23 3 3" xfId="6567"/>
    <cellStyle name="20% - Accent4 23 3 3 2" xfId="6568"/>
    <cellStyle name="20% - Accent4 23 3 4" xfId="6569"/>
    <cellStyle name="20% - Accent4 23 4" xfId="6570"/>
    <cellStyle name="20% - Accent4 23 4 2" xfId="6571"/>
    <cellStyle name="20% - Accent4 23 5" xfId="6572"/>
    <cellStyle name="20% - Accent4 23 5 2" xfId="6573"/>
    <cellStyle name="20% - Accent4 23 6" xfId="6574"/>
    <cellStyle name="20% - Accent4 24" xfId="6575"/>
    <cellStyle name="20% - Accent4 24 2" xfId="6576"/>
    <cellStyle name="20% - Accent4 24 2 2" xfId="6577"/>
    <cellStyle name="20% - Accent4 24 2 2 2" xfId="6578"/>
    <cellStyle name="20% - Accent4 24 2 3" xfId="6579"/>
    <cellStyle name="20% - Accent4 24 2 3 2" xfId="6580"/>
    <cellStyle name="20% - Accent4 24 2 4" xfId="6581"/>
    <cellStyle name="20% - Accent4 24 3" xfId="6582"/>
    <cellStyle name="20% - Accent4 24 3 2" xfId="6583"/>
    <cellStyle name="20% - Accent4 24 3 2 2" xfId="6584"/>
    <cellStyle name="20% - Accent4 24 3 3" xfId="6585"/>
    <cellStyle name="20% - Accent4 24 3 3 2" xfId="6586"/>
    <cellStyle name="20% - Accent4 24 3 4" xfId="6587"/>
    <cellStyle name="20% - Accent4 24 4" xfId="6588"/>
    <cellStyle name="20% - Accent4 24 4 2" xfId="6589"/>
    <cellStyle name="20% - Accent4 24 5" xfId="6590"/>
    <cellStyle name="20% - Accent4 24 5 2" xfId="6591"/>
    <cellStyle name="20% - Accent4 24 6" xfId="6592"/>
    <cellStyle name="20% - Accent4 24 7" xfId="6593"/>
    <cellStyle name="20% - Accent4 25" xfId="6594"/>
    <cellStyle name="20% - Accent4 25 2" xfId="6595"/>
    <cellStyle name="20% - Accent4 25 2 2" xfId="6596"/>
    <cellStyle name="20% - Accent4 25 2 2 2" xfId="6597"/>
    <cellStyle name="20% - Accent4 25 2 3" xfId="6598"/>
    <cellStyle name="20% - Accent4 25 2 3 2" xfId="6599"/>
    <cellStyle name="20% - Accent4 25 2 4" xfId="6600"/>
    <cellStyle name="20% - Accent4 25 3" xfId="6601"/>
    <cellStyle name="20% - Accent4 25 3 2" xfId="6602"/>
    <cellStyle name="20% - Accent4 25 3 2 2" xfId="6603"/>
    <cellStyle name="20% - Accent4 25 3 3" xfId="6604"/>
    <cellStyle name="20% - Accent4 25 3 3 2" xfId="6605"/>
    <cellStyle name="20% - Accent4 25 3 4" xfId="6606"/>
    <cellStyle name="20% - Accent4 25 4" xfId="6607"/>
    <cellStyle name="20% - Accent4 25 4 2" xfId="6608"/>
    <cellStyle name="20% - Accent4 25 5" xfId="6609"/>
    <cellStyle name="20% - Accent4 25 5 2" xfId="6610"/>
    <cellStyle name="20% - Accent4 25 6" xfId="6611"/>
    <cellStyle name="20% - Accent4 25 7" xfId="6612"/>
    <cellStyle name="20% - Accent4 26" xfId="6613"/>
    <cellStyle name="20% - Accent4 26 2" xfId="6614"/>
    <cellStyle name="20% - Accent4 26 2 2" xfId="6615"/>
    <cellStyle name="20% - Accent4 26 2 2 2" xfId="6616"/>
    <cellStyle name="20% - Accent4 26 2 3" xfId="6617"/>
    <cellStyle name="20% - Accent4 26 2 3 2" xfId="6618"/>
    <cellStyle name="20% - Accent4 26 2 4" xfId="6619"/>
    <cellStyle name="20% - Accent4 26 3" xfId="6620"/>
    <cellStyle name="20% - Accent4 26 3 2" xfId="6621"/>
    <cellStyle name="20% - Accent4 26 3 2 2" xfId="6622"/>
    <cellStyle name="20% - Accent4 26 3 3" xfId="6623"/>
    <cellStyle name="20% - Accent4 26 3 3 2" xfId="6624"/>
    <cellStyle name="20% - Accent4 26 3 4" xfId="6625"/>
    <cellStyle name="20% - Accent4 26 4" xfId="6626"/>
    <cellStyle name="20% - Accent4 26 4 2" xfId="6627"/>
    <cellStyle name="20% - Accent4 26 5" xfId="6628"/>
    <cellStyle name="20% - Accent4 26 5 2" xfId="6629"/>
    <cellStyle name="20% - Accent4 26 6" xfId="6630"/>
    <cellStyle name="20% - Accent4 26 7" xfId="6631"/>
    <cellStyle name="20% - Accent4 27" xfId="6632"/>
    <cellStyle name="20% - Accent4 27 2" xfId="6633"/>
    <cellStyle name="20% - Accent4 27 2 2" xfId="6634"/>
    <cellStyle name="20% - Accent4 27 2 2 2" xfId="6635"/>
    <cellStyle name="20% - Accent4 27 2 3" xfId="6636"/>
    <cellStyle name="20% - Accent4 27 2 3 2" xfId="6637"/>
    <cellStyle name="20% - Accent4 27 2 4" xfId="6638"/>
    <cellStyle name="20% - Accent4 27 3" xfId="6639"/>
    <cellStyle name="20% - Accent4 27 3 2" xfId="6640"/>
    <cellStyle name="20% - Accent4 27 3 2 2" xfId="6641"/>
    <cellStyle name="20% - Accent4 27 3 3" xfId="6642"/>
    <cellStyle name="20% - Accent4 27 3 3 2" xfId="6643"/>
    <cellStyle name="20% - Accent4 27 3 4" xfId="6644"/>
    <cellStyle name="20% - Accent4 27 4" xfId="6645"/>
    <cellStyle name="20% - Accent4 27 4 2" xfId="6646"/>
    <cellStyle name="20% - Accent4 27 5" xfId="6647"/>
    <cellStyle name="20% - Accent4 27 5 2" xfId="6648"/>
    <cellStyle name="20% - Accent4 27 6" xfId="6649"/>
    <cellStyle name="20% - Accent4 27 7" xfId="6650"/>
    <cellStyle name="20% - Accent4 28" xfId="6651"/>
    <cellStyle name="20% - Accent4 28 2" xfId="6652"/>
    <cellStyle name="20% - Accent4 28 2 2" xfId="6653"/>
    <cellStyle name="20% - Accent4 28 2 2 2" xfId="6654"/>
    <cellStyle name="20% - Accent4 28 2 3" xfId="6655"/>
    <cellStyle name="20% - Accent4 28 2 3 2" xfId="6656"/>
    <cellStyle name="20% - Accent4 28 2 4" xfId="6657"/>
    <cellStyle name="20% - Accent4 28 3" xfId="6658"/>
    <cellStyle name="20% - Accent4 28 3 2" xfId="6659"/>
    <cellStyle name="20% - Accent4 28 3 2 2" xfId="6660"/>
    <cellStyle name="20% - Accent4 28 3 3" xfId="6661"/>
    <cellStyle name="20% - Accent4 28 3 3 2" xfId="6662"/>
    <cellStyle name="20% - Accent4 28 3 4" xfId="6663"/>
    <cellStyle name="20% - Accent4 28 4" xfId="6664"/>
    <cellStyle name="20% - Accent4 28 4 2" xfId="6665"/>
    <cellStyle name="20% - Accent4 28 5" xfId="6666"/>
    <cellStyle name="20% - Accent4 28 5 2" xfId="6667"/>
    <cellStyle name="20% - Accent4 28 6" xfId="6668"/>
    <cellStyle name="20% - Accent4 28 7" xfId="6669"/>
    <cellStyle name="20% - Accent4 29" xfId="6670"/>
    <cellStyle name="20% - Accent4 29 2" xfId="6671"/>
    <cellStyle name="20% - Accent4 29 2 2" xfId="6672"/>
    <cellStyle name="20% - Accent4 29 2 2 2" xfId="6673"/>
    <cellStyle name="20% - Accent4 29 2 3" xfId="6674"/>
    <cellStyle name="20% - Accent4 29 2 3 2" xfId="6675"/>
    <cellStyle name="20% - Accent4 29 2 4" xfId="6676"/>
    <cellStyle name="20% - Accent4 29 3" xfId="6677"/>
    <cellStyle name="20% - Accent4 29 3 2" xfId="6678"/>
    <cellStyle name="20% - Accent4 29 3 2 2" xfId="6679"/>
    <cellStyle name="20% - Accent4 29 3 3" xfId="6680"/>
    <cellStyle name="20% - Accent4 29 3 3 2" xfId="6681"/>
    <cellStyle name="20% - Accent4 29 3 4" xfId="6682"/>
    <cellStyle name="20% - Accent4 29 4" xfId="6683"/>
    <cellStyle name="20% - Accent4 29 4 2" xfId="6684"/>
    <cellStyle name="20% - Accent4 29 5" xfId="6685"/>
    <cellStyle name="20% - Accent4 29 5 2" xfId="6686"/>
    <cellStyle name="20% - Accent4 29 6" xfId="6687"/>
    <cellStyle name="20% - Accent4 29 7" xfId="6688"/>
    <cellStyle name="20% - Accent4 3" xfId="6689"/>
    <cellStyle name="20% - Accent4 3 2" xfId="6690"/>
    <cellStyle name="20% - Accent4 3 2 2" xfId="6691"/>
    <cellStyle name="20% - Accent4 3 2 2 2" xfId="6692"/>
    <cellStyle name="20% - Accent4 3 2 3" xfId="6693"/>
    <cellStyle name="20% - Accent4 3 2 3 2" xfId="6694"/>
    <cellStyle name="20% - Accent4 3 2 4" xfId="6695"/>
    <cellStyle name="20% - Accent4 3 3" xfId="6696"/>
    <cellStyle name="20% - Accent4 3 3 2" xfId="6697"/>
    <cellStyle name="20% - Accent4 3 3 2 2" xfId="6698"/>
    <cellStyle name="20% - Accent4 3 3 3" xfId="6699"/>
    <cellStyle name="20% - Accent4 3 3 3 2" xfId="6700"/>
    <cellStyle name="20% - Accent4 3 3 4" xfId="6701"/>
    <cellStyle name="20% - Accent4 3 4" xfId="6702"/>
    <cellStyle name="20% - Accent4 3 4 2" xfId="6703"/>
    <cellStyle name="20% - Accent4 3 5" xfId="6704"/>
    <cellStyle name="20% - Accent4 3 5 2" xfId="6705"/>
    <cellStyle name="20% - Accent4 3 6" xfId="6706"/>
    <cellStyle name="20% - Accent4 30" xfId="6707"/>
    <cellStyle name="20% - Accent4 30 2" xfId="6708"/>
    <cellStyle name="20% - Accent4 30 2 2" xfId="6709"/>
    <cellStyle name="20% - Accent4 30 2 2 2" xfId="6710"/>
    <cellStyle name="20% - Accent4 30 2 3" xfId="6711"/>
    <cellStyle name="20% - Accent4 30 2 3 2" xfId="6712"/>
    <cellStyle name="20% - Accent4 30 2 4" xfId="6713"/>
    <cellStyle name="20% - Accent4 30 3" xfId="6714"/>
    <cellStyle name="20% - Accent4 30 3 2" xfId="6715"/>
    <cellStyle name="20% - Accent4 30 3 2 2" xfId="6716"/>
    <cellStyle name="20% - Accent4 30 3 3" xfId="6717"/>
    <cellStyle name="20% - Accent4 30 3 3 2" xfId="6718"/>
    <cellStyle name="20% - Accent4 30 3 4" xfId="6719"/>
    <cellStyle name="20% - Accent4 30 4" xfId="6720"/>
    <cellStyle name="20% - Accent4 30 4 2" xfId="6721"/>
    <cellStyle name="20% - Accent4 30 5" xfId="6722"/>
    <cellStyle name="20% - Accent4 30 5 2" xfId="6723"/>
    <cellStyle name="20% - Accent4 30 6" xfId="6724"/>
    <cellStyle name="20% - Accent4 30 7" xfId="6725"/>
    <cellStyle name="20% - Accent4 31" xfId="6726"/>
    <cellStyle name="20% - Accent4 31 2" xfId="6727"/>
    <cellStyle name="20% - Accent4 31 2 2" xfId="6728"/>
    <cellStyle name="20% - Accent4 31 2 2 2" xfId="6729"/>
    <cellStyle name="20% - Accent4 31 2 3" xfId="6730"/>
    <cellStyle name="20% - Accent4 31 2 3 2" xfId="6731"/>
    <cellStyle name="20% - Accent4 31 2 4" xfId="6732"/>
    <cellStyle name="20% - Accent4 31 3" xfId="6733"/>
    <cellStyle name="20% - Accent4 31 3 2" xfId="6734"/>
    <cellStyle name="20% - Accent4 31 3 2 2" xfId="6735"/>
    <cellStyle name="20% - Accent4 31 3 3" xfId="6736"/>
    <cellStyle name="20% - Accent4 31 3 3 2" xfId="6737"/>
    <cellStyle name="20% - Accent4 31 3 4" xfId="6738"/>
    <cellStyle name="20% - Accent4 31 4" xfId="6739"/>
    <cellStyle name="20% - Accent4 31 4 2" xfId="6740"/>
    <cellStyle name="20% - Accent4 31 5" xfId="6741"/>
    <cellStyle name="20% - Accent4 31 5 2" xfId="6742"/>
    <cellStyle name="20% - Accent4 31 6" xfId="6743"/>
    <cellStyle name="20% - Accent4 31 7" xfId="6744"/>
    <cellStyle name="20% - Accent4 32" xfId="6745"/>
    <cellStyle name="20% - Accent4 32 2" xfId="6746"/>
    <cellStyle name="20% - Accent4 32 2 2" xfId="6747"/>
    <cellStyle name="20% - Accent4 32 2 2 2" xfId="6748"/>
    <cellStyle name="20% - Accent4 32 2 3" xfId="6749"/>
    <cellStyle name="20% - Accent4 32 2 3 2" xfId="6750"/>
    <cellStyle name="20% - Accent4 32 2 4" xfId="6751"/>
    <cellStyle name="20% - Accent4 32 3" xfId="6752"/>
    <cellStyle name="20% - Accent4 32 3 2" xfId="6753"/>
    <cellStyle name="20% - Accent4 32 3 2 2" xfId="6754"/>
    <cellStyle name="20% - Accent4 32 3 3" xfId="6755"/>
    <cellStyle name="20% - Accent4 32 3 3 2" xfId="6756"/>
    <cellStyle name="20% - Accent4 32 3 4" xfId="6757"/>
    <cellStyle name="20% - Accent4 32 4" xfId="6758"/>
    <cellStyle name="20% - Accent4 32 4 2" xfId="6759"/>
    <cellStyle name="20% - Accent4 32 5" xfId="6760"/>
    <cellStyle name="20% - Accent4 32 5 2" xfId="6761"/>
    <cellStyle name="20% - Accent4 32 6" xfId="6762"/>
    <cellStyle name="20% - Accent4 32 7" xfId="6763"/>
    <cellStyle name="20% - Accent4 33" xfId="6764"/>
    <cellStyle name="20% - Accent4 33 2" xfId="6765"/>
    <cellStyle name="20% - Accent4 33 2 2" xfId="6766"/>
    <cellStyle name="20% - Accent4 33 2 2 2" xfId="6767"/>
    <cellStyle name="20% - Accent4 33 2 3" xfId="6768"/>
    <cellStyle name="20% - Accent4 33 2 3 2" xfId="6769"/>
    <cellStyle name="20% - Accent4 33 2 4" xfId="6770"/>
    <cellStyle name="20% - Accent4 33 3" xfId="6771"/>
    <cellStyle name="20% - Accent4 33 3 2" xfId="6772"/>
    <cellStyle name="20% - Accent4 33 3 2 2" xfId="6773"/>
    <cellStyle name="20% - Accent4 33 3 3" xfId="6774"/>
    <cellStyle name="20% - Accent4 33 3 3 2" xfId="6775"/>
    <cellStyle name="20% - Accent4 33 3 4" xfId="6776"/>
    <cellStyle name="20% - Accent4 33 4" xfId="6777"/>
    <cellStyle name="20% - Accent4 33 4 2" xfId="6778"/>
    <cellStyle name="20% - Accent4 33 5" xfId="6779"/>
    <cellStyle name="20% - Accent4 33 5 2" xfId="6780"/>
    <cellStyle name="20% - Accent4 33 6" xfId="6781"/>
    <cellStyle name="20% - Accent4 33 7" xfId="6782"/>
    <cellStyle name="20% - Accent4 34" xfId="6783"/>
    <cellStyle name="20% - Accent4 34 2" xfId="6784"/>
    <cellStyle name="20% - Accent4 34 2 2" xfId="6785"/>
    <cellStyle name="20% - Accent4 34 2 2 2" xfId="6786"/>
    <cellStyle name="20% - Accent4 34 2 3" xfId="6787"/>
    <cellStyle name="20% - Accent4 34 2 3 2" xfId="6788"/>
    <cellStyle name="20% - Accent4 34 2 4" xfId="6789"/>
    <cellStyle name="20% - Accent4 34 3" xfId="6790"/>
    <cellStyle name="20% - Accent4 34 3 2" xfId="6791"/>
    <cellStyle name="20% - Accent4 34 3 2 2" xfId="6792"/>
    <cellStyle name="20% - Accent4 34 3 3" xfId="6793"/>
    <cellStyle name="20% - Accent4 34 3 3 2" xfId="6794"/>
    <cellStyle name="20% - Accent4 34 3 4" xfId="6795"/>
    <cellStyle name="20% - Accent4 34 4" xfId="6796"/>
    <cellStyle name="20% - Accent4 34 4 2" xfId="6797"/>
    <cellStyle name="20% - Accent4 34 5" xfId="6798"/>
    <cellStyle name="20% - Accent4 34 5 2" xfId="6799"/>
    <cellStyle name="20% - Accent4 34 6" xfId="6800"/>
    <cellStyle name="20% - Accent4 34 7" xfId="6801"/>
    <cellStyle name="20% - Accent4 35" xfId="6802"/>
    <cellStyle name="20% - Accent4 35 2" xfId="6803"/>
    <cellStyle name="20% - Accent4 35 2 2" xfId="6804"/>
    <cellStyle name="20% - Accent4 35 2 2 2" xfId="6805"/>
    <cellStyle name="20% - Accent4 35 2 3" xfId="6806"/>
    <cellStyle name="20% - Accent4 35 2 3 2" xfId="6807"/>
    <cellStyle name="20% - Accent4 35 2 4" xfId="6808"/>
    <cellStyle name="20% - Accent4 35 3" xfId="6809"/>
    <cellStyle name="20% - Accent4 35 3 2" xfId="6810"/>
    <cellStyle name="20% - Accent4 35 3 2 2" xfId="6811"/>
    <cellStyle name="20% - Accent4 35 3 3" xfId="6812"/>
    <cellStyle name="20% - Accent4 35 3 3 2" xfId="6813"/>
    <cellStyle name="20% - Accent4 35 3 4" xfId="6814"/>
    <cellStyle name="20% - Accent4 35 4" xfId="6815"/>
    <cellStyle name="20% - Accent4 35 4 2" xfId="6816"/>
    <cellStyle name="20% - Accent4 35 5" xfId="6817"/>
    <cellStyle name="20% - Accent4 35 5 2" xfId="6818"/>
    <cellStyle name="20% - Accent4 35 6" xfId="6819"/>
    <cellStyle name="20% - Accent4 35 7" xfId="6820"/>
    <cellStyle name="20% - Accent4 36" xfId="6821"/>
    <cellStyle name="20% - Accent4 36 2" xfId="6822"/>
    <cellStyle name="20% - Accent4 36 2 2" xfId="6823"/>
    <cellStyle name="20% - Accent4 36 2 2 2" xfId="6824"/>
    <cellStyle name="20% - Accent4 36 2 3" xfId="6825"/>
    <cellStyle name="20% - Accent4 36 2 3 2" xfId="6826"/>
    <cellStyle name="20% - Accent4 36 2 4" xfId="6827"/>
    <cellStyle name="20% - Accent4 36 3" xfId="6828"/>
    <cellStyle name="20% - Accent4 36 3 2" xfId="6829"/>
    <cellStyle name="20% - Accent4 36 3 2 2" xfId="6830"/>
    <cellStyle name="20% - Accent4 36 3 3" xfId="6831"/>
    <cellStyle name="20% - Accent4 36 3 3 2" xfId="6832"/>
    <cellStyle name="20% - Accent4 36 3 4" xfId="6833"/>
    <cellStyle name="20% - Accent4 36 4" xfId="6834"/>
    <cellStyle name="20% - Accent4 36 4 2" xfId="6835"/>
    <cellStyle name="20% - Accent4 36 5" xfId="6836"/>
    <cellStyle name="20% - Accent4 36 5 2" xfId="6837"/>
    <cellStyle name="20% - Accent4 36 6" xfId="6838"/>
    <cellStyle name="20% - Accent4 36 7" xfId="6839"/>
    <cellStyle name="20% - Accent4 37" xfId="6840"/>
    <cellStyle name="20% - Accent4 37 2" xfId="6841"/>
    <cellStyle name="20% - Accent4 37 2 2" xfId="6842"/>
    <cellStyle name="20% - Accent4 37 2 2 2" xfId="6843"/>
    <cellStyle name="20% - Accent4 37 2 3" xfId="6844"/>
    <cellStyle name="20% - Accent4 37 2 3 2" xfId="6845"/>
    <cellStyle name="20% - Accent4 37 2 4" xfId="6846"/>
    <cellStyle name="20% - Accent4 37 3" xfId="6847"/>
    <cellStyle name="20% - Accent4 37 3 2" xfId="6848"/>
    <cellStyle name="20% - Accent4 37 3 2 2" xfId="6849"/>
    <cellStyle name="20% - Accent4 37 3 3" xfId="6850"/>
    <cellStyle name="20% - Accent4 37 3 3 2" xfId="6851"/>
    <cellStyle name="20% - Accent4 37 3 4" xfId="6852"/>
    <cellStyle name="20% - Accent4 37 4" xfId="6853"/>
    <cellStyle name="20% - Accent4 37 4 2" xfId="6854"/>
    <cellStyle name="20% - Accent4 37 5" xfId="6855"/>
    <cellStyle name="20% - Accent4 37 5 2" xfId="6856"/>
    <cellStyle name="20% - Accent4 37 6" xfId="6857"/>
    <cellStyle name="20% - Accent4 37 7" xfId="6858"/>
    <cellStyle name="20% - Accent4 38" xfId="6859"/>
    <cellStyle name="20% - Accent4 38 2" xfId="6860"/>
    <cellStyle name="20% - Accent4 38 2 2" xfId="6861"/>
    <cellStyle name="20% - Accent4 38 2 2 2" xfId="6862"/>
    <cellStyle name="20% - Accent4 38 2 3" xfId="6863"/>
    <cellStyle name="20% - Accent4 38 2 3 2" xfId="6864"/>
    <cellStyle name="20% - Accent4 38 2 4" xfId="6865"/>
    <cellStyle name="20% - Accent4 38 3" xfId="6866"/>
    <cellStyle name="20% - Accent4 38 3 2" xfId="6867"/>
    <cellStyle name="20% - Accent4 38 3 2 2" xfId="6868"/>
    <cellStyle name="20% - Accent4 38 3 3" xfId="6869"/>
    <cellStyle name="20% - Accent4 38 3 3 2" xfId="6870"/>
    <cellStyle name="20% - Accent4 38 3 4" xfId="6871"/>
    <cellStyle name="20% - Accent4 38 4" xfId="6872"/>
    <cellStyle name="20% - Accent4 38 4 2" xfId="6873"/>
    <cellStyle name="20% - Accent4 38 5" xfId="6874"/>
    <cellStyle name="20% - Accent4 38 5 2" xfId="6875"/>
    <cellStyle name="20% - Accent4 38 6" xfId="6876"/>
    <cellStyle name="20% - Accent4 38 7" xfId="6877"/>
    <cellStyle name="20% - Accent4 39" xfId="6878"/>
    <cellStyle name="20% - Accent4 39 2" xfId="6879"/>
    <cellStyle name="20% - Accent4 39 2 2" xfId="6880"/>
    <cellStyle name="20% - Accent4 39 2 2 2" xfId="6881"/>
    <cellStyle name="20% - Accent4 39 2 3" xfId="6882"/>
    <cellStyle name="20% - Accent4 39 2 3 2" xfId="6883"/>
    <cellStyle name="20% - Accent4 39 2 4" xfId="6884"/>
    <cellStyle name="20% - Accent4 39 3" xfId="6885"/>
    <cellStyle name="20% - Accent4 39 3 2" xfId="6886"/>
    <cellStyle name="20% - Accent4 39 3 2 2" xfId="6887"/>
    <cellStyle name="20% - Accent4 39 3 3" xfId="6888"/>
    <cellStyle name="20% - Accent4 39 3 3 2" xfId="6889"/>
    <cellStyle name="20% - Accent4 39 3 4" xfId="6890"/>
    <cellStyle name="20% - Accent4 39 4" xfId="6891"/>
    <cellStyle name="20% - Accent4 39 4 2" xfId="6892"/>
    <cellStyle name="20% - Accent4 39 5" xfId="6893"/>
    <cellStyle name="20% - Accent4 39 5 2" xfId="6894"/>
    <cellStyle name="20% - Accent4 39 6" xfId="6895"/>
    <cellStyle name="20% - Accent4 39 7" xfId="6896"/>
    <cellStyle name="20% - Accent4 4" xfId="6897"/>
    <cellStyle name="20% - Accent4 4 2" xfId="6898"/>
    <cellStyle name="20% - Accent4 4 2 2" xfId="6899"/>
    <cellStyle name="20% - Accent4 4 2 2 2" xfId="6900"/>
    <cellStyle name="20% - Accent4 4 2 3" xfId="6901"/>
    <cellStyle name="20% - Accent4 4 2 3 2" xfId="6902"/>
    <cellStyle name="20% - Accent4 4 2 4" xfId="6903"/>
    <cellStyle name="20% - Accent4 4 3" xfId="6904"/>
    <cellStyle name="20% - Accent4 4 3 2" xfId="6905"/>
    <cellStyle name="20% - Accent4 4 3 2 2" xfId="6906"/>
    <cellStyle name="20% - Accent4 4 3 3" xfId="6907"/>
    <cellStyle name="20% - Accent4 4 3 3 2" xfId="6908"/>
    <cellStyle name="20% - Accent4 4 3 4" xfId="6909"/>
    <cellStyle name="20% - Accent4 4 4" xfId="6910"/>
    <cellStyle name="20% - Accent4 4 4 2" xfId="6911"/>
    <cellStyle name="20% - Accent4 4 5" xfId="6912"/>
    <cellStyle name="20% - Accent4 4 5 2" xfId="6913"/>
    <cellStyle name="20% - Accent4 4 6" xfId="6914"/>
    <cellStyle name="20% - Accent4 40" xfId="6915"/>
    <cellStyle name="20% - Accent4 40 2" xfId="6916"/>
    <cellStyle name="20% - Accent4 40 2 2" xfId="6917"/>
    <cellStyle name="20% - Accent4 40 2 2 2" xfId="6918"/>
    <cellStyle name="20% - Accent4 40 2 3" xfId="6919"/>
    <cellStyle name="20% - Accent4 40 2 3 2" xfId="6920"/>
    <cellStyle name="20% - Accent4 40 2 4" xfId="6921"/>
    <cellStyle name="20% - Accent4 40 3" xfId="6922"/>
    <cellStyle name="20% - Accent4 40 3 2" xfId="6923"/>
    <cellStyle name="20% - Accent4 40 3 2 2" xfId="6924"/>
    <cellStyle name="20% - Accent4 40 3 3" xfId="6925"/>
    <cellStyle name="20% - Accent4 40 3 3 2" xfId="6926"/>
    <cellStyle name="20% - Accent4 40 3 4" xfId="6927"/>
    <cellStyle name="20% - Accent4 40 4" xfId="6928"/>
    <cellStyle name="20% - Accent4 40 4 2" xfId="6929"/>
    <cellStyle name="20% - Accent4 40 5" xfId="6930"/>
    <cellStyle name="20% - Accent4 40 5 2" xfId="6931"/>
    <cellStyle name="20% - Accent4 40 6" xfId="6932"/>
    <cellStyle name="20% - Accent4 40 7" xfId="6933"/>
    <cellStyle name="20% - Accent4 41" xfId="6934"/>
    <cellStyle name="20% - Accent4 41 2" xfId="6935"/>
    <cellStyle name="20% - Accent4 41 2 2" xfId="6936"/>
    <cellStyle name="20% - Accent4 41 2 2 2" xfId="6937"/>
    <cellStyle name="20% - Accent4 41 2 3" xfId="6938"/>
    <cellStyle name="20% - Accent4 41 2 3 2" xfId="6939"/>
    <cellStyle name="20% - Accent4 41 2 4" xfId="6940"/>
    <cellStyle name="20% - Accent4 41 3" xfId="6941"/>
    <cellStyle name="20% - Accent4 41 3 2" xfId="6942"/>
    <cellStyle name="20% - Accent4 41 3 2 2" xfId="6943"/>
    <cellStyle name="20% - Accent4 41 3 3" xfId="6944"/>
    <cellStyle name="20% - Accent4 41 3 3 2" xfId="6945"/>
    <cellStyle name="20% - Accent4 41 3 4" xfId="6946"/>
    <cellStyle name="20% - Accent4 41 4" xfId="6947"/>
    <cellStyle name="20% - Accent4 41 4 2" xfId="6948"/>
    <cellStyle name="20% - Accent4 41 5" xfId="6949"/>
    <cellStyle name="20% - Accent4 41 5 2" xfId="6950"/>
    <cellStyle name="20% - Accent4 41 6" xfId="6951"/>
    <cellStyle name="20% - Accent4 41 7" xfId="6952"/>
    <cellStyle name="20% - Accent4 42" xfId="6953"/>
    <cellStyle name="20% - Accent4 42 2" xfId="6954"/>
    <cellStyle name="20% - Accent4 42 2 2" xfId="6955"/>
    <cellStyle name="20% - Accent4 42 3" xfId="6956"/>
    <cellStyle name="20% - Accent4 42 3 2" xfId="6957"/>
    <cellStyle name="20% - Accent4 42 4" xfId="6958"/>
    <cellStyle name="20% - Accent4 42 5" xfId="6959"/>
    <cellStyle name="20% - Accent4 43" xfId="6960"/>
    <cellStyle name="20% - Accent4 43 2" xfId="6961"/>
    <cellStyle name="20% - Accent4 43 2 2" xfId="6962"/>
    <cellStyle name="20% - Accent4 43 3" xfId="6963"/>
    <cellStyle name="20% - Accent4 43 3 2" xfId="6964"/>
    <cellStyle name="20% - Accent4 43 4" xfId="6965"/>
    <cellStyle name="20% - Accent4 43 5" xfId="6966"/>
    <cellStyle name="20% - Accent4 44" xfId="6967"/>
    <cellStyle name="20% - Accent4 44 2" xfId="6968"/>
    <cellStyle name="20% - Accent4 44 2 2" xfId="6969"/>
    <cellStyle name="20% - Accent4 44 3" xfId="6970"/>
    <cellStyle name="20% - Accent4 44 3 2" xfId="6971"/>
    <cellStyle name="20% - Accent4 44 4" xfId="6972"/>
    <cellStyle name="20% - Accent4 44 5" xfId="6973"/>
    <cellStyle name="20% - Accent4 45" xfId="6974"/>
    <cellStyle name="20% - Accent4 45 2" xfId="6975"/>
    <cellStyle name="20% - Accent4 45 2 2" xfId="6976"/>
    <cellStyle name="20% - Accent4 45 3" xfId="6977"/>
    <cellStyle name="20% - Accent4 45 3 2" xfId="6978"/>
    <cellStyle name="20% - Accent4 45 4" xfId="6979"/>
    <cellStyle name="20% - Accent4 45 5" xfId="6980"/>
    <cellStyle name="20% - Accent4 46" xfId="6981"/>
    <cellStyle name="20% - Accent4 46 2" xfId="6982"/>
    <cellStyle name="20% - Accent4 46 2 2" xfId="6983"/>
    <cellStyle name="20% - Accent4 46 3" xfId="6984"/>
    <cellStyle name="20% - Accent4 46 3 2" xfId="6985"/>
    <cellStyle name="20% - Accent4 46 4" xfId="6986"/>
    <cellStyle name="20% - Accent4 46 5" xfId="6987"/>
    <cellStyle name="20% - Accent4 47" xfId="6988"/>
    <cellStyle name="20% - Accent4 47 2" xfId="6989"/>
    <cellStyle name="20% - Accent4 47 2 2" xfId="6990"/>
    <cellStyle name="20% - Accent4 47 3" xfId="6991"/>
    <cellStyle name="20% - Accent4 47 3 2" xfId="6992"/>
    <cellStyle name="20% - Accent4 47 4" xfId="6993"/>
    <cellStyle name="20% - Accent4 47 5" xfId="6994"/>
    <cellStyle name="20% - Accent4 48" xfId="6995"/>
    <cellStyle name="20% - Accent4 48 2" xfId="6996"/>
    <cellStyle name="20% - Accent4 48 2 2" xfId="6997"/>
    <cellStyle name="20% - Accent4 48 3" xfId="6998"/>
    <cellStyle name="20% - Accent4 48 3 2" xfId="6999"/>
    <cellStyle name="20% - Accent4 48 4" xfId="7000"/>
    <cellStyle name="20% - Accent4 48 5" xfId="7001"/>
    <cellStyle name="20% - Accent4 49" xfId="7002"/>
    <cellStyle name="20% - Accent4 49 2" xfId="7003"/>
    <cellStyle name="20% - Accent4 49 2 2" xfId="7004"/>
    <cellStyle name="20% - Accent4 49 3" xfId="7005"/>
    <cellStyle name="20% - Accent4 49 3 2" xfId="7006"/>
    <cellStyle name="20% - Accent4 49 4" xfId="7007"/>
    <cellStyle name="20% - Accent4 49 5" xfId="7008"/>
    <cellStyle name="20% - Accent4 5" xfId="7009"/>
    <cellStyle name="20% - Accent4 5 2" xfId="7010"/>
    <cellStyle name="20% - Accent4 5 2 2" xfId="7011"/>
    <cellStyle name="20% - Accent4 5 2 2 2" xfId="7012"/>
    <cellStyle name="20% - Accent4 5 2 3" xfId="7013"/>
    <cellStyle name="20% - Accent4 5 2 3 2" xfId="7014"/>
    <cellStyle name="20% - Accent4 5 2 4" xfId="7015"/>
    <cellStyle name="20% - Accent4 5 3" xfId="7016"/>
    <cellStyle name="20% - Accent4 5 3 2" xfId="7017"/>
    <cellStyle name="20% - Accent4 5 3 2 2" xfId="7018"/>
    <cellStyle name="20% - Accent4 5 3 3" xfId="7019"/>
    <cellStyle name="20% - Accent4 5 3 3 2" xfId="7020"/>
    <cellStyle name="20% - Accent4 5 3 4" xfId="7021"/>
    <cellStyle name="20% - Accent4 5 4" xfId="7022"/>
    <cellStyle name="20% - Accent4 5 4 2" xfId="7023"/>
    <cellStyle name="20% - Accent4 5 5" xfId="7024"/>
    <cellStyle name="20% - Accent4 5 5 2" xfId="7025"/>
    <cellStyle name="20% - Accent4 5 6" xfId="7026"/>
    <cellStyle name="20% - Accent4 50" xfId="7027"/>
    <cellStyle name="20% - Accent4 50 2" xfId="7028"/>
    <cellStyle name="20% - Accent4 50 2 2" xfId="7029"/>
    <cellStyle name="20% - Accent4 50 3" xfId="7030"/>
    <cellStyle name="20% - Accent4 50 3 2" xfId="7031"/>
    <cellStyle name="20% - Accent4 50 4" xfId="7032"/>
    <cellStyle name="20% - Accent4 50 5" xfId="7033"/>
    <cellStyle name="20% - Accent4 51" xfId="7034"/>
    <cellStyle name="20% - Accent4 51 2" xfId="7035"/>
    <cellStyle name="20% - Accent4 51 2 2" xfId="7036"/>
    <cellStyle name="20% - Accent4 51 3" xfId="7037"/>
    <cellStyle name="20% - Accent4 51 3 2" xfId="7038"/>
    <cellStyle name="20% - Accent4 51 4" xfId="7039"/>
    <cellStyle name="20% - Accent4 51 5" xfId="7040"/>
    <cellStyle name="20% - Accent4 52" xfId="7041"/>
    <cellStyle name="20% - Accent4 52 2" xfId="7042"/>
    <cellStyle name="20% - Accent4 52 2 2" xfId="7043"/>
    <cellStyle name="20% - Accent4 52 3" xfId="7044"/>
    <cellStyle name="20% - Accent4 52 3 2" xfId="7045"/>
    <cellStyle name="20% - Accent4 52 4" xfId="7046"/>
    <cellStyle name="20% - Accent4 52 5" xfId="7047"/>
    <cellStyle name="20% - Accent4 53" xfId="7048"/>
    <cellStyle name="20% - Accent4 53 2" xfId="7049"/>
    <cellStyle name="20% - Accent4 53 2 2" xfId="7050"/>
    <cellStyle name="20% - Accent4 53 3" xfId="7051"/>
    <cellStyle name="20% - Accent4 53 3 2" xfId="7052"/>
    <cellStyle name="20% - Accent4 53 4" xfId="7053"/>
    <cellStyle name="20% - Accent4 53 5" xfId="7054"/>
    <cellStyle name="20% - Accent4 54" xfId="7055"/>
    <cellStyle name="20% - Accent4 54 2" xfId="7056"/>
    <cellStyle name="20% - Accent4 54 2 2" xfId="7057"/>
    <cellStyle name="20% - Accent4 54 3" xfId="7058"/>
    <cellStyle name="20% - Accent4 54 3 2" xfId="7059"/>
    <cellStyle name="20% - Accent4 54 4" xfId="7060"/>
    <cellStyle name="20% - Accent4 54 5" xfId="7061"/>
    <cellStyle name="20% - Accent4 55" xfId="7062"/>
    <cellStyle name="20% - Accent4 55 2" xfId="7063"/>
    <cellStyle name="20% - Accent4 55 2 2" xfId="7064"/>
    <cellStyle name="20% - Accent4 55 3" xfId="7065"/>
    <cellStyle name="20% - Accent4 55 3 2" xfId="7066"/>
    <cellStyle name="20% - Accent4 55 4" xfId="7067"/>
    <cellStyle name="20% - Accent4 55 5" xfId="7068"/>
    <cellStyle name="20% - Accent4 56" xfId="7069"/>
    <cellStyle name="20% - Accent4 56 2" xfId="7070"/>
    <cellStyle name="20% - Accent4 56 2 2" xfId="7071"/>
    <cellStyle name="20% - Accent4 56 3" xfId="7072"/>
    <cellStyle name="20% - Accent4 56 3 2" xfId="7073"/>
    <cellStyle name="20% - Accent4 56 4" xfId="7074"/>
    <cellStyle name="20% - Accent4 56 5" xfId="7075"/>
    <cellStyle name="20% - Accent4 57" xfId="7076"/>
    <cellStyle name="20% - Accent4 57 2" xfId="7077"/>
    <cellStyle name="20% - Accent4 57 2 2" xfId="7078"/>
    <cellStyle name="20% - Accent4 57 3" xfId="7079"/>
    <cellStyle name="20% - Accent4 57 3 2" xfId="7080"/>
    <cellStyle name="20% - Accent4 57 4" xfId="7081"/>
    <cellStyle name="20% - Accent4 57 5" xfId="7082"/>
    <cellStyle name="20% - Accent4 58" xfId="7083"/>
    <cellStyle name="20% - Accent4 58 2" xfId="7084"/>
    <cellStyle name="20% - Accent4 58 2 2" xfId="7085"/>
    <cellStyle name="20% - Accent4 58 3" xfId="7086"/>
    <cellStyle name="20% - Accent4 58 3 2" xfId="7087"/>
    <cellStyle name="20% - Accent4 58 4" xfId="7088"/>
    <cellStyle name="20% - Accent4 58 5" xfId="7089"/>
    <cellStyle name="20% - Accent4 59" xfId="7090"/>
    <cellStyle name="20% - Accent4 59 2" xfId="7091"/>
    <cellStyle name="20% - Accent4 59 2 2" xfId="7092"/>
    <cellStyle name="20% - Accent4 59 3" xfId="7093"/>
    <cellStyle name="20% - Accent4 59 3 2" xfId="7094"/>
    <cellStyle name="20% - Accent4 59 4" xfId="7095"/>
    <cellStyle name="20% - Accent4 59 5" xfId="7096"/>
    <cellStyle name="20% - Accent4 6" xfId="7097"/>
    <cellStyle name="20% - Accent4 6 2" xfId="7098"/>
    <cellStyle name="20% - Accent4 6 2 2" xfId="7099"/>
    <cellStyle name="20% - Accent4 6 2 2 2" xfId="7100"/>
    <cellStyle name="20% - Accent4 6 2 3" xfId="7101"/>
    <cellStyle name="20% - Accent4 6 2 3 2" xfId="7102"/>
    <cellStyle name="20% - Accent4 6 2 4" xfId="7103"/>
    <cellStyle name="20% - Accent4 6 3" xfId="7104"/>
    <cellStyle name="20% - Accent4 6 3 2" xfId="7105"/>
    <cellStyle name="20% - Accent4 6 3 2 2" xfId="7106"/>
    <cellStyle name="20% - Accent4 6 3 3" xfId="7107"/>
    <cellStyle name="20% - Accent4 6 3 3 2" xfId="7108"/>
    <cellStyle name="20% - Accent4 6 3 4" xfId="7109"/>
    <cellStyle name="20% - Accent4 6 4" xfId="7110"/>
    <cellStyle name="20% - Accent4 6 4 2" xfId="7111"/>
    <cellStyle name="20% - Accent4 6 5" xfId="7112"/>
    <cellStyle name="20% - Accent4 6 5 2" xfId="7113"/>
    <cellStyle name="20% - Accent4 6 6" xfId="7114"/>
    <cellStyle name="20% - Accent4 60" xfId="7115"/>
    <cellStyle name="20% - Accent4 60 2" xfId="7116"/>
    <cellStyle name="20% - Accent4 60 2 2" xfId="7117"/>
    <cellStyle name="20% - Accent4 60 3" xfId="7118"/>
    <cellStyle name="20% - Accent4 60 3 2" xfId="7119"/>
    <cellStyle name="20% - Accent4 60 4" xfId="7120"/>
    <cellStyle name="20% - Accent4 60 5" xfId="7121"/>
    <cellStyle name="20% - Accent4 61" xfId="7122"/>
    <cellStyle name="20% - Accent4 61 2" xfId="7123"/>
    <cellStyle name="20% - Accent4 61 2 2" xfId="7124"/>
    <cellStyle name="20% - Accent4 61 3" xfId="7125"/>
    <cellStyle name="20% - Accent4 61 3 2" xfId="7126"/>
    <cellStyle name="20% - Accent4 61 4" xfId="7127"/>
    <cellStyle name="20% - Accent4 61 5" xfId="7128"/>
    <cellStyle name="20% - Accent4 62" xfId="7129"/>
    <cellStyle name="20% - Accent4 62 2" xfId="7130"/>
    <cellStyle name="20% - Accent4 62 2 2" xfId="7131"/>
    <cellStyle name="20% - Accent4 62 3" xfId="7132"/>
    <cellStyle name="20% - Accent4 62 3 2" xfId="7133"/>
    <cellStyle name="20% - Accent4 62 4" xfId="7134"/>
    <cellStyle name="20% - Accent4 62 5" xfId="7135"/>
    <cellStyle name="20% - Accent4 63" xfId="7136"/>
    <cellStyle name="20% - Accent4 63 2" xfId="7137"/>
    <cellStyle name="20% - Accent4 63 2 2" xfId="7138"/>
    <cellStyle name="20% - Accent4 63 3" xfId="7139"/>
    <cellStyle name="20% - Accent4 63 3 2" xfId="7140"/>
    <cellStyle name="20% - Accent4 63 4" xfId="7141"/>
    <cellStyle name="20% - Accent4 63 5" xfId="7142"/>
    <cellStyle name="20% - Accent4 64" xfId="7143"/>
    <cellStyle name="20% - Accent4 64 2" xfId="7144"/>
    <cellStyle name="20% - Accent4 64 2 2" xfId="7145"/>
    <cellStyle name="20% - Accent4 64 3" xfId="7146"/>
    <cellStyle name="20% - Accent4 64 3 2" xfId="7147"/>
    <cellStyle name="20% - Accent4 64 4" xfId="7148"/>
    <cellStyle name="20% - Accent4 64 5" xfId="7149"/>
    <cellStyle name="20% - Accent4 65" xfId="7150"/>
    <cellStyle name="20% - Accent4 65 2" xfId="7151"/>
    <cellStyle name="20% - Accent4 65 2 2" xfId="7152"/>
    <cellStyle name="20% - Accent4 65 3" xfId="7153"/>
    <cellStyle name="20% - Accent4 65 3 2" xfId="7154"/>
    <cellStyle name="20% - Accent4 65 4" xfId="7155"/>
    <cellStyle name="20% - Accent4 65 5" xfId="7156"/>
    <cellStyle name="20% - Accent4 66" xfId="7157"/>
    <cellStyle name="20% - Accent4 66 2" xfId="7158"/>
    <cellStyle name="20% - Accent4 66 2 2" xfId="7159"/>
    <cellStyle name="20% - Accent4 66 3" xfId="7160"/>
    <cellStyle name="20% - Accent4 66 3 2" xfId="7161"/>
    <cellStyle name="20% - Accent4 66 4" xfId="7162"/>
    <cellStyle name="20% - Accent4 66 5" xfId="7163"/>
    <cellStyle name="20% - Accent4 67" xfId="7164"/>
    <cellStyle name="20% - Accent4 67 2" xfId="7165"/>
    <cellStyle name="20% - Accent4 67 2 2" xfId="7166"/>
    <cellStyle name="20% - Accent4 67 3" xfId="7167"/>
    <cellStyle name="20% - Accent4 67 3 2" xfId="7168"/>
    <cellStyle name="20% - Accent4 67 4" xfId="7169"/>
    <cellStyle name="20% - Accent4 67 5" xfId="7170"/>
    <cellStyle name="20% - Accent4 68" xfId="7171"/>
    <cellStyle name="20% - Accent4 68 2" xfId="7172"/>
    <cellStyle name="20% - Accent4 68 2 2" xfId="7173"/>
    <cellStyle name="20% - Accent4 68 3" xfId="7174"/>
    <cellStyle name="20% - Accent4 68 3 2" xfId="7175"/>
    <cellStyle name="20% - Accent4 68 4" xfId="7176"/>
    <cellStyle name="20% - Accent4 68 5" xfId="7177"/>
    <cellStyle name="20% - Accent4 69" xfId="7178"/>
    <cellStyle name="20% - Accent4 69 2" xfId="7179"/>
    <cellStyle name="20% - Accent4 69 2 2" xfId="7180"/>
    <cellStyle name="20% - Accent4 69 3" xfId="7181"/>
    <cellStyle name="20% - Accent4 69 3 2" xfId="7182"/>
    <cellStyle name="20% - Accent4 69 4" xfId="7183"/>
    <cellStyle name="20% - Accent4 69 5" xfId="7184"/>
    <cellStyle name="20% - Accent4 7" xfId="7185"/>
    <cellStyle name="20% - Accent4 7 2" xfId="7186"/>
    <cellStyle name="20% - Accent4 7 2 2" xfId="7187"/>
    <cellStyle name="20% - Accent4 7 2 2 2" xfId="7188"/>
    <cellStyle name="20% - Accent4 7 2 3" xfId="7189"/>
    <cellStyle name="20% - Accent4 7 2 3 2" xfId="7190"/>
    <cellStyle name="20% - Accent4 7 2 4" xfId="7191"/>
    <cellStyle name="20% - Accent4 7 3" xfId="7192"/>
    <cellStyle name="20% - Accent4 7 3 2" xfId="7193"/>
    <cellStyle name="20% - Accent4 7 3 2 2" xfId="7194"/>
    <cellStyle name="20% - Accent4 7 3 3" xfId="7195"/>
    <cellStyle name="20% - Accent4 7 3 3 2" xfId="7196"/>
    <cellStyle name="20% - Accent4 7 3 4" xfId="7197"/>
    <cellStyle name="20% - Accent4 7 4" xfId="7198"/>
    <cellStyle name="20% - Accent4 7 4 2" xfId="7199"/>
    <cellStyle name="20% - Accent4 7 5" xfId="7200"/>
    <cellStyle name="20% - Accent4 7 5 2" xfId="7201"/>
    <cellStyle name="20% - Accent4 7 6" xfId="7202"/>
    <cellStyle name="20% - Accent4 70" xfId="7203"/>
    <cellStyle name="20% - Accent4 70 2" xfId="7204"/>
    <cellStyle name="20% - Accent4 70 2 2" xfId="7205"/>
    <cellStyle name="20% - Accent4 70 3" xfId="7206"/>
    <cellStyle name="20% - Accent4 70 3 2" xfId="7207"/>
    <cellStyle name="20% - Accent4 70 4" xfId="7208"/>
    <cellStyle name="20% - Accent4 71" xfId="7209"/>
    <cellStyle name="20% - Accent4 71 2" xfId="7210"/>
    <cellStyle name="20% - Accent4 71 2 2" xfId="7211"/>
    <cellStyle name="20% - Accent4 71 3" xfId="7212"/>
    <cellStyle name="20% - Accent4 71 3 2" xfId="7213"/>
    <cellStyle name="20% - Accent4 71 4" xfId="7214"/>
    <cellStyle name="20% - Accent4 72" xfId="7215"/>
    <cellStyle name="20% - Accent4 72 2" xfId="7216"/>
    <cellStyle name="20% - Accent4 72 2 2" xfId="7217"/>
    <cellStyle name="20% - Accent4 72 3" xfId="7218"/>
    <cellStyle name="20% - Accent4 72 3 2" xfId="7219"/>
    <cellStyle name="20% - Accent4 72 4" xfId="7220"/>
    <cellStyle name="20% - Accent4 73" xfId="7221"/>
    <cellStyle name="20% - Accent4 73 2" xfId="7222"/>
    <cellStyle name="20% - Accent4 73 2 2" xfId="7223"/>
    <cellStyle name="20% - Accent4 73 3" xfId="7224"/>
    <cellStyle name="20% - Accent4 73 3 2" xfId="7225"/>
    <cellStyle name="20% - Accent4 73 4" xfId="7226"/>
    <cellStyle name="20% - Accent4 74" xfId="7227"/>
    <cellStyle name="20% - Accent4 74 2" xfId="7228"/>
    <cellStyle name="20% - Accent4 74 2 2" xfId="7229"/>
    <cellStyle name="20% - Accent4 74 3" xfId="7230"/>
    <cellStyle name="20% - Accent4 74 3 2" xfId="7231"/>
    <cellStyle name="20% - Accent4 74 4" xfId="7232"/>
    <cellStyle name="20% - Accent4 75" xfId="7233"/>
    <cellStyle name="20% - Accent4 75 2" xfId="7234"/>
    <cellStyle name="20% - Accent4 75 2 2" xfId="7235"/>
    <cellStyle name="20% - Accent4 75 3" xfId="7236"/>
    <cellStyle name="20% - Accent4 75 3 2" xfId="7237"/>
    <cellStyle name="20% - Accent4 75 4" xfId="7238"/>
    <cellStyle name="20% - Accent4 76" xfId="7239"/>
    <cellStyle name="20% - Accent4 76 2" xfId="7240"/>
    <cellStyle name="20% - Accent4 76 2 2" xfId="7241"/>
    <cellStyle name="20% - Accent4 76 3" xfId="7242"/>
    <cellStyle name="20% - Accent4 76 3 2" xfId="7243"/>
    <cellStyle name="20% - Accent4 76 4" xfId="7244"/>
    <cellStyle name="20% - Accent4 77" xfId="7245"/>
    <cellStyle name="20% - Accent4 77 2" xfId="7246"/>
    <cellStyle name="20% - Accent4 77 2 2" xfId="7247"/>
    <cellStyle name="20% - Accent4 77 3" xfId="7248"/>
    <cellStyle name="20% - Accent4 77 3 2" xfId="7249"/>
    <cellStyle name="20% - Accent4 77 4" xfId="7250"/>
    <cellStyle name="20% - Accent4 78" xfId="7251"/>
    <cellStyle name="20% - Accent4 78 2" xfId="7252"/>
    <cellStyle name="20% - Accent4 78 2 2" xfId="7253"/>
    <cellStyle name="20% - Accent4 78 3" xfId="7254"/>
    <cellStyle name="20% - Accent4 78 3 2" xfId="7255"/>
    <cellStyle name="20% - Accent4 78 4" xfId="7256"/>
    <cellStyle name="20% - Accent4 79" xfId="7257"/>
    <cellStyle name="20% - Accent4 79 2" xfId="7258"/>
    <cellStyle name="20% - Accent4 79 2 2" xfId="7259"/>
    <cellStyle name="20% - Accent4 79 3" xfId="7260"/>
    <cellStyle name="20% - Accent4 79 3 2" xfId="7261"/>
    <cellStyle name="20% - Accent4 79 4" xfId="7262"/>
    <cellStyle name="20% - Accent4 8" xfId="7263"/>
    <cellStyle name="20% - Accent4 8 2" xfId="7264"/>
    <cellStyle name="20% - Accent4 8 2 2" xfId="7265"/>
    <cellStyle name="20% - Accent4 8 2 2 2" xfId="7266"/>
    <cellStyle name="20% - Accent4 8 2 3" xfId="7267"/>
    <cellStyle name="20% - Accent4 8 2 3 2" xfId="7268"/>
    <cellStyle name="20% - Accent4 8 2 4" xfId="7269"/>
    <cellStyle name="20% - Accent4 8 3" xfId="7270"/>
    <cellStyle name="20% - Accent4 8 3 2" xfId="7271"/>
    <cellStyle name="20% - Accent4 8 3 2 2" xfId="7272"/>
    <cellStyle name="20% - Accent4 8 3 3" xfId="7273"/>
    <cellStyle name="20% - Accent4 8 3 3 2" xfId="7274"/>
    <cellStyle name="20% - Accent4 8 3 4" xfId="7275"/>
    <cellStyle name="20% - Accent4 8 4" xfId="7276"/>
    <cellStyle name="20% - Accent4 8 4 2" xfId="7277"/>
    <cellStyle name="20% - Accent4 8 5" xfId="7278"/>
    <cellStyle name="20% - Accent4 8 5 2" xfId="7279"/>
    <cellStyle name="20% - Accent4 8 6" xfId="7280"/>
    <cellStyle name="20% - Accent4 80" xfId="7281"/>
    <cellStyle name="20% - Accent4 80 2" xfId="7282"/>
    <cellStyle name="20% - Accent4 80 2 2" xfId="7283"/>
    <cellStyle name="20% - Accent4 80 3" xfId="7284"/>
    <cellStyle name="20% - Accent4 80 3 2" xfId="7285"/>
    <cellStyle name="20% - Accent4 80 4" xfId="7286"/>
    <cellStyle name="20% - Accent4 81" xfId="7287"/>
    <cellStyle name="20% - Accent4 81 2" xfId="7288"/>
    <cellStyle name="20% - Accent4 81 2 2" xfId="7289"/>
    <cellStyle name="20% - Accent4 81 3" xfId="7290"/>
    <cellStyle name="20% - Accent4 81 3 2" xfId="7291"/>
    <cellStyle name="20% - Accent4 81 4" xfId="7292"/>
    <cellStyle name="20% - Accent4 82" xfId="7293"/>
    <cellStyle name="20% - Accent4 82 2" xfId="7294"/>
    <cellStyle name="20% - Accent4 82 2 2" xfId="7295"/>
    <cellStyle name="20% - Accent4 82 3" xfId="7296"/>
    <cellStyle name="20% - Accent4 82 3 2" xfId="7297"/>
    <cellStyle name="20% - Accent4 82 4" xfId="7298"/>
    <cellStyle name="20% - Accent4 83" xfId="7299"/>
    <cellStyle name="20% - Accent4 83 2" xfId="7300"/>
    <cellStyle name="20% - Accent4 83 2 2" xfId="7301"/>
    <cellStyle name="20% - Accent4 83 3" xfId="7302"/>
    <cellStyle name="20% - Accent4 83 3 2" xfId="7303"/>
    <cellStyle name="20% - Accent4 83 4" xfId="7304"/>
    <cellStyle name="20% - Accent4 84" xfId="7305"/>
    <cellStyle name="20% - Accent4 84 2" xfId="7306"/>
    <cellStyle name="20% - Accent4 84 2 2" xfId="7307"/>
    <cellStyle name="20% - Accent4 84 3" xfId="7308"/>
    <cellStyle name="20% - Accent4 84 3 2" xfId="7309"/>
    <cellStyle name="20% - Accent4 84 4" xfId="7310"/>
    <cellStyle name="20% - Accent4 85" xfId="7311"/>
    <cellStyle name="20% - Accent4 85 2" xfId="7312"/>
    <cellStyle name="20% - Accent4 85 2 2" xfId="7313"/>
    <cellStyle name="20% - Accent4 85 3" xfId="7314"/>
    <cellStyle name="20% - Accent4 85 3 2" xfId="7315"/>
    <cellStyle name="20% - Accent4 85 4" xfId="7316"/>
    <cellStyle name="20% - Accent4 86" xfId="7317"/>
    <cellStyle name="20% - Accent4 86 2" xfId="7318"/>
    <cellStyle name="20% - Accent4 86 2 2" xfId="7319"/>
    <cellStyle name="20% - Accent4 86 3" xfId="7320"/>
    <cellStyle name="20% - Accent4 86 3 2" xfId="7321"/>
    <cellStyle name="20% - Accent4 86 4" xfId="7322"/>
    <cellStyle name="20% - Accent4 87" xfId="7323"/>
    <cellStyle name="20% - Accent4 87 2" xfId="7324"/>
    <cellStyle name="20% - Accent4 87 2 2" xfId="7325"/>
    <cellStyle name="20% - Accent4 87 3" xfId="7326"/>
    <cellStyle name="20% - Accent4 87 3 2" xfId="7327"/>
    <cellStyle name="20% - Accent4 87 4" xfId="7328"/>
    <cellStyle name="20% - Accent4 88" xfId="7329"/>
    <cellStyle name="20% - Accent4 88 2" xfId="7330"/>
    <cellStyle name="20% - Accent4 88 2 2" xfId="7331"/>
    <cellStyle name="20% - Accent4 88 3" xfId="7332"/>
    <cellStyle name="20% - Accent4 88 3 2" xfId="7333"/>
    <cellStyle name="20% - Accent4 88 4" xfId="7334"/>
    <cellStyle name="20% - Accent4 89" xfId="7335"/>
    <cellStyle name="20% - Accent4 89 2" xfId="7336"/>
    <cellStyle name="20% - Accent4 89 2 2" xfId="7337"/>
    <cellStyle name="20% - Accent4 89 3" xfId="7338"/>
    <cellStyle name="20% - Accent4 89 3 2" xfId="7339"/>
    <cellStyle name="20% - Accent4 89 4" xfId="7340"/>
    <cellStyle name="20% - Accent4 9" xfId="7341"/>
    <cellStyle name="20% - Accent4 9 2" xfId="7342"/>
    <cellStyle name="20% - Accent4 9 2 2" xfId="7343"/>
    <cellStyle name="20% - Accent4 9 2 2 2" xfId="7344"/>
    <cellStyle name="20% - Accent4 9 2 3" xfId="7345"/>
    <cellStyle name="20% - Accent4 9 2 3 2" xfId="7346"/>
    <cellStyle name="20% - Accent4 9 2 4" xfId="7347"/>
    <cellStyle name="20% - Accent4 9 3" xfId="7348"/>
    <cellStyle name="20% - Accent4 9 3 2" xfId="7349"/>
    <cellStyle name="20% - Accent4 9 3 2 2" xfId="7350"/>
    <cellStyle name="20% - Accent4 9 3 3" xfId="7351"/>
    <cellStyle name="20% - Accent4 9 3 3 2" xfId="7352"/>
    <cellStyle name="20% - Accent4 9 3 4" xfId="7353"/>
    <cellStyle name="20% - Accent4 9 4" xfId="7354"/>
    <cellStyle name="20% - Accent4 9 4 2" xfId="7355"/>
    <cellStyle name="20% - Accent4 9 5" xfId="7356"/>
    <cellStyle name="20% - Accent4 9 5 2" xfId="7357"/>
    <cellStyle name="20% - Accent4 9 6" xfId="7358"/>
    <cellStyle name="20% - Accent4 90" xfId="7359"/>
    <cellStyle name="20% - Accent4 90 2" xfId="7360"/>
    <cellStyle name="20% - Accent4 90 2 2" xfId="7361"/>
    <cellStyle name="20% - Accent4 90 3" xfId="7362"/>
    <cellStyle name="20% - Accent4 90 3 2" xfId="7363"/>
    <cellStyle name="20% - Accent4 90 4" xfId="7364"/>
    <cellStyle name="20% - Accent4 91" xfId="7365"/>
    <cellStyle name="20% - Accent4 91 2" xfId="7366"/>
    <cellStyle name="20% - Accent4 91 2 2" xfId="7367"/>
    <cellStyle name="20% - Accent4 91 3" xfId="7368"/>
    <cellStyle name="20% - Accent4 91 3 2" xfId="7369"/>
    <cellStyle name="20% - Accent4 91 4" xfId="7370"/>
    <cellStyle name="20% - Accent4 92" xfId="7371"/>
    <cellStyle name="20% - Accent4 92 2" xfId="7372"/>
    <cellStyle name="20% - Accent4 92 2 2" xfId="7373"/>
    <cellStyle name="20% - Accent4 92 3" xfId="7374"/>
    <cellStyle name="20% - Accent4 92 3 2" xfId="7375"/>
    <cellStyle name="20% - Accent4 92 4" xfId="7376"/>
    <cellStyle name="20% - Accent4 93" xfId="7377"/>
    <cellStyle name="20% - Accent4 93 2" xfId="7378"/>
    <cellStyle name="20% - Accent4 93 2 2" xfId="7379"/>
    <cellStyle name="20% - Accent4 93 3" xfId="7380"/>
    <cellStyle name="20% - Accent4 93 3 2" xfId="7381"/>
    <cellStyle name="20% - Accent4 93 4" xfId="7382"/>
    <cellStyle name="20% - Accent4 94" xfId="7383"/>
    <cellStyle name="20% - Accent4 94 2" xfId="7384"/>
    <cellStyle name="20% - Accent4 94 2 2" xfId="7385"/>
    <cellStyle name="20% - Accent4 94 3" xfId="7386"/>
    <cellStyle name="20% - Accent4 94 3 2" xfId="7387"/>
    <cellStyle name="20% - Accent4 94 4" xfId="7388"/>
    <cellStyle name="20% - Accent4 95" xfId="7389"/>
    <cellStyle name="20% - Accent4 95 2" xfId="7390"/>
    <cellStyle name="20% - Accent4 95 2 2" xfId="7391"/>
    <cellStyle name="20% - Accent4 95 3" xfId="7392"/>
    <cellStyle name="20% - Accent4 95 3 2" xfId="7393"/>
    <cellStyle name="20% - Accent4 95 4" xfId="7394"/>
    <cellStyle name="20% - Accent4 96" xfId="7395"/>
    <cellStyle name="20% - Accent4 96 2" xfId="7396"/>
    <cellStyle name="20% - Accent4 96 2 2" xfId="7397"/>
    <cellStyle name="20% - Accent4 96 3" xfId="7398"/>
    <cellStyle name="20% - Accent4 96 3 2" xfId="7399"/>
    <cellStyle name="20% - Accent4 96 4" xfId="7400"/>
    <cellStyle name="20% - Accent4 97" xfId="7401"/>
    <cellStyle name="20% - Accent4 97 2" xfId="7402"/>
    <cellStyle name="20% - Accent4 97 2 2" xfId="7403"/>
    <cellStyle name="20% - Accent4 97 3" xfId="7404"/>
    <cellStyle name="20% - Accent4 97 3 2" xfId="7405"/>
    <cellStyle name="20% - Accent4 97 4" xfId="7406"/>
    <cellStyle name="20% - Accent4 98" xfId="7407"/>
    <cellStyle name="20% - Accent4 98 2" xfId="7408"/>
    <cellStyle name="20% - Accent4 98 2 2" xfId="7409"/>
    <cellStyle name="20% - Accent4 98 3" xfId="7410"/>
    <cellStyle name="20% - Accent4 98 3 2" xfId="7411"/>
    <cellStyle name="20% - Accent4 98 4" xfId="7412"/>
    <cellStyle name="20% - Accent4 99" xfId="7413"/>
    <cellStyle name="20% - Accent4 99 2" xfId="7414"/>
    <cellStyle name="20% - Accent4 99 2 2" xfId="7415"/>
    <cellStyle name="20% - Accent4 99 3" xfId="7416"/>
    <cellStyle name="20% - Accent4 99 3 2" xfId="7417"/>
    <cellStyle name="20% - Accent4 99 4" xfId="7418"/>
    <cellStyle name="20% - Accent5 10" xfId="7419"/>
    <cellStyle name="20% - Accent5 10 2" xfId="7420"/>
    <cellStyle name="20% - Accent5 10 2 2" xfId="7421"/>
    <cellStyle name="20% - Accent5 10 2 2 2" xfId="7422"/>
    <cellStyle name="20% - Accent5 10 2 3" xfId="7423"/>
    <cellStyle name="20% - Accent5 10 2 3 2" xfId="7424"/>
    <cellStyle name="20% - Accent5 10 2 4" xfId="7425"/>
    <cellStyle name="20% - Accent5 10 3" xfId="7426"/>
    <cellStyle name="20% - Accent5 10 3 2" xfId="7427"/>
    <cellStyle name="20% - Accent5 10 3 2 2" xfId="7428"/>
    <cellStyle name="20% - Accent5 10 3 3" xfId="7429"/>
    <cellStyle name="20% - Accent5 10 3 3 2" xfId="7430"/>
    <cellStyle name="20% - Accent5 10 3 4" xfId="7431"/>
    <cellStyle name="20% - Accent5 10 4" xfId="7432"/>
    <cellStyle name="20% - Accent5 10 4 2" xfId="7433"/>
    <cellStyle name="20% - Accent5 10 5" xfId="7434"/>
    <cellStyle name="20% - Accent5 10 5 2" xfId="7435"/>
    <cellStyle name="20% - Accent5 10 6" xfId="7436"/>
    <cellStyle name="20% - Accent5 100" xfId="7437"/>
    <cellStyle name="20% - Accent5 100 2" xfId="7438"/>
    <cellStyle name="20% - Accent5 100 2 2" xfId="7439"/>
    <cellStyle name="20% - Accent5 100 3" xfId="7440"/>
    <cellStyle name="20% - Accent5 100 3 2" xfId="7441"/>
    <cellStyle name="20% - Accent5 100 4" xfId="7442"/>
    <cellStyle name="20% - Accent5 101" xfId="7443"/>
    <cellStyle name="20% - Accent5 101 2" xfId="7444"/>
    <cellStyle name="20% - Accent5 101 2 2" xfId="7445"/>
    <cellStyle name="20% - Accent5 101 3" xfId="7446"/>
    <cellStyle name="20% - Accent5 101 3 2" xfId="7447"/>
    <cellStyle name="20% - Accent5 101 4" xfId="7448"/>
    <cellStyle name="20% - Accent5 102" xfId="7449"/>
    <cellStyle name="20% - Accent5 102 2" xfId="7450"/>
    <cellStyle name="20% - Accent5 102 2 2" xfId="7451"/>
    <cellStyle name="20% - Accent5 102 3" xfId="7452"/>
    <cellStyle name="20% - Accent5 102 3 2" xfId="7453"/>
    <cellStyle name="20% - Accent5 102 4" xfId="7454"/>
    <cellStyle name="20% - Accent5 103" xfId="7455"/>
    <cellStyle name="20% - Accent5 103 2" xfId="7456"/>
    <cellStyle name="20% - Accent5 103 2 2" xfId="7457"/>
    <cellStyle name="20% - Accent5 103 3" xfId="7458"/>
    <cellStyle name="20% - Accent5 103 3 2" xfId="7459"/>
    <cellStyle name="20% - Accent5 103 4" xfId="7460"/>
    <cellStyle name="20% - Accent5 104" xfId="7461"/>
    <cellStyle name="20% - Accent5 104 2" xfId="7462"/>
    <cellStyle name="20% - Accent5 104 2 2" xfId="7463"/>
    <cellStyle name="20% - Accent5 104 3" xfId="7464"/>
    <cellStyle name="20% - Accent5 104 3 2" xfId="7465"/>
    <cellStyle name="20% - Accent5 104 4" xfId="7466"/>
    <cellStyle name="20% - Accent5 105" xfId="7467"/>
    <cellStyle name="20% - Accent5 105 2" xfId="7468"/>
    <cellStyle name="20% - Accent5 105 2 2" xfId="7469"/>
    <cellStyle name="20% - Accent5 105 3" xfId="7470"/>
    <cellStyle name="20% - Accent5 105 3 2" xfId="7471"/>
    <cellStyle name="20% - Accent5 105 4" xfId="7472"/>
    <cellStyle name="20% - Accent5 106" xfId="7473"/>
    <cellStyle name="20% - Accent5 106 2" xfId="7474"/>
    <cellStyle name="20% - Accent5 106 2 2" xfId="7475"/>
    <cellStyle name="20% - Accent5 106 3" xfId="7476"/>
    <cellStyle name="20% - Accent5 106 3 2" xfId="7477"/>
    <cellStyle name="20% - Accent5 106 4" xfId="7478"/>
    <cellStyle name="20% - Accent5 107" xfId="7479"/>
    <cellStyle name="20% - Accent5 107 2" xfId="7480"/>
    <cellStyle name="20% - Accent5 107 2 2" xfId="7481"/>
    <cellStyle name="20% - Accent5 107 3" xfId="7482"/>
    <cellStyle name="20% - Accent5 107 3 2" xfId="7483"/>
    <cellStyle name="20% - Accent5 107 4" xfId="7484"/>
    <cellStyle name="20% - Accent5 108" xfId="7485"/>
    <cellStyle name="20% - Accent5 108 2" xfId="7486"/>
    <cellStyle name="20% - Accent5 108 2 2" xfId="7487"/>
    <cellStyle name="20% - Accent5 108 3" xfId="7488"/>
    <cellStyle name="20% - Accent5 108 3 2" xfId="7489"/>
    <cellStyle name="20% - Accent5 108 4" xfId="7490"/>
    <cellStyle name="20% - Accent5 109" xfId="7491"/>
    <cellStyle name="20% - Accent5 109 2" xfId="7492"/>
    <cellStyle name="20% - Accent5 109 2 2" xfId="7493"/>
    <cellStyle name="20% - Accent5 109 3" xfId="7494"/>
    <cellStyle name="20% - Accent5 109 3 2" xfId="7495"/>
    <cellStyle name="20% - Accent5 109 4" xfId="7496"/>
    <cellStyle name="20% - Accent5 11" xfId="7497"/>
    <cellStyle name="20% - Accent5 11 2" xfId="7498"/>
    <cellStyle name="20% - Accent5 11 2 2" xfId="7499"/>
    <cellStyle name="20% - Accent5 11 2 2 2" xfId="7500"/>
    <cellStyle name="20% - Accent5 11 2 3" xfId="7501"/>
    <cellStyle name="20% - Accent5 11 2 3 2" xfId="7502"/>
    <cellStyle name="20% - Accent5 11 2 4" xfId="7503"/>
    <cellStyle name="20% - Accent5 11 3" xfId="7504"/>
    <cellStyle name="20% - Accent5 11 3 2" xfId="7505"/>
    <cellStyle name="20% - Accent5 11 3 2 2" xfId="7506"/>
    <cellStyle name="20% - Accent5 11 3 3" xfId="7507"/>
    <cellStyle name="20% - Accent5 11 3 3 2" xfId="7508"/>
    <cellStyle name="20% - Accent5 11 3 4" xfId="7509"/>
    <cellStyle name="20% - Accent5 11 4" xfId="7510"/>
    <cellStyle name="20% - Accent5 11 4 2" xfId="7511"/>
    <cellStyle name="20% - Accent5 11 5" xfId="7512"/>
    <cellStyle name="20% - Accent5 11 5 2" xfId="7513"/>
    <cellStyle name="20% - Accent5 11 6" xfId="7514"/>
    <cellStyle name="20% - Accent5 110" xfId="7515"/>
    <cellStyle name="20% - Accent5 110 2" xfId="7516"/>
    <cellStyle name="20% - Accent5 110 2 2" xfId="7517"/>
    <cellStyle name="20% - Accent5 110 3" xfId="7518"/>
    <cellStyle name="20% - Accent5 110 3 2" xfId="7519"/>
    <cellStyle name="20% - Accent5 110 4" xfId="7520"/>
    <cellStyle name="20% - Accent5 111" xfId="7521"/>
    <cellStyle name="20% - Accent5 111 2" xfId="7522"/>
    <cellStyle name="20% - Accent5 111 2 2" xfId="7523"/>
    <cellStyle name="20% - Accent5 111 3" xfId="7524"/>
    <cellStyle name="20% - Accent5 111 3 2" xfId="7525"/>
    <cellStyle name="20% - Accent5 111 4" xfId="7526"/>
    <cellStyle name="20% - Accent5 112" xfId="7527"/>
    <cellStyle name="20% - Accent5 112 2" xfId="7528"/>
    <cellStyle name="20% - Accent5 112 2 2" xfId="7529"/>
    <cellStyle name="20% - Accent5 112 3" xfId="7530"/>
    <cellStyle name="20% - Accent5 112 3 2" xfId="7531"/>
    <cellStyle name="20% - Accent5 112 4" xfId="7532"/>
    <cellStyle name="20% - Accent5 113" xfId="7533"/>
    <cellStyle name="20% - Accent5 113 2" xfId="7534"/>
    <cellStyle name="20% - Accent5 113 2 2" xfId="7535"/>
    <cellStyle name="20% - Accent5 113 3" xfId="7536"/>
    <cellStyle name="20% - Accent5 113 3 2" xfId="7537"/>
    <cellStyle name="20% - Accent5 113 4" xfId="7538"/>
    <cellStyle name="20% - Accent5 114" xfId="7539"/>
    <cellStyle name="20% - Accent5 114 2" xfId="7540"/>
    <cellStyle name="20% - Accent5 114 2 2" xfId="7541"/>
    <cellStyle name="20% - Accent5 114 3" xfId="7542"/>
    <cellStyle name="20% - Accent5 114 3 2" xfId="7543"/>
    <cellStyle name="20% - Accent5 114 4" xfId="7544"/>
    <cellStyle name="20% - Accent5 115" xfId="7545"/>
    <cellStyle name="20% - Accent5 115 2" xfId="7546"/>
    <cellStyle name="20% - Accent5 115 2 2" xfId="7547"/>
    <cellStyle name="20% - Accent5 115 3" xfId="7548"/>
    <cellStyle name="20% - Accent5 115 3 2" xfId="7549"/>
    <cellStyle name="20% - Accent5 115 4" xfId="7550"/>
    <cellStyle name="20% - Accent5 116" xfId="7551"/>
    <cellStyle name="20% - Accent5 116 2" xfId="7552"/>
    <cellStyle name="20% - Accent5 116 2 2" xfId="7553"/>
    <cellStyle name="20% - Accent5 116 3" xfId="7554"/>
    <cellStyle name="20% - Accent5 116 3 2" xfId="7555"/>
    <cellStyle name="20% - Accent5 116 4" xfId="7556"/>
    <cellStyle name="20% - Accent5 117" xfId="7557"/>
    <cellStyle name="20% - Accent5 117 2" xfId="7558"/>
    <cellStyle name="20% - Accent5 117 2 2" xfId="7559"/>
    <cellStyle name="20% - Accent5 117 3" xfId="7560"/>
    <cellStyle name="20% - Accent5 117 3 2" xfId="7561"/>
    <cellStyle name="20% - Accent5 117 4" xfId="7562"/>
    <cellStyle name="20% - Accent5 118" xfId="7563"/>
    <cellStyle name="20% - Accent5 118 2" xfId="7564"/>
    <cellStyle name="20% - Accent5 118 2 2" xfId="7565"/>
    <cellStyle name="20% - Accent5 118 3" xfId="7566"/>
    <cellStyle name="20% - Accent5 118 3 2" xfId="7567"/>
    <cellStyle name="20% - Accent5 118 4" xfId="7568"/>
    <cellStyle name="20% - Accent5 119" xfId="7569"/>
    <cellStyle name="20% - Accent5 119 2" xfId="7570"/>
    <cellStyle name="20% - Accent5 119 2 2" xfId="7571"/>
    <cellStyle name="20% - Accent5 119 3" xfId="7572"/>
    <cellStyle name="20% - Accent5 119 3 2" xfId="7573"/>
    <cellStyle name="20% - Accent5 119 4" xfId="7574"/>
    <cellStyle name="20% - Accent5 12" xfId="7575"/>
    <cellStyle name="20% - Accent5 12 2" xfId="7576"/>
    <cellStyle name="20% - Accent5 12 2 2" xfId="7577"/>
    <cellStyle name="20% - Accent5 12 2 2 2" xfId="7578"/>
    <cellStyle name="20% - Accent5 12 2 3" xfId="7579"/>
    <cellStyle name="20% - Accent5 12 2 3 2" xfId="7580"/>
    <cellStyle name="20% - Accent5 12 2 4" xfId="7581"/>
    <cellStyle name="20% - Accent5 12 3" xfId="7582"/>
    <cellStyle name="20% - Accent5 12 3 2" xfId="7583"/>
    <cellStyle name="20% - Accent5 12 3 2 2" xfId="7584"/>
    <cellStyle name="20% - Accent5 12 3 3" xfId="7585"/>
    <cellStyle name="20% - Accent5 12 3 3 2" xfId="7586"/>
    <cellStyle name="20% - Accent5 12 3 4" xfId="7587"/>
    <cellStyle name="20% - Accent5 12 4" xfId="7588"/>
    <cellStyle name="20% - Accent5 12 4 2" xfId="7589"/>
    <cellStyle name="20% - Accent5 12 5" xfId="7590"/>
    <cellStyle name="20% - Accent5 12 5 2" xfId="7591"/>
    <cellStyle name="20% - Accent5 12 6" xfId="7592"/>
    <cellStyle name="20% - Accent5 120" xfId="7593"/>
    <cellStyle name="20% - Accent5 120 2" xfId="7594"/>
    <cellStyle name="20% - Accent5 120 2 2" xfId="7595"/>
    <cellStyle name="20% - Accent5 120 3" xfId="7596"/>
    <cellStyle name="20% - Accent5 120 3 2" xfId="7597"/>
    <cellStyle name="20% - Accent5 120 4" xfId="7598"/>
    <cellStyle name="20% - Accent5 121" xfId="7599"/>
    <cellStyle name="20% - Accent5 121 2" xfId="7600"/>
    <cellStyle name="20% - Accent5 121 2 2" xfId="7601"/>
    <cellStyle name="20% - Accent5 121 3" xfId="7602"/>
    <cellStyle name="20% - Accent5 121 3 2" xfId="7603"/>
    <cellStyle name="20% - Accent5 121 4" xfId="7604"/>
    <cellStyle name="20% - Accent5 122" xfId="7605"/>
    <cellStyle name="20% - Accent5 122 2" xfId="7606"/>
    <cellStyle name="20% - Accent5 122 2 2" xfId="7607"/>
    <cellStyle name="20% - Accent5 122 3" xfId="7608"/>
    <cellStyle name="20% - Accent5 122 3 2" xfId="7609"/>
    <cellStyle name="20% - Accent5 122 4" xfId="7610"/>
    <cellStyle name="20% - Accent5 123" xfId="7611"/>
    <cellStyle name="20% - Accent5 123 2" xfId="7612"/>
    <cellStyle name="20% - Accent5 123 2 2" xfId="7613"/>
    <cellStyle name="20% - Accent5 123 3" xfId="7614"/>
    <cellStyle name="20% - Accent5 123 3 2" xfId="7615"/>
    <cellStyle name="20% - Accent5 123 4" xfId="7616"/>
    <cellStyle name="20% - Accent5 124" xfId="7617"/>
    <cellStyle name="20% - Accent5 124 2" xfId="7618"/>
    <cellStyle name="20% - Accent5 124 2 2" xfId="7619"/>
    <cellStyle name="20% - Accent5 124 3" xfId="7620"/>
    <cellStyle name="20% - Accent5 124 3 2" xfId="7621"/>
    <cellStyle name="20% - Accent5 124 4" xfId="7622"/>
    <cellStyle name="20% - Accent5 125" xfId="7623"/>
    <cellStyle name="20% - Accent5 125 2" xfId="7624"/>
    <cellStyle name="20% - Accent5 125 2 2" xfId="7625"/>
    <cellStyle name="20% - Accent5 125 3" xfId="7626"/>
    <cellStyle name="20% - Accent5 125 3 2" xfId="7627"/>
    <cellStyle name="20% - Accent5 125 4" xfId="7628"/>
    <cellStyle name="20% - Accent5 126" xfId="7629"/>
    <cellStyle name="20% - Accent5 126 2" xfId="7630"/>
    <cellStyle name="20% - Accent5 126 2 2" xfId="7631"/>
    <cellStyle name="20% - Accent5 126 3" xfId="7632"/>
    <cellStyle name="20% - Accent5 126 3 2" xfId="7633"/>
    <cellStyle name="20% - Accent5 126 4" xfId="7634"/>
    <cellStyle name="20% - Accent5 127" xfId="7635"/>
    <cellStyle name="20% - Accent5 127 2" xfId="7636"/>
    <cellStyle name="20% - Accent5 127 2 2" xfId="7637"/>
    <cellStyle name="20% - Accent5 127 3" xfId="7638"/>
    <cellStyle name="20% - Accent5 127 3 2" xfId="7639"/>
    <cellStyle name="20% - Accent5 127 4" xfId="7640"/>
    <cellStyle name="20% - Accent5 128" xfId="7641"/>
    <cellStyle name="20% - Accent5 128 2" xfId="7642"/>
    <cellStyle name="20% - Accent5 128 2 2" xfId="7643"/>
    <cellStyle name="20% - Accent5 128 3" xfId="7644"/>
    <cellStyle name="20% - Accent5 128 3 2" xfId="7645"/>
    <cellStyle name="20% - Accent5 128 4" xfId="7646"/>
    <cellStyle name="20% - Accent5 129" xfId="7647"/>
    <cellStyle name="20% - Accent5 129 2" xfId="7648"/>
    <cellStyle name="20% - Accent5 129 2 2" xfId="7649"/>
    <cellStyle name="20% - Accent5 129 3" xfId="7650"/>
    <cellStyle name="20% - Accent5 129 3 2" xfId="7651"/>
    <cellStyle name="20% - Accent5 129 4" xfId="7652"/>
    <cellStyle name="20% - Accent5 13" xfId="7653"/>
    <cellStyle name="20% - Accent5 13 2" xfId="7654"/>
    <cellStyle name="20% - Accent5 13 2 2" xfId="7655"/>
    <cellStyle name="20% - Accent5 13 2 2 2" xfId="7656"/>
    <cellStyle name="20% - Accent5 13 2 3" xfId="7657"/>
    <cellStyle name="20% - Accent5 13 2 3 2" xfId="7658"/>
    <cellStyle name="20% - Accent5 13 2 4" xfId="7659"/>
    <cellStyle name="20% - Accent5 13 3" xfId="7660"/>
    <cellStyle name="20% - Accent5 13 3 2" xfId="7661"/>
    <cellStyle name="20% - Accent5 13 3 2 2" xfId="7662"/>
    <cellStyle name="20% - Accent5 13 3 3" xfId="7663"/>
    <cellStyle name="20% - Accent5 13 3 3 2" xfId="7664"/>
    <cellStyle name="20% - Accent5 13 3 4" xfId="7665"/>
    <cellStyle name="20% - Accent5 13 4" xfId="7666"/>
    <cellStyle name="20% - Accent5 13 4 2" xfId="7667"/>
    <cellStyle name="20% - Accent5 13 5" xfId="7668"/>
    <cellStyle name="20% - Accent5 13 5 2" xfId="7669"/>
    <cellStyle name="20% - Accent5 13 6" xfId="7670"/>
    <cellStyle name="20% - Accent5 130" xfId="7671"/>
    <cellStyle name="20% - Accent5 130 2" xfId="7672"/>
    <cellStyle name="20% - Accent5 130 2 2" xfId="7673"/>
    <cellStyle name="20% - Accent5 130 3" xfId="7674"/>
    <cellStyle name="20% - Accent5 130 3 2" xfId="7675"/>
    <cellStyle name="20% - Accent5 130 4" xfId="7676"/>
    <cellStyle name="20% - Accent5 131" xfId="7677"/>
    <cellStyle name="20% - Accent5 131 2" xfId="7678"/>
    <cellStyle name="20% - Accent5 131 2 2" xfId="7679"/>
    <cellStyle name="20% - Accent5 131 3" xfId="7680"/>
    <cellStyle name="20% - Accent5 131 3 2" xfId="7681"/>
    <cellStyle name="20% - Accent5 131 4" xfId="7682"/>
    <cellStyle name="20% - Accent5 132" xfId="7683"/>
    <cellStyle name="20% - Accent5 132 2" xfId="7684"/>
    <cellStyle name="20% - Accent5 132 2 2" xfId="7685"/>
    <cellStyle name="20% - Accent5 132 3" xfId="7686"/>
    <cellStyle name="20% - Accent5 132 3 2" xfId="7687"/>
    <cellStyle name="20% - Accent5 132 4" xfId="7688"/>
    <cellStyle name="20% - Accent5 133" xfId="7689"/>
    <cellStyle name="20% - Accent5 133 2" xfId="7690"/>
    <cellStyle name="20% - Accent5 133 2 2" xfId="7691"/>
    <cellStyle name="20% - Accent5 133 3" xfId="7692"/>
    <cellStyle name="20% - Accent5 133 3 2" xfId="7693"/>
    <cellStyle name="20% - Accent5 133 4" xfId="7694"/>
    <cellStyle name="20% - Accent5 134" xfId="7695"/>
    <cellStyle name="20% - Accent5 134 2" xfId="7696"/>
    <cellStyle name="20% - Accent5 134 2 2" xfId="7697"/>
    <cellStyle name="20% - Accent5 134 3" xfId="7698"/>
    <cellStyle name="20% - Accent5 134 3 2" xfId="7699"/>
    <cellStyle name="20% - Accent5 134 4" xfId="7700"/>
    <cellStyle name="20% - Accent5 135" xfId="7701"/>
    <cellStyle name="20% - Accent5 135 2" xfId="7702"/>
    <cellStyle name="20% - Accent5 135 2 2" xfId="7703"/>
    <cellStyle name="20% - Accent5 135 3" xfId="7704"/>
    <cellStyle name="20% - Accent5 135 3 2" xfId="7705"/>
    <cellStyle name="20% - Accent5 135 4" xfId="7706"/>
    <cellStyle name="20% - Accent5 136" xfId="7707"/>
    <cellStyle name="20% - Accent5 136 2" xfId="7708"/>
    <cellStyle name="20% - Accent5 136 2 2" xfId="7709"/>
    <cellStyle name="20% - Accent5 136 3" xfId="7710"/>
    <cellStyle name="20% - Accent5 136 3 2" xfId="7711"/>
    <cellStyle name="20% - Accent5 136 4" xfId="7712"/>
    <cellStyle name="20% - Accent5 137" xfId="7713"/>
    <cellStyle name="20% - Accent5 137 2" xfId="7714"/>
    <cellStyle name="20% - Accent5 137 2 2" xfId="7715"/>
    <cellStyle name="20% - Accent5 137 3" xfId="7716"/>
    <cellStyle name="20% - Accent5 137 3 2" xfId="7717"/>
    <cellStyle name="20% - Accent5 137 4" xfId="7718"/>
    <cellStyle name="20% - Accent5 138" xfId="7719"/>
    <cellStyle name="20% - Accent5 138 2" xfId="7720"/>
    <cellStyle name="20% - Accent5 138 2 2" xfId="7721"/>
    <cellStyle name="20% - Accent5 138 3" xfId="7722"/>
    <cellStyle name="20% - Accent5 138 3 2" xfId="7723"/>
    <cellStyle name="20% - Accent5 138 4" xfId="7724"/>
    <cellStyle name="20% - Accent5 139" xfId="7725"/>
    <cellStyle name="20% - Accent5 139 2" xfId="7726"/>
    <cellStyle name="20% - Accent5 139 2 2" xfId="7727"/>
    <cellStyle name="20% - Accent5 139 3" xfId="7728"/>
    <cellStyle name="20% - Accent5 139 3 2" xfId="7729"/>
    <cellStyle name="20% - Accent5 139 4" xfId="7730"/>
    <cellStyle name="20% - Accent5 14" xfId="7731"/>
    <cellStyle name="20% - Accent5 14 2" xfId="7732"/>
    <cellStyle name="20% - Accent5 14 2 2" xfId="7733"/>
    <cellStyle name="20% - Accent5 14 2 2 2" xfId="7734"/>
    <cellStyle name="20% - Accent5 14 2 3" xfId="7735"/>
    <cellStyle name="20% - Accent5 14 2 3 2" xfId="7736"/>
    <cellStyle name="20% - Accent5 14 2 4" xfId="7737"/>
    <cellStyle name="20% - Accent5 14 3" xfId="7738"/>
    <cellStyle name="20% - Accent5 14 3 2" xfId="7739"/>
    <cellStyle name="20% - Accent5 14 3 2 2" xfId="7740"/>
    <cellStyle name="20% - Accent5 14 3 3" xfId="7741"/>
    <cellStyle name="20% - Accent5 14 3 3 2" xfId="7742"/>
    <cellStyle name="20% - Accent5 14 3 4" xfId="7743"/>
    <cellStyle name="20% - Accent5 14 4" xfId="7744"/>
    <cellStyle name="20% - Accent5 14 4 2" xfId="7745"/>
    <cellStyle name="20% - Accent5 14 5" xfId="7746"/>
    <cellStyle name="20% - Accent5 14 5 2" xfId="7747"/>
    <cellStyle name="20% - Accent5 14 6" xfId="7748"/>
    <cellStyle name="20% - Accent5 140" xfId="7749"/>
    <cellStyle name="20% - Accent5 140 2" xfId="7750"/>
    <cellStyle name="20% - Accent5 140 2 2" xfId="7751"/>
    <cellStyle name="20% - Accent5 140 3" xfId="7752"/>
    <cellStyle name="20% - Accent5 140 3 2" xfId="7753"/>
    <cellStyle name="20% - Accent5 140 4" xfId="7754"/>
    <cellStyle name="20% - Accent5 141" xfId="7755"/>
    <cellStyle name="20% - Accent5 141 2" xfId="7756"/>
    <cellStyle name="20% - Accent5 141 2 2" xfId="7757"/>
    <cellStyle name="20% - Accent5 141 3" xfId="7758"/>
    <cellStyle name="20% - Accent5 141 3 2" xfId="7759"/>
    <cellStyle name="20% - Accent5 141 4" xfId="7760"/>
    <cellStyle name="20% - Accent5 142" xfId="7761"/>
    <cellStyle name="20% - Accent5 142 2" xfId="7762"/>
    <cellStyle name="20% - Accent5 142 2 2" xfId="7763"/>
    <cellStyle name="20% - Accent5 142 3" xfId="7764"/>
    <cellStyle name="20% - Accent5 142 3 2" xfId="7765"/>
    <cellStyle name="20% - Accent5 142 4" xfId="7766"/>
    <cellStyle name="20% - Accent5 143" xfId="7767"/>
    <cellStyle name="20% - Accent5 143 2" xfId="7768"/>
    <cellStyle name="20% - Accent5 143 2 2" xfId="7769"/>
    <cellStyle name="20% - Accent5 143 3" xfId="7770"/>
    <cellStyle name="20% - Accent5 143 3 2" xfId="7771"/>
    <cellStyle name="20% - Accent5 143 4" xfId="7772"/>
    <cellStyle name="20% - Accent5 144" xfId="7773"/>
    <cellStyle name="20% - Accent5 144 2" xfId="7774"/>
    <cellStyle name="20% - Accent5 144 2 2" xfId="7775"/>
    <cellStyle name="20% - Accent5 144 3" xfId="7776"/>
    <cellStyle name="20% - Accent5 144 3 2" xfId="7777"/>
    <cellStyle name="20% - Accent5 144 4" xfId="7778"/>
    <cellStyle name="20% - Accent5 145" xfId="7779"/>
    <cellStyle name="20% - Accent5 145 2" xfId="7780"/>
    <cellStyle name="20% - Accent5 145 2 2" xfId="7781"/>
    <cellStyle name="20% - Accent5 145 3" xfId="7782"/>
    <cellStyle name="20% - Accent5 145 3 2" xfId="7783"/>
    <cellStyle name="20% - Accent5 145 4" xfId="7784"/>
    <cellStyle name="20% - Accent5 146" xfId="7785"/>
    <cellStyle name="20% - Accent5 146 2" xfId="7786"/>
    <cellStyle name="20% - Accent5 146 2 2" xfId="7787"/>
    <cellStyle name="20% - Accent5 146 3" xfId="7788"/>
    <cellStyle name="20% - Accent5 146 3 2" xfId="7789"/>
    <cellStyle name="20% - Accent5 146 4" xfId="7790"/>
    <cellStyle name="20% - Accent5 147" xfId="7791"/>
    <cellStyle name="20% - Accent5 147 2" xfId="7792"/>
    <cellStyle name="20% - Accent5 147 2 2" xfId="7793"/>
    <cellStyle name="20% - Accent5 147 3" xfId="7794"/>
    <cellStyle name="20% - Accent5 147 3 2" xfId="7795"/>
    <cellStyle name="20% - Accent5 147 4" xfId="7796"/>
    <cellStyle name="20% - Accent5 148" xfId="7797"/>
    <cellStyle name="20% - Accent5 148 2" xfId="7798"/>
    <cellStyle name="20% - Accent5 148 2 2" xfId="7799"/>
    <cellStyle name="20% - Accent5 148 3" xfId="7800"/>
    <cellStyle name="20% - Accent5 148 3 2" xfId="7801"/>
    <cellStyle name="20% - Accent5 148 4" xfId="7802"/>
    <cellStyle name="20% - Accent5 149" xfId="7803"/>
    <cellStyle name="20% - Accent5 149 2" xfId="7804"/>
    <cellStyle name="20% - Accent5 149 2 2" xfId="7805"/>
    <cellStyle name="20% - Accent5 149 3" xfId="7806"/>
    <cellStyle name="20% - Accent5 149 3 2" xfId="7807"/>
    <cellStyle name="20% - Accent5 149 4" xfId="7808"/>
    <cellStyle name="20% - Accent5 15" xfId="7809"/>
    <cellStyle name="20% - Accent5 15 2" xfId="7810"/>
    <cellStyle name="20% - Accent5 15 2 2" xfId="7811"/>
    <cellStyle name="20% - Accent5 15 2 2 2" xfId="7812"/>
    <cellStyle name="20% - Accent5 15 2 3" xfId="7813"/>
    <cellStyle name="20% - Accent5 15 2 3 2" xfId="7814"/>
    <cellStyle name="20% - Accent5 15 2 4" xfId="7815"/>
    <cellStyle name="20% - Accent5 15 3" xfId="7816"/>
    <cellStyle name="20% - Accent5 15 3 2" xfId="7817"/>
    <cellStyle name="20% - Accent5 15 3 2 2" xfId="7818"/>
    <cellStyle name="20% - Accent5 15 3 3" xfId="7819"/>
    <cellStyle name="20% - Accent5 15 3 3 2" xfId="7820"/>
    <cellStyle name="20% - Accent5 15 3 4" xfId="7821"/>
    <cellStyle name="20% - Accent5 15 4" xfId="7822"/>
    <cellStyle name="20% - Accent5 15 4 2" xfId="7823"/>
    <cellStyle name="20% - Accent5 15 5" xfId="7824"/>
    <cellStyle name="20% - Accent5 15 5 2" xfId="7825"/>
    <cellStyle name="20% - Accent5 15 6" xfId="7826"/>
    <cellStyle name="20% - Accent5 150" xfId="7827"/>
    <cellStyle name="20% - Accent5 150 2" xfId="7828"/>
    <cellStyle name="20% - Accent5 150 2 2" xfId="7829"/>
    <cellStyle name="20% - Accent5 150 3" xfId="7830"/>
    <cellStyle name="20% - Accent5 150 3 2" xfId="7831"/>
    <cellStyle name="20% - Accent5 150 4" xfId="7832"/>
    <cellStyle name="20% - Accent5 151" xfId="7833"/>
    <cellStyle name="20% - Accent5 151 2" xfId="7834"/>
    <cellStyle name="20% - Accent5 151 2 2" xfId="7835"/>
    <cellStyle name="20% - Accent5 151 3" xfId="7836"/>
    <cellStyle name="20% - Accent5 151 3 2" xfId="7837"/>
    <cellStyle name="20% - Accent5 151 4" xfId="7838"/>
    <cellStyle name="20% - Accent5 152" xfId="7839"/>
    <cellStyle name="20% - Accent5 152 2" xfId="7840"/>
    <cellStyle name="20% - Accent5 152 2 2" xfId="7841"/>
    <cellStyle name="20% - Accent5 152 3" xfId="7842"/>
    <cellStyle name="20% - Accent5 152 3 2" xfId="7843"/>
    <cellStyle name="20% - Accent5 152 4" xfId="7844"/>
    <cellStyle name="20% - Accent5 153" xfId="7845"/>
    <cellStyle name="20% - Accent5 153 2" xfId="7846"/>
    <cellStyle name="20% - Accent5 153 2 2" xfId="7847"/>
    <cellStyle name="20% - Accent5 153 3" xfId="7848"/>
    <cellStyle name="20% - Accent5 153 3 2" xfId="7849"/>
    <cellStyle name="20% - Accent5 153 4" xfId="7850"/>
    <cellStyle name="20% - Accent5 154" xfId="7851"/>
    <cellStyle name="20% - Accent5 154 2" xfId="7852"/>
    <cellStyle name="20% - Accent5 154 2 2" xfId="7853"/>
    <cellStyle name="20% - Accent5 154 3" xfId="7854"/>
    <cellStyle name="20% - Accent5 154 3 2" xfId="7855"/>
    <cellStyle name="20% - Accent5 154 4" xfId="7856"/>
    <cellStyle name="20% - Accent5 155" xfId="7857"/>
    <cellStyle name="20% - Accent5 155 2" xfId="7858"/>
    <cellStyle name="20% - Accent5 155 2 2" xfId="7859"/>
    <cellStyle name="20% - Accent5 155 3" xfId="7860"/>
    <cellStyle name="20% - Accent5 155 3 2" xfId="7861"/>
    <cellStyle name="20% - Accent5 155 4" xfId="7862"/>
    <cellStyle name="20% - Accent5 156" xfId="7863"/>
    <cellStyle name="20% - Accent5 156 2" xfId="7864"/>
    <cellStyle name="20% - Accent5 156 2 2" xfId="7865"/>
    <cellStyle name="20% - Accent5 156 3" xfId="7866"/>
    <cellStyle name="20% - Accent5 156 3 2" xfId="7867"/>
    <cellStyle name="20% - Accent5 156 4" xfId="7868"/>
    <cellStyle name="20% - Accent5 157" xfId="7869"/>
    <cellStyle name="20% - Accent5 157 2" xfId="7870"/>
    <cellStyle name="20% - Accent5 157 2 2" xfId="7871"/>
    <cellStyle name="20% - Accent5 157 3" xfId="7872"/>
    <cellStyle name="20% - Accent5 157 3 2" xfId="7873"/>
    <cellStyle name="20% - Accent5 157 4" xfId="7874"/>
    <cellStyle name="20% - Accent5 158" xfId="7875"/>
    <cellStyle name="20% - Accent5 158 2" xfId="7876"/>
    <cellStyle name="20% - Accent5 158 2 2" xfId="7877"/>
    <cellStyle name="20% - Accent5 158 3" xfId="7878"/>
    <cellStyle name="20% - Accent5 158 3 2" xfId="7879"/>
    <cellStyle name="20% - Accent5 158 4" xfId="7880"/>
    <cellStyle name="20% - Accent5 159" xfId="7881"/>
    <cellStyle name="20% - Accent5 159 2" xfId="7882"/>
    <cellStyle name="20% - Accent5 159 2 2" xfId="7883"/>
    <cellStyle name="20% - Accent5 159 3" xfId="7884"/>
    <cellStyle name="20% - Accent5 159 3 2" xfId="7885"/>
    <cellStyle name="20% - Accent5 159 4" xfId="7886"/>
    <cellStyle name="20% - Accent5 16" xfId="7887"/>
    <cellStyle name="20% - Accent5 16 2" xfId="7888"/>
    <cellStyle name="20% - Accent5 16 2 2" xfId="7889"/>
    <cellStyle name="20% - Accent5 16 2 2 2" xfId="7890"/>
    <cellStyle name="20% - Accent5 16 2 3" xfId="7891"/>
    <cellStyle name="20% - Accent5 16 2 3 2" xfId="7892"/>
    <cellStyle name="20% - Accent5 16 2 4" xfId="7893"/>
    <cellStyle name="20% - Accent5 16 3" xfId="7894"/>
    <cellStyle name="20% - Accent5 16 3 2" xfId="7895"/>
    <cellStyle name="20% - Accent5 16 3 2 2" xfId="7896"/>
    <cellStyle name="20% - Accent5 16 3 3" xfId="7897"/>
    <cellStyle name="20% - Accent5 16 3 3 2" xfId="7898"/>
    <cellStyle name="20% - Accent5 16 3 4" xfId="7899"/>
    <cellStyle name="20% - Accent5 16 4" xfId="7900"/>
    <cellStyle name="20% - Accent5 16 4 2" xfId="7901"/>
    <cellStyle name="20% - Accent5 16 5" xfId="7902"/>
    <cellStyle name="20% - Accent5 16 5 2" xfId="7903"/>
    <cellStyle name="20% - Accent5 16 6" xfId="7904"/>
    <cellStyle name="20% - Accent5 160" xfId="7905"/>
    <cellStyle name="20% - Accent5 160 2" xfId="7906"/>
    <cellStyle name="20% - Accent5 160 2 2" xfId="7907"/>
    <cellStyle name="20% - Accent5 160 3" xfId="7908"/>
    <cellStyle name="20% - Accent5 160 3 2" xfId="7909"/>
    <cellStyle name="20% - Accent5 160 4" xfId="7910"/>
    <cellStyle name="20% - Accent5 161" xfId="7911"/>
    <cellStyle name="20% - Accent5 161 2" xfId="7912"/>
    <cellStyle name="20% - Accent5 161 2 2" xfId="7913"/>
    <cellStyle name="20% - Accent5 161 3" xfId="7914"/>
    <cellStyle name="20% - Accent5 161 3 2" xfId="7915"/>
    <cellStyle name="20% - Accent5 161 4" xfId="7916"/>
    <cellStyle name="20% - Accent5 162" xfId="7917"/>
    <cellStyle name="20% - Accent5 162 2" xfId="7918"/>
    <cellStyle name="20% - Accent5 162 2 2" xfId="7919"/>
    <cellStyle name="20% - Accent5 162 3" xfId="7920"/>
    <cellStyle name="20% - Accent5 162 3 2" xfId="7921"/>
    <cellStyle name="20% - Accent5 162 4" xfId="7922"/>
    <cellStyle name="20% - Accent5 163" xfId="7923"/>
    <cellStyle name="20% - Accent5 163 2" xfId="7924"/>
    <cellStyle name="20% - Accent5 163 2 2" xfId="7925"/>
    <cellStyle name="20% - Accent5 163 3" xfId="7926"/>
    <cellStyle name="20% - Accent5 163 3 2" xfId="7927"/>
    <cellStyle name="20% - Accent5 163 4" xfId="7928"/>
    <cellStyle name="20% - Accent5 164" xfId="7929"/>
    <cellStyle name="20% - Accent5 164 2" xfId="7930"/>
    <cellStyle name="20% - Accent5 164 2 2" xfId="7931"/>
    <cellStyle name="20% - Accent5 164 3" xfId="7932"/>
    <cellStyle name="20% - Accent5 164 3 2" xfId="7933"/>
    <cellStyle name="20% - Accent5 164 4" xfId="7934"/>
    <cellStyle name="20% - Accent5 165" xfId="7935"/>
    <cellStyle name="20% - Accent5 165 2" xfId="7936"/>
    <cellStyle name="20% - Accent5 165 2 2" xfId="7937"/>
    <cellStyle name="20% - Accent5 165 3" xfId="7938"/>
    <cellStyle name="20% - Accent5 165 3 2" xfId="7939"/>
    <cellStyle name="20% - Accent5 165 4" xfId="7940"/>
    <cellStyle name="20% - Accent5 166" xfId="7941"/>
    <cellStyle name="20% - Accent5 166 2" xfId="7942"/>
    <cellStyle name="20% - Accent5 166 2 2" xfId="7943"/>
    <cellStyle name="20% - Accent5 166 3" xfId="7944"/>
    <cellStyle name="20% - Accent5 166 3 2" xfId="7945"/>
    <cellStyle name="20% - Accent5 166 4" xfId="7946"/>
    <cellStyle name="20% - Accent5 167" xfId="7947"/>
    <cellStyle name="20% - Accent5 167 2" xfId="7948"/>
    <cellStyle name="20% - Accent5 167 2 2" xfId="7949"/>
    <cellStyle name="20% - Accent5 167 3" xfId="7950"/>
    <cellStyle name="20% - Accent5 167 3 2" xfId="7951"/>
    <cellStyle name="20% - Accent5 167 4" xfId="7952"/>
    <cellStyle name="20% - Accent5 168" xfId="7953"/>
    <cellStyle name="20% - Accent5 168 2" xfId="7954"/>
    <cellStyle name="20% - Accent5 168 2 2" xfId="7955"/>
    <cellStyle name="20% - Accent5 168 3" xfId="7956"/>
    <cellStyle name="20% - Accent5 168 3 2" xfId="7957"/>
    <cellStyle name="20% - Accent5 168 4" xfId="7958"/>
    <cellStyle name="20% - Accent5 169" xfId="7959"/>
    <cellStyle name="20% - Accent5 169 2" xfId="7960"/>
    <cellStyle name="20% - Accent5 169 2 2" xfId="7961"/>
    <cellStyle name="20% - Accent5 169 3" xfId="7962"/>
    <cellStyle name="20% - Accent5 169 3 2" xfId="7963"/>
    <cellStyle name="20% - Accent5 169 4" xfId="7964"/>
    <cellStyle name="20% - Accent5 17" xfId="7965"/>
    <cellStyle name="20% - Accent5 17 2" xfId="7966"/>
    <cellStyle name="20% - Accent5 17 2 2" xfId="7967"/>
    <cellStyle name="20% - Accent5 17 2 2 2" xfId="7968"/>
    <cellStyle name="20% - Accent5 17 2 3" xfId="7969"/>
    <cellStyle name="20% - Accent5 17 2 3 2" xfId="7970"/>
    <cellStyle name="20% - Accent5 17 2 4" xfId="7971"/>
    <cellStyle name="20% - Accent5 17 3" xfId="7972"/>
    <cellStyle name="20% - Accent5 17 3 2" xfId="7973"/>
    <cellStyle name="20% - Accent5 17 3 2 2" xfId="7974"/>
    <cellStyle name="20% - Accent5 17 3 3" xfId="7975"/>
    <cellStyle name="20% - Accent5 17 3 3 2" xfId="7976"/>
    <cellStyle name="20% - Accent5 17 3 4" xfId="7977"/>
    <cellStyle name="20% - Accent5 17 4" xfId="7978"/>
    <cellStyle name="20% - Accent5 17 4 2" xfId="7979"/>
    <cellStyle name="20% - Accent5 17 5" xfId="7980"/>
    <cellStyle name="20% - Accent5 17 5 2" xfId="7981"/>
    <cellStyle name="20% - Accent5 17 6" xfId="7982"/>
    <cellStyle name="20% - Accent5 170" xfId="7983"/>
    <cellStyle name="20% - Accent5 170 2" xfId="7984"/>
    <cellStyle name="20% - Accent5 170 2 2" xfId="7985"/>
    <cellStyle name="20% - Accent5 170 3" xfId="7986"/>
    <cellStyle name="20% - Accent5 170 3 2" xfId="7987"/>
    <cellStyle name="20% - Accent5 170 4" xfId="7988"/>
    <cellStyle name="20% - Accent5 171" xfId="7989"/>
    <cellStyle name="20% - Accent5 171 2" xfId="7990"/>
    <cellStyle name="20% - Accent5 171 2 2" xfId="7991"/>
    <cellStyle name="20% - Accent5 171 3" xfId="7992"/>
    <cellStyle name="20% - Accent5 171 3 2" xfId="7993"/>
    <cellStyle name="20% - Accent5 171 4" xfId="7994"/>
    <cellStyle name="20% - Accent5 172" xfId="7995"/>
    <cellStyle name="20% - Accent5 172 2" xfId="7996"/>
    <cellStyle name="20% - Accent5 172 2 2" xfId="7997"/>
    <cellStyle name="20% - Accent5 172 3" xfId="7998"/>
    <cellStyle name="20% - Accent5 172 3 2" xfId="7999"/>
    <cellStyle name="20% - Accent5 172 4" xfId="8000"/>
    <cellStyle name="20% - Accent5 173" xfId="8001"/>
    <cellStyle name="20% - Accent5 173 2" xfId="8002"/>
    <cellStyle name="20% - Accent5 173 2 2" xfId="8003"/>
    <cellStyle name="20% - Accent5 173 3" xfId="8004"/>
    <cellStyle name="20% - Accent5 173 3 2" xfId="8005"/>
    <cellStyle name="20% - Accent5 173 4" xfId="8006"/>
    <cellStyle name="20% - Accent5 174" xfId="8007"/>
    <cellStyle name="20% - Accent5 174 2" xfId="8008"/>
    <cellStyle name="20% - Accent5 174 2 2" xfId="8009"/>
    <cellStyle name="20% - Accent5 174 3" xfId="8010"/>
    <cellStyle name="20% - Accent5 174 3 2" xfId="8011"/>
    <cellStyle name="20% - Accent5 174 4" xfId="8012"/>
    <cellStyle name="20% - Accent5 175" xfId="8013"/>
    <cellStyle name="20% - Accent5 175 2" xfId="8014"/>
    <cellStyle name="20% - Accent5 175 2 2" xfId="8015"/>
    <cellStyle name="20% - Accent5 175 3" xfId="8016"/>
    <cellStyle name="20% - Accent5 175 3 2" xfId="8017"/>
    <cellStyle name="20% - Accent5 175 4" xfId="8018"/>
    <cellStyle name="20% - Accent5 176" xfId="8019"/>
    <cellStyle name="20% - Accent5 176 2" xfId="8020"/>
    <cellStyle name="20% - Accent5 176 2 2" xfId="8021"/>
    <cellStyle name="20% - Accent5 176 3" xfId="8022"/>
    <cellStyle name="20% - Accent5 176 3 2" xfId="8023"/>
    <cellStyle name="20% - Accent5 176 4" xfId="8024"/>
    <cellStyle name="20% - Accent5 177" xfId="8025"/>
    <cellStyle name="20% - Accent5 177 2" xfId="8026"/>
    <cellStyle name="20% - Accent5 177 2 2" xfId="8027"/>
    <cellStyle name="20% - Accent5 177 3" xfId="8028"/>
    <cellStyle name="20% - Accent5 177 3 2" xfId="8029"/>
    <cellStyle name="20% - Accent5 177 4" xfId="8030"/>
    <cellStyle name="20% - Accent5 178" xfId="8031"/>
    <cellStyle name="20% - Accent5 178 2" xfId="8032"/>
    <cellStyle name="20% - Accent5 178 2 2" xfId="8033"/>
    <cellStyle name="20% - Accent5 178 3" xfId="8034"/>
    <cellStyle name="20% - Accent5 178 3 2" xfId="8035"/>
    <cellStyle name="20% - Accent5 178 4" xfId="8036"/>
    <cellStyle name="20% - Accent5 179" xfId="8037"/>
    <cellStyle name="20% - Accent5 179 2" xfId="8038"/>
    <cellStyle name="20% - Accent5 179 2 2" xfId="8039"/>
    <cellStyle name="20% - Accent5 179 3" xfId="8040"/>
    <cellStyle name="20% - Accent5 179 3 2" xfId="8041"/>
    <cellStyle name="20% - Accent5 179 4" xfId="8042"/>
    <cellStyle name="20% - Accent5 18" xfId="8043"/>
    <cellStyle name="20% - Accent5 18 2" xfId="8044"/>
    <cellStyle name="20% - Accent5 18 2 2" xfId="8045"/>
    <cellStyle name="20% - Accent5 18 2 2 2" xfId="8046"/>
    <cellStyle name="20% - Accent5 18 2 3" xfId="8047"/>
    <cellStyle name="20% - Accent5 18 2 3 2" xfId="8048"/>
    <cellStyle name="20% - Accent5 18 2 4" xfId="8049"/>
    <cellStyle name="20% - Accent5 18 3" xfId="8050"/>
    <cellStyle name="20% - Accent5 18 3 2" xfId="8051"/>
    <cellStyle name="20% - Accent5 18 3 2 2" xfId="8052"/>
    <cellStyle name="20% - Accent5 18 3 3" xfId="8053"/>
    <cellStyle name="20% - Accent5 18 3 3 2" xfId="8054"/>
    <cellStyle name="20% - Accent5 18 3 4" xfId="8055"/>
    <cellStyle name="20% - Accent5 18 4" xfId="8056"/>
    <cellStyle name="20% - Accent5 18 4 2" xfId="8057"/>
    <cellStyle name="20% - Accent5 18 5" xfId="8058"/>
    <cellStyle name="20% - Accent5 18 5 2" xfId="8059"/>
    <cellStyle name="20% - Accent5 18 6" xfId="8060"/>
    <cellStyle name="20% - Accent5 180" xfId="8061"/>
    <cellStyle name="20% - Accent5 180 2" xfId="8062"/>
    <cellStyle name="20% - Accent5 180 2 2" xfId="8063"/>
    <cellStyle name="20% - Accent5 180 3" xfId="8064"/>
    <cellStyle name="20% - Accent5 180 3 2" xfId="8065"/>
    <cellStyle name="20% - Accent5 180 4" xfId="8066"/>
    <cellStyle name="20% - Accent5 181" xfId="8067"/>
    <cellStyle name="20% - Accent5 181 2" xfId="8068"/>
    <cellStyle name="20% - Accent5 181 2 2" xfId="8069"/>
    <cellStyle name="20% - Accent5 181 3" xfId="8070"/>
    <cellStyle name="20% - Accent5 181 3 2" xfId="8071"/>
    <cellStyle name="20% - Accent5 181 4" xfId="8072"/>
    <cellStyle name="20% - Accent5 182" xfId="8073"/>
    <cellStyle name="20% - Accent5 182 2" xfId="8074"/>
    <cellStyle name="20% - Accent5 182 2 2" xfId="8075"/>
    <cellStyle name="20% - Accent5 182 3" xfId="8076"/>
    <cellStyle name="20% - Accent5 182 3 2" xfId="8077"/>
    <cellStyle name="20% - Accent5 182 4" xfId="8078"/>
    <cellStyle name="20% - Accent5 183" xfId="8079"/>
    <cellStyle name="20% - Accent5 183 2" xfId="8080"/>
    <cellStyle name="20% - Accent5 183 2 2" xfId="8081"/>
    <cellStyle name="20% - Accent5 183 3" xfId="8082"/>
    <cellStyle name="20% - Accent5 183 3 2" xfId="8083"/>
    <cellStyle name="20% - Accent5 183 4" xfId="8084"/>
    <cellStyle name="20% - Accent5 184" xfId="8085"/>
    <cellStyle name="20% - Accent5 184 2" xfId="8086"/>
    <cellStyle name="20% - Accent5 184 2 2" xfId="8087"/>
    <cellStyle name="20% - Accent5 184 3" xfId="8088"/>
    <cellStyle name="20% - Accent5 184 3 2" xfId="8089"/>
    <cellStyle name="20% - Accent5 184 4" xfId="8090"/>
    <cellStyle name="20% - Accent5 185" xfId="8091"/>
    <cellStyle name="20% - Accent5 185 2" xfId="8092"/>
    <cellStyle name="20% - Accent5 185 2 2" xfId="8093"/>
    <cellStyle name="20% - Accent5 185 3" xfId="8094"/>
    <cellStyle name="20% - Accent5 185 3 2" xfId="8095"/>
    <cellStyle name="20% - Accent5 185 4" xfId="8096"/>
    <cellStyle name="20% - Accent5 186" xfId="8097"/>
    <cellStyle name="20% - Accent5 186 2" xfId="8098"/>
    <cellStyle name="20% - Accent5 186 2 2" xfId="8099"/>
    <cellStyle name="20% - Accent5 186 3" xfId="8100"/>
    <cellStyle name="20% - Accent5 186 3 2" xfId="8101"/>
    <cellStyle name="20% - Accent5 186 4" xfId="8102"/>
    <cellStyle name="20% - Accent5 187" xfId="8103"/>
    <cellStyle name="20% - Accent5 187 2" xfId="8104"/>
    <cellStyle name="20% - Accent5 187 2 2" xfId="8105"/>
    <cellStyle name="20% - Accent5 187 3" xfId="8106"/>
    <cellStyle name="20% - Accent5 187 3 2" xfId="8107"/>
    <cellStyle name="20% - Accent5 187 4" xfId="8108"/>
    <cellStyle name="20% - Accent5 188" xfId="8109"/>
    <cellStyle name="20% - Accent5 188 2" xfId="8110"/>
    <cellStyle name="20% - Accent5 188 2 2" xfId="8111"/>
    <cellStyle name="20% - Accent5 188 3" xfId="8112"/>
    <cellStyle name="20% - Accent5 188 3 2" xfId="8113"/>
    <cellStyle name="20% - Accent5 188 4" xfId="8114"/>
    <cellStyle name="20% - Accent5 189" xfId="8115"/>
    <cellStyle name="20% - Accent5 189 2" xfId="8116"/>
    <cellStyle name="20% - Accent5 189 2 2" xfId="8117"/>
    <cellStyle name="20% - Accent5 189 3" xfId="8118"/>
    <cellStyle name="20% - Accent5 189 3 2" xfId="8119"/>
    <cellStyle name="20% - Accent5 189 4" xfId="8120"/>
    <cellStyle name="20% - Accent5 19" xfId="8121"/>
    <cellStyle name="20% - Accent5 19 2" xfId="8122"/>
    <cellStyle name="20% - Accent5 19 2 2" xfId="8123"/>
    <cellStyle name="20% - Accent5 19 2 2 2" xfId="8124"/>
    <cellStyle name="20% - Accent5 19 2 3" xfId="8125"/>
    <cellStyle name="20% - Accent5 19 2 3 2" xfId="8126"/>
    <cellStyle name="20% - Accent5 19 2 4" xfId="8127"/>
    <cellStyle name="20% - Accent5 19 3" xfId="8128"/>
    <cellStyle name="20% - Accent5 19 3 2" xfId="8129"/>
    <cellStyle name="20% - Accent5 19 3 2 2" xfId="8130"/>
    <cellStyle name="20% - Accent5 19 3 3" xfId="8131"/>
    <cellStyle name="20% - Accent5 19 3 3 2" xfId="8132"/>
    <cellStyle name="20% - Accent5 19 3 4" xfId="8133"/>
    <cellStyle name="20% - Accent5 19 4" xfId="8134"/>
    <cellStyle name="20% - Accent5 19 4 2" xfId="8135"/>
    <cellStyle name="20% - Accent5 19 5" xfId="8136"/>
    <cellStyle name="20% - Accent5 19 5 2" xfId="8137"/>
    <cellStyle name="20% - Accent5 19 6" xfId="8138"/>
    <cellStyle name="20% - Accent5 190" xfId="8139"/>
    <cellStyle name="20% - Accent5 190 2" xfId="8140"/>
    <cellStyle name="20% - Accent5 190 2 2" xfId="8141"/>
    <cellStyle name="20% - Accent5 190 3" xfId="8142"/>
    <cellStyle name="20% - Accent5 190 3 2" xfId="8143"/>
    <cellStyle name="20% - Accent5 190 4" xfId="8144"/>
    <cellStyle name="20% - Accent5 191" xfId="8145"/>
    <cellStyle name="20% - Accent5 191 2" xfId="8146"/>
    <cellStyle name="20% - Accent5 191 2 2" xfId="8147"/>
    <cellStyle name="20% - Accent5 191 3" xfId="8148"/>
    <cellStyle name="20% - Accent5 191 3 2" xfId="8149"/>
    <cellStyle name="20% - Accent5 191 4" xfId="8150"/>
    <cellStyle name="20% - Accent5 192" xfId="8151"/>
    <cellStyle name="20% - Accent5 192 2" xfId="8152"/>
    <cellStyle name="20% - Accent5 192 2 2" xfId="8153"/>
    <cellStyle name="20% - Accent5 192 3" xfId="8154"/>
    <cellStyle name="20% - Accent5 192 3 2" xfId="8155"/>
    <cellStyle name="20% - Accent5 192 4" xfId="8156"/>
    <cellStyle name="20% - Accent5 193" xfId="8157"/>
    <cellStyle name="20% - Accent5 193 2" xfId="8158"/>
    <cellStyle name="20% - Accent5 193 2 2" xfId="8159"/>
    <cellStyle name="20% - Accent5 193 3" xfId="8160"/>
    <cellStyle name="20% - Accent5 193 3 2" xfId="8161"/>
    <cellStyle name="20% - Accent5 193 4" xfId="8162"/>
    <cellStyle name="20% - Accent5 194" xfId="8163"/>
    <cellStyle name="20% - Accent5 194 2" xfId="8164"/>
    <cellStyle name="20% - Accent5 194 2 2" xfId="8165"/>
    <cellStyle name="20% - Accent5 194 3" xfId="8166"/>
    <cellStyle name="20% - Accent5 194 3 2" xfId="8167"/>
    <cellStyle name="20% - Accent5 194 4" xfId="8168"/>
    <cellStyle name="20% - Accent5 195" xfId="8169"/>
    <cellStyle name="20% - Accent5 195 2" xfId="8170"/>
    <cellStyle name="20% - Accent5 195 2 2" xfId="8171"/>
    <cellStyle name="20% - Accent5 195 3" xfId="8172"/>
    <cellStyle name="20% - Accent5 195 3 2" xfId="8173"/>
    <cellStyle name="20% - Accent5 195 4" xfId="8174"/>
    <cellStyle name="20% - Accent5 196" xfId="8175"/>
    <cellStyle name="20% - Accent5 196 2" xfId="8176"/>
    <cellStyle name="20% - Accent5 196 2 2" xfId="8177"/>
    <cellStyle name="20% - Accent5 196 3" xfId="8178"/>
    <cellStyle name="20% - Accent5 196 3 2" xfId="8179"/>
    <cellStyle name="20% - Accent5 196 4" xfId="8180"/>
    <cellStyle name="20% - Accent5 197" xfId="8181"/>
    <cellStyle name="20% - Accent5 197 2" xfId="8182"/>
    <cellStyle name="20% - Accent5 197 2 2" xfId="8183"/>
    <cellStyle name="20% - Accent5 197 3" xfId="8184"/>
    <cellStyle name="20% - Accent5 197 3 2" xfId="8185"/>
    <cellStyle name="20% - Accent5 197 4" xfId="8186"/>
    <cellStyle name="20% - Accent5 198" xfId="8187"/>
    <cellStyle name="20% - Accent5 198 2" xfId="8188"/>
    <cellStyle name="20% - Accent5 198 2 2" xfId="8189"/>
    <cellStyle name="20% - Accent5 198 3" xfId="8190"/>
    <cellStyle name="20% - Accent5 198 3 2" xfId="8191"/>
    <cellStyle name="20% - Accent5 198 4" xfId="8192"/>
    <cellStyle name="20% - Accent5 199" xfId="8193"/>
    <cellStyle name="20% - Accent5 199 2" xfId="8194"/>
    <cellStyle name="20% - Accent5 199 2 2" xfId="8195"/>
    <cellStyle name="20% - Accent5 199 3" xfId="8196"/>
    <cellStyle name="20% - Accent5 199 3 2" xfId="8197"/>
    <cellStyle name="20% - Accent5 199 4" xfId="8198"/>
    <cellStyle name="20% - Accent5 2" xfId="8199"/>
    <cellStyle name="20% - Accent5 2 2" xfId="8200"/>
    <cellStyle name="20% - Accent5 2 2 2" xfId="8201"/>
    <cellStyle name="20% - Accent5 2 2 2 2" xfId="8202"/>
    <cellStyle name="20% - Accent5 2 2 3" xfId="8203"/>
    <cellStyle name="20% - Accent5 2 2 3 2" xfId="8204"/>
    <cellStyle name="20% - Accent5 2 2 4" xfId="8205"/>
    <cellStyle name="20% - Accent5 2 3" xfId="8206"/>
    <cellStyle name="20% - Accent5 2 3 2" xfId="8207"/>
    <cellStyle name="20% - Accent5 2 3 2 2" xfId="8208"/>
    <cellStyle name="20% - Accent5 2 3 3" xfId="8209"/>
    <cellStyle name="20% - Accent5 2 3 3 2" xfId="8210"/>
    <cellStyle name="20% - Accent5 2 3 4" xfId="8211"/>
    <cellStyle name="20% - Accent5 2 4" xfId="8212"/>
    <cellStyle name="20% - Accent5 2 4 2" xfId="8213"/>
    <cellStyle name="20% - Accent5 2 5" xfId="8214"/>
    <cellStyle name="20% - Accent5 2 5 2" xfId="8215"/>
    <cellStyle name="20% - Accent5 2 6" xfId="8216"/>
    <cellStyle name="20% - Accent5 20" xfId="8217"/>
    <cellStyle name="20% - Accent5 20 2" xfId="8218"/>
    <cellStyle name="20% - Accent5 20 2 2" xfId="8219"/>
    <cellStyle name="20% - Accent5 20 2 2 2" xfId="8220"/>
    <cellStyle name="20% - Accent5 20 2 3" xfId="8221"/>
    <cellStyle name="20% - Accent5 20 2 3 2" xfId="8222"/>
    <cellStyle name="20% - Accent5 20 2 4" xfId="8223"/>
    <cellStyle name="20% - Accent5 20 3" xfId="8224"/>
    <cellStyle name="20% - Accent5 20 3 2" xfId="8225"/>
    <cellStyle name="20% - Accent5 20 3 2 2" xfId="8226"/>
    <cellStyle name="20% - Accent5 20 3 3" xfId="8227"/>
    <cellStyle name="20% - Accent5 20 3 3 2" xfId="8228"/>
    <cellStyle name="20% - Accent5 20 3 4" xfId="8229"/>
    <cellStyle name="20% - Accent5 20 4" xfId="8230"/>
    <cellStyle name="20% - Accent5 20 4 2" xfId="8231"/>
    <cellStyle name="20% - Accent5 20 5" xfId="8232"/>
    <cellStyle name="20% - Accent5 20 5 2" xfId="8233"/>
    <cellStyle name="20% - Accent5 20 6" xfId="8234"/>
    <cellStyle name="20% - Accent5 200" xfId="8235"/>
    <cellStyle name="20% - Accent5 200 2" xfId="8236"/>
    <cellStyle name="20% - Accent5 200 2 2" xfId="8237"/>
    <cellStyle name="20% - Accent5 200 3" xfId="8238"/>
    <cellStyle name="20% - Accent5 200 3 2" xfId="8239"/>
    <cellStyle name="20% - Accent5 200 4" xfId="8240"/>
    <cellStyle name="20% - Accent5 201" xfId="8241"/>
    <cellStyle name="20% - Accent5 201 2" xfId="8242"/>
    <cellStyle name="20% - Accent5 201 2 2" xfId="8243"/>
    <cellStyle name="20% - Accent5 201 3" xfId="8244"/>
    <cellStyle name="20% - Accent5 201 3 2" xfId="8245"/>
    <cellStyle name="20% - Accent5 201 4" xfId="8246"/>
    <cellStyle name="20% - Accent5 202" xfId="8247"/>
    <cellStyle name="20% - Accent5 202 2" xfId="8248"/>
    <cellStyle name="20% - Accent5 202 2 2" xfId="8249"/>
    <cellStyle name="20% - Accent5 202 3" xfId="8250"/>
    <cellStyle name="20% - Accent5 202 3 2" xfId="8251"/>
    <cellStyle name="20% - Accent5 202 4" xfId="8252"/>
    <cellStyle name="20% - Accent5 203" xfId="8253"/>
    <cellStyle name="20% - Accent5 203 2" xfId="8254"/>
    <cellStyle name="20% - Accent5 203 2 2" xfId="8255"/>
    <cellStyle name="20% - Accent5 203 3" xfId="8256"/>
    <cellStyle name="20% - Accent5 203 3 2" xfId="8257"/>
    <cellStyle name="20% - Accent5 203 4" xfId="8258"/>
    <cellStyle name="20% - Accent5 204" xfId="8259"/>
    <cellStyle name="20% - Accent5 204 2" xfId="8260"/>
    <cellStyle name="20% - Accent5 204 2 2" xfId="8261"/>
    <cellStyle name="20% - Accent5 204 3" xfId="8262"/>
    <cellStyle name="20% - Accent5 204 3 2" xfId="8263"/>
    <cellStyle name="20% - Accent5 204 4" xfId="8264"/>
    <cellStyle name="20% - Accent5 205" xfId="8265"/>
    <cellStyle name="20% - Accent5 205 2" xfId="8266"/>
    <cellStyle name="20% - Accent5 205 2 2" xfId="8267"/>
    <cellStyle name="20% - Accent5 205 3" xfId="8268"/>
    <cellStyle name="20% - Accent5 205 3 2" xfId="8269"/>
    <cellStyle name="20% - Accent5 205 4" xfId="8270"/>
    <cellStyle name="20% - Accent5 206" xfId="8271"/>
    <cellStyle name="20% - Accent5 206 2" xfId="8272"/>
    <cellStyle name="20% - Accent5 206 2 2" xfId="8273"/>
    <cellStyle name="20% - Accent5 206 3" xfId="8274"/>
    <cellStyle name="20% - Accent5 206 3 2" xfId="8275"/>
    <cellStyle name="20% - Accent5 206 4" xfId="8276"/>
    <cellStyle name="20% - Accent5 207" xfId="8277"/>
    <cellStyle name="20% - Accent5 207 2" xfId="8278"/>
    <cellStyle name="20% - Accent5 207 2 2" xfId="8279"/>
    <cellStyle name="20% - Accent5 207 3" xfId="8280"/>
    <cellStyle name="20% - Accent5 207 3 2" xfId="8281"/>
    <cellStyle name="20% - Accent5 207 4" xfId="8282"/>
    <cellStyle name="20% - Accent5 208" xfId="8283"/>
    <cellStyle name="20% - Accent5 208 2" xfId="8284"/>
    <cellStyle name="20% - Accent5 208 2 2" xfId="8285"/>
    <cellStyle name="20% - Accent5 208 3" xfId="8286"/>
    <cellStyle name="20% - Accent5 208 3 2" xfId="8287"/>
    <cellStyle name="20% - Accent5 208 4" xfId="8288"/>
    <cellStyle name="20% - Accent5 209" xfId="8289"/>
    <cellStyle name="20% - Accent5 209 2" xfId="8290"/>
    <cellStyle name="20% - Accent5 209 2 2" xfId="8291"/>
    <cellStyle name="20% - Accent5 209 3" xfId="8292"/>
    <cellStyle name="20% - Accent5 209 3 2" xfId="8293"/>
    <cellStyle name="20% - Accent5 209 4" xfId="8294"/>
    <cellStyle name="20% - Accent5 21" xfId="8295"/>
    <cellStyle name="20% - Accent5 21 2" xfId="8296"/>
    <cellStyle name="20% - Accent5 21 2 2" xfId="8297"/>
    <cellStyle name="20% - Accent5 21 2 2 2" xfId="8298"/>
    <cellStyle name="20% - Accent5 21 2 3" xfId="8299"/>
    <cellStyle name="20% - Accent5 21 2 3 2" xfId="8300"/>
    <cellStyle name="20% - Accent5 21 2 4" xfId="8301"/>
    <cellStyle name="20% - Accent5 21 3" xfId="8302"/>
    <cellStyle name="20% - Accent5 21 3 2" xfId="8303"/>
    <cellStyle name="20% - Accent5 21 3 2 2" xfId="8304"/>
    <cellStyle name="20% - Accent5 21 3 3" xfId="8305"/>
    <cellStyle name="20% - Accent5 21 3 3 2" xfId="8306"/>
    <cellStyle name="20% - Accent5 21 3 4" xfId="8307"/>
    <cellStyle name="20% - Accent5 21 4" xfId="8308"/>
    <cellStyle name="20% - Accent5 21 4 2" xfId="8309"/>
    <cellStyle name="20% - Accent5 21 5" xfId="8310"/>
    <cellStyle name="20% - Accent5 21 5 2" xfId="8311"/>
    <cellStyle name="20% - Accent5 21 6" xfId="8312"/>
    <cellStyle name="20% - Accent5 210" xfId="8313"/>
    <cellStyle name="20% - Accent5 210 2" xfId="8314"/>
    <cellStyle name="20% - Accent5 210 2 2" xfId="8315"/>
    <cellStyle name="20% - Accent5 210 3" xfId="8316"/>
    <cellStyle name="20% - Accent5 210 3 2" xfId="8317"/>
    <cellStyle name="20% - Accent5 210 4" xfId="8318"/>
    <cellStyle name="20% - Accent5 211" xfId="8319"/>
    <cellStyle name="20% - Accent5 211 2" xfId="8320"/>
    <cellStyle name="20% - Accent5 211 2 2" xfId="8321"/>
    <cellStyle name="20% - Accent5 211 3" xfId="8322"/>
    <cellStyle name="20% - Accent5 211 3 2" xfId="8323"/>
    <cellStyle name="20% - Accent5 211 4" xfId="8324"/>
    <cellStyle name="20% - Accent5 212" xfId="8325"/>
    <cellStyle name="20% - Accent5 212 2" xfId="8326"/>
    <cellStyle name="20% - Accent5 212 2 2" xfId="8327"/>
    <cellStyle name="20% - Accent5 212 3" xfId="8328"/>
    <cellStyle name="20% - Accent5 212 3 2" xfId="8329"/>
    <cellStyle name="20% - Accent5 212 4" xfId="8330"/>
    <cellStyle name="20% - Accent5 213" xfId="8331"/>
    <cellStyle name="20% - Accent5 213 2" xfId="8332"/>
    <cellStyle name="20% - Accent5 213 2 2" xfId="8333"/>
    <cellStyle name="20% - Accent5 213 3" xfId="8334"/>
    <cellStyle name="20% - Accent5 213 3 2" xfId="8335"/>
    <cellStyle name="20% - Accent5 213 4" xfId="8336"/>
    <cellStyle name="20% - Accent5 214" xfId="8337"/>
    <cellStyle name="20% - Accent5 214 2" xfId="8338"/>
    <cellStyle name="20% - Accent5 214 2 2" xfId="8339"/>
    <cellStyle name="20% - Accent5 214 3" xfId="8340"/>
    <cellStyle name="20% - Accent5 214 3 2" xfId="8341"/>
    <cellStyle name="20% - Accent5 214 4" xfId="8342"/>
    <cellStyle name="20% - Accent5 215" xfId="8343"/>
    <cellStyle name="20% - Accent5 215 2" xfId="8344"/>
    <cellStyle name="20% - Accent5 215 2 2" xfId="8345"/>
    <cellStyle name="20% - Accent5 215 3" xfId="8346"/>
    <cellStyle name="20% - Accent5 215 3 2" xfId="8347"/>
    <cellStyle name="20% - Accent5 215 4" xfId="8348"/>
    <cellStyle name="20% - Accent5 216" xfId="8349"/>
    <cellStyle name="20% - Accent5 216 2" xfId="8350"/>
    <cellStyle name="20% - Accent5 216 2 2" xfId="8351"/>
    <cellStyle name="20% - Accent5 216 3" xfId="8352"/>
    <cellStyle name="20% - Accent5 216 3 2" xfId="8353"/>
    <cellStyle name="20% - Accent5 216 4" xfId="8354"/>
    <cellStyle name="20% - Accent5 217" xfId="8355"/>
    <cellStyle name="20% - Accent5 217 2" xfId="8356"/>
    <cellStyle name="20% - Accent5 217 2 2" xfId="8357"/>
    <cellStyle name="20% - Accent5 217 3" xfId="8358"/>
    <cellStyle name="20% - Accent5 217 3 2" xfId="8359"/>
    <cellStyle name="20% - Accent5 217 4" xfId="8360"/>
    <cellStyle name="20% - Accent5 218" xfId="8361"/>
    <cellStyle name="20% - Accent5 218 2" xfId="8362"/>
    <cellStyle name="20% - Accent5 218 2 2" xfId="8363"/>
    <cellStyle name="20% - Accent5 218 3" xfId="8364"/>
    <cellStyle name="20% - Accent5 218 3 2" xfId="8365"/>
    <cellStyle name="20% - Accent5 218 4" xfId="8366"/>
    <cellStyle name="20% - Accent5 219" xfId="8367"/>
    <cellStyle name="20% - Accent5 219 2" xfId="8368"/>
    <cellStyle name="20% - Accent5 219 2 2" xfId="8369"/>
    <cellStyle name="20% - Accent5 219 3" xfId="8370"/>
    <cellStyle name="20% - Accent5 219 3 2" xfId="8371"/>
    <cellStyle name="20% - Accent5 219 4" xfId="8372"/>
    <cellStyle name="20% - Accent5 22" xfId="8373"/>
    <cellStyle name="20% - Accent5 22 2" xfId="8374"/>
    <cellStyle name="20% - Accent5 22 2 2" xfId="8375"/>
    <cellStyle name="20% - Accent5 22 2 2 2" xfId="8376"/>
    <cellStyle name="20% - Accent5 22 2 3" xfId="8377"/>
    <cellStyle name="20% - Accent5 22 2 3 2" xfId="8378"/>
    <cellStyle name="20% - Accent5 22 2 4" xfId="8379"/>
    <cellStyle name="20% - Accent5 22 3" xfId="8380"/>
    <cellStyle name="20% - Accent5 22 3 2" xfId="8381"/>
    <cellStyle name="20% - Accent5 22 3 2 2" xfId="8382"/>
    <cellStyle name="20% - Accent5 22 3 3" xfId="8383"/>
    <cellStyle name="20% - Accent5 22 3 3 2" xfId="8384"/>
    <cellStyle name="20% - Accent5 22 3 4" xfId="8385"/>
    <cellStyle name="20% - Accent5 22 4" xfId="8386"/>
    <cellStyle name="20% - Accent5 22 4 2" xfId="8387"/>
    <cellStyle name="20% - Accent5 22 5" xfId="8388"/>
    <cellStyle name="20% - Accent5 22 5 2" xfId="8389"/>
    <cellStyle name="20% - Accent5 22 6" xfId="8390"/>
    <cellStyle name="20% - Accent5 220" xfId="8391"/>
    <cellStyle name="20% - Accent5 220 2" xfId="8392"/>
    <cellStyle name="20% - Accent5 220 2 2" xfId="8393"/>
    <cellStyle name="20% - Accent5 220 3" xfId="8394"/>
    <cellStyle name="20% - Accent5 220 3 2" xfId="8395"/>
    <cellStyle name="20% - Accent5 220 4" xfId="8396"/>
    <cellStyle name="20% - Accent5 221" xfId="8397"/>
    <cellStyle name="20% - Accent5 221 2" xfId="8398"/>
    <cellStyle name="20% - Accent5 221 2 2" xfId="8399"/>
    <cellStyle name="20% - Accent5 221 3" xfId="8400"/>
    <cellStyle name="20% - Accent5 221 3 2" xfId="8401"/>
    <cellStyle name="20% - Accent5 221 4" xfId="8402"/>
    <cellStyle name="20% - Accent5 222" xfId="8403"/>
    <cellStyle name="20% - Accent5 222 2" xfId="8404"/>
    <cellStyle name="20% - Accent5 223" xfId="8405"/>
    <cellStyle name="20% - Accent5 223 2" xfId="8406"/>
    <cellStyle name="20% - Accent5 224" xfId="8407"/>
    <cellStyle name="20% - Accent5 23" xfId="8408"/>
    <cellStyle name="20% - Accent5 23 2" xfId="8409"/>
    <cellStyle name="20% - Accent5 23 2 2" xfId="8410"/>
    <cellStyle name="20% - Accent5 23 2 2 2" xfId="8411"/>
    <cellStyle name="20% - Accent5 23 2 3" xfId="8412"/>
    <cellStyle name="20% - Accent5 23 2 3 2" xfId="8413"/>
    <cellStyle name="20% - Accent5 23 2 4" xfId="8414"/>
    <cellStyle name="20% - Accent5 23 3" xfId="8415"/>
    <cellStyle name="20% - Accent5 23 3 2" xfId="8416"/>
    <cellStyle name="20% - Accent5 23 3 2 2" xfId="8417"/>
    <cellStyle name="20% - Accent5 23 3 3" xfId="8418"/>
    <cellStyle name="20% - Accent5 23 3 3 2" xfId="8419"/>
    <cellStyle name="20% - Accent5 23 3 4" xfId="8420"/>
    <cellStyle name="20% - Accent5 23 4" xfId="8421"/>
    <cellStyle name="20% - Accent5 23 4 2" xfId="8422"/>
    <cellStyle name="20% - Accent5 23 5" xfId="8423"/>
    <cellStyle name="20% - Accent5 23 5 2" xfId="8424"/>
    <cellStyle name="20% - Accent5 23 6" xfId="8425"/>
    <cellStyle name="20% - Accent5 24" xfId="8426"/>
    <cellStyle name="20% - Accent5 24 2" xfId="8427"/>
    <cellStyle name="20% - Accent5 24 2 2" xfId="8428"/>
    <cellStyle name="20% - Accent5 24 2 2 2" xfId="8429"/>
    <cellStyle name="20% - Accent5 24 2 3" xfId="8430"/>
    <cellStyle name="20% - Accent5 24 2 3 2" xfId="8431"/>
    <cellStyle name="20% - Accent5 24 2 4" xfId="8432"/>
    <cellStyle name="20% - Accent5 24 3" xfId="8433"/>
    <cellStyle name="20% - Accent5 24 3 2" xfId="8434"/>
    <cellStyle name="20% - Accent5 24 3 2 2" xfId="8435"/>
    <cellStyle name="20% - Accent5 24 3 3" xfId="8436"/>
    <cellStyle name="20% - Accent5 24 3 3 2" xfId="8437"/>
    <cellStyle name="20% - Accent5 24 3 4" xfId="8438"/>
    <cellStyle name="20% - Accent5 24 4" xfId="8439"/>
    <cellStyle name="20% - Accent5 24 4 2" xfId="8440"/>
    <cellStyle name="20% - Accent5 24 5" xfId="8441"/>
    <cellStyle name="20% - Accent5 24 5 2" xfId="8442"/>
    <cellStyle name="20% - Accent5 24 6" xfId="8443"/>
    <cellStyle name="20% - Accent5 24 7" xfId="8444"/>
    <cellStyle name="20% - Accent5 25" xfId="8445"/>
    <cellStyle name="20% - Accent5 25 2" xfId="8446"/>
    <cellStyle name="20% - Accent5 25 2 2" xfId="8447"/>
    <cellStyle name="20% - Accent5 25 2 2 2" xfId="8448"/>
    <cellStyle name="20% - Accent5 25 2 3" xfId="8449"/>
    <cellStyle name="20% - Accent5 25 2 3 2" xfId="8450"/>
    <cellStyle name="20% - Accent5 25 2 4" xfId="8451"/>
    <cellStyle name="20% - Accent5 25 3" xfId="8452"/>
    <cellStyle name="20% - Accent5 25 3 2" xfId="8453"/>
    <cellStyle name="20% - Accent5 25 3 2 2" xfId="8454"/>
    <cellStyle name="20% - Accent5 25 3 3" xfId="8455"/>
    <cellStyle name="20% - Accent5 25 3 3 2" xfId="8456"/>
    <cellStyle name="20% - Accent5 25 3 4" xfId="8457"/>
    <cellStyle name="20% - Accent5 25 4" xfId="8458"/>
    <cellStyle name="20% - Accent5 25 4 2" xfId="8459"/>
    <cellStyle name="20% - Accent5 25 5" xfId="8460"/>
    <cellStyle name="20% - Accent5 25 5 2" xfId="8461"/>
    <cellStyle name="20% - Accent5 25 6" xfId="8462"/>
    <cellStyle name="20% - Accent5 25 7" xfId="8463"/>
    <cellStyle name="20% - Accent5 26" xfId="8464"/>
    <cellStyle name="20% - Accent5 26 2" xfId="8465"/>
    <cellStyle name="20% - Accent5 26 2 2" xfId="8466"/>
    <cellStyle name="20% - Accent5 26 2 2 2" xfId="8467"/>
    <cellStyle name="20% - Accent5 26 2 3" xfId="8468"/>
    <cellStyle name="20% - Accent5 26 2 3 2" xfId="8469"/>
    <cellStyle name="20% - Accent5 26 2 4" xfId="8470"/>
    <cellStyle name="20% - Accent5 26 3" xfId="8471"/>
    <cellStyle name="20% - Accent5 26 3 2" xfId="8472"/>
    <cellStyle name="20% - Accent5 26 3 2 2" xfId="8473"/>
    <cellStyle name="20% - Accent5 26 3 3" xfId="8474"/>
    <cellStyle name="20% - Accent5 26 3 3 2" xfId="8475"/>
    <cellStyle name="20% - Accent5 26 3 4" xfId="8476"/>
    <cellStyle name="20% - Accent5 26 4" xfId="8477"/>
    <cellStyle name="20% - Accent5 26 4 2" xfId="8478"/>
    <cellStyle name="20% - Accent5 26 5" xfId="8479"/>
    <cellStyle name="20% - Accent5 26 5 2" xfId="8480"/>
    <cellStyle name="20% - Accent5 26 6" xfId="8481"/>
    <cellStyle name="20% - Accent5 26 7" xfId="8482"/>
    <cellStyle name="20% - Accent5 27" xfId="8483"/>
    <cellStyle name="20% - Accent5 27 2" xfId="8484"/>
    <cellStyle name="20% - Accent5 27 2 2" xfId="8485"/>
    <cellStyle name="20% - Accent5 27 2 2 2" xfId="8486"/>
    <cellStyle name="20% - Accent5 27 2 3" xfId="8487"/>
    <cellStyle name="20% - Accent5 27 2 3 2" xfId="8488"/>
    <cellStyle name="20% - Accent5 27 2 4" xfId="8489"/>
    <cellStyle name="20% - Accent5 27 3" xfId="8490"/>
    <cellStyle name="20% - Accent5 27 3 2" xfId="8491"/>
    <cellStyle name="20% - Accent5 27 3 2 2" xfId="8492"/>
    <cellStyle name="20% - Accent5 27 3 3" xfId="8493"/>
    <cellStyle name="20% - Accent5 27 3 3 2" xfId="8494"/>
    <cellStyle name="20% - Accent5 27 3 4" xfId="8495"/>
    <cellStyle name="20% - Accent5 27 4" xfId="8496"/>
    <cellStyle name="20% - Accent5 27 4 2" xfId="8497"/>
    <cellStyle name="20% - Accent5 27 5" xfId="8498"/>
    <cellStyle name="20% - Accent5 27 5 2" xfId="8499"/>
    <cellStyle name="20% - Accent5 27 6" xfId="8500"/>
    <cellStyle name="20% - Accent5 27 7" xfId="8501"/>
    <cellStyle name="20% - Accent5 28" xfId="8502"/>
    <cellStyle name="20% - Accent5 28 2" xfId="8503"/>
    <cellStyle name="20% - Accent5 28 2 2" xfId="8504"/>
    <cellStyle name="20% - Accent5 28 2 2 2" xfId="8505"/>
    <cellStyle name="20% - Accent5 28 2 3" xfId="8506"/>
    <cellStyle name="20% - Accent5 28 2 3 2" xfId="8507"/>
    <cellStyle name="20% - Accent5 28 2 4" xfId="8508"/>
    <cellStyle name="20% - Accent5 28 3" xfId="8509"/>
    <cellStyle name="20% - Accent5 28 3 2" xfId="8510"/>
    <cellStyle name="20% - Accent5 28 3 2 2" xfId="8511"/>
    <cellStyle name="20% - Accent5 28 3 3" xfId="8512"/>
    <cellStyle name="20% - Accent5 28 3 3 2" xfId="8513"/>
    <cellStyle name="20% - Accent5 28 3 4" xfId="8514"/>
    <cellStyle name="20% - Accent5 28 4" xfId="8515"/>
    <cellStyle name="20% - Accent5 28 4 2" xfId="8516"/>
    <cellStyle name="20% - Accent5 28 5" xfId="8517"/>
    <cellStyle name="20% - Accent5 28 5 2" xfId="8518"/>
    <cellStyle name="20% - Accent5 28 6" xfId="8519"/>
    <cellStyle name="20% - Accent5 28 7" xfId="8520"/>
    <cellStyle name="20% - Accent5 29" xfId="8521"/>
    <cellStyle name="20% - Accent5 29 2" xfId="8522"/>
    <cellStyle name="20% - Accent5 29 2 2" xfId="8523"/>
    <cellStyle name="20% - Accent5 29 2 2 2" xfId="8524"/>
    <cellStyle name="20% - Accent5 29 2 3" xfId="8525"/>
    <cellStyle name="20% - Accent5 29 2 3 2" xfId="8526"/>
    <cellStyle name="20% - Accent5 29 2 4" xfId="8527"/>
    <cellStyle name="20% - Accent5 29 3" xfId="8528"/>
    <cellStyle name="20% - Accent5 29 3 2" xfId="8529"/>
    <cellStyle name="20% - Accent5 29 3 2 2" xfId="8530"/>
    <cellStyle name="20% - Accent5 29 3 3" xfId="8531"/>
    <cellStyle name="20% - Accent5 29 3 3 2" xfId="8532"/>
    <cellStyle name="20% - Accent5 29 3 4" xfId="8533"/>
    <cellStyle name="20% - Accent5 29 4" xfId="8534"/>
    <cellStyle name="20% - Accent5 29 4 2" xfId="8535"/>
    <cellStyle name="20% - Accent5 29 5" xfId="8536"/>
    <cellStyle name="20% - Accent5 29 5 2" xfId="8537"/>
    <cellStyle name="20% - Accent5 29 6" xfId="8538"/>
    <cellStyle name="20% - Accent5 29 7" xfId="8539"/>
    <cellStyle name="20% - Accent5 3" xfId="8540"/>
    <cellStyle name="20% - Accent5 3 2" xfId="8541"/>
    <cellStyle name="20% - Accent5 3 2 2" xfId="8542"/>
    <cellStyle name="20% - Accent5 3 2 2 2" xfId="8543"/>
    <cellStyle name="20% - Accent5 3 2 3" xfId="8544"/>
    <cellStyle name="20% - Accent5 3 2 3 2" xfId="8545"/>
    <cellStyle name="20% - Accent5 3 2 4" xfId="8546"/>
    <cellStyle name="20% - Accent5 3 3" xfId="8547"/>
    <cellStyle name="20% - Accent5 3 3 2" xfId="8548"/>
    <cellStyle name="20% - Accent5 3 3 2 2" xfId="8549"/>
    <cellStyle name="20% - Accent5 3 3 3" xfId="8550"/>
    <cellStyle name="20% - Accent5 3 3 3 2" xfId="8551"/>
    <cellStyle name="20% - Accent5 3 3 4" xfId="8552"/>
    <cellStyle name="20% - Accent5 3 4" xfId="8553"/>
    <cellStyle name="20% - Accent5 3 4 2" xfId="8554"/>
    <cellStyle name="20% - Accent5 3 5" xfId="8555"/>
    <cellStyle name="20% - Accent5 3 5 2" xfId="8556"/>
    <cellStyle name="20% - Accent5 3 6" xfId="8557"/>
    <cellStyle name="20% - Accent5 30" xfId="8558"/>
    <cellStyle name="20% - Accent5 30 2" xfId="8559"/>
    <cellStyle name="20% - Accent5 30 2 2" xfId="8560"/>
    <cellStyle name="20% - Accent5 30 2 2 2" xfId="8561"/>
    <cellStyle name="20% - Accent5 30 2 3" xfId="8562"/>
    <cellStyle name="20% - Accent5 30 2 3 2" xfId="8563"/>
    <cellStyle name="20% - Accent5 30 2 4" xfId="8564"/>
    <cellStyle name="20% - Accent5 30 3" xfId="8565"/>
    <cellStyle name="20% - Accent5 30 3 2" xfId="8566"/>
    <cellStyle name="20% - Accent5 30 3 2 2" xfId="8567"/>
    <cellStyle name="20% - Accent5 30 3 3" xfId="8568"/>
    <cellStyle name="20% - Accent5 30 3 3 2" xfId="8569"/>
    <cellStyle name="20% - Accent5 30 3 4" xfId="8570"/>
    <cellStyle name="20% - Accent5 30 4" xfId="8571"/>
    <cellStyle name="20% - Accent5 30 4 2" xfId="8572"/>
    <cellStyle name="20% - Accent5 30 5" xfId="8573"/>
    <cellStyle name="20% - Accent5 30 5 2" xfId="8574"/>
    <cellStyle name="20% - Accent5 30 6" xfId="8575"/>
    <cellStyle name="20% - Accent5 30 7" xfId="8576"/>
    <cellStyle name="20% - Accent5 31" xfId="8577"/>
    <cellStyle name="20% - Accent5 31 2" xfId="8578"/>
    <cellStyle name="20% - Accent5 31 2 2" xfId="8579"/>
    <cellStyle name="20% - Accent5 31 2 2 2" xfId="8580"/>
    <cellStyle name="20% - Accent5 31 2 3" xfId="8581"/>
    <cellStyle name="20% - Accent5 31 2 3 2" xfId="8582"/>
    <cellStyle name="20% - Accent5 31 2 4" xfId="8583"/>
    <cellStyle name="20% - Accent5 31 3" xfId="8584"/>
    <cellStyle name="20% - Accent5 31 3 2" xfId="8585"/>
    <cellStyle name="20% - Accent5 31 3 2 2" xfId="8586"/>
    <cellStyle name="20% - Accent5 31 3 3" xfId="8587"/>
    <cellStyle name="20% - Accent5 31 3 3 2" xfId="8588"/>
    <cellStyle name="20% - Accent5 31 3 4" xfId="8589"/>
    <cellStyle name="20% - Accent5 31 4" xfId="8590"/>
    <cellStyle name="20% - Accent5 31 4 2" xfId="8591"/>
    <cellStyle name="20% - Accent5 31 5" xfId="8592"/>
    <cellStyle name="20% - Accent5 31 5 2" xfId="8593"/>
    <cellStyle name="20% - Accent5 31 6" xfId="8594"/>
    <cellStyle name="20% - Accent5 31 7" xfId="8595"/>
    <cellStyle name="20% - Accent5 32" xfId="8596"/>
    <cellStyle name="20% - Accent5 32 2" xfId="8597"/>
    <cellStyle name="20% - Accent5 32 2 2" xfId="8598"/>
    <cellStyle name="20% - Accent5 32 2 2 2" xfId="8599"/>
    <cellStyle name="20% - Accent5 32 2 3" xfId="8600"/>
    <cellStyle name="20% - Accent5 32 2 3 2" xfId="8601"/>
    <cellStyle name="20% - Accent5 32 2 4" xfId="8602"/>
    <cellStyle name="20% - Accent5 32 3" xfId="8603"/>
    <cellStyle name="20% - Accent5 32 3 2" xfId="8604"/>
    <cellStyle name="20% - Accent5 32 3 2 2" xfId="8605"/>
    <cellStyle name="20% - Accent5 32 3 3" xfId="8606"/>
    <cellStyle name="20% - Accent5 32 3 3 2" xfId="8607"/>
    <cellStyle name="20% - Accent5 32 3 4" xfId="8608"/>
    <cellStyle name="20% - Accent5 32 4" xfId="8609"/>
    <cellStyle name="20% - Accent5 32 4 2" xfId="8610"/>
    <cellStyle name="20% - Accent5 32 5" xfId="8611"/>
    <cellStyle name="20% - Accent5 32 5 2" xfId="8612"/>
    <cellStyle name="20% - Accent5 32 6" xfId="8613"/>
    <cellStyle name="20% - Accent5 32 7" xfId="8614"/>
    <cellStyle name="20% - Accent5 33" xfId="8615"/>
    <cellStyle name="20% - Accent5 33 2" xfId="8616"/>
    <cellStyle name="20% - Accent5 33 2 2" xfId="8617"/>
    <cellStyle name="20% - Accent5 33 2 2 2" xfId="8618"/>
    <cellStyle name="20% - Accent5 33 2 3" xfId="8619"/>
    <cellStyle name="20% - Accent5 33 2 3 2" xfId="8620"/>
    <cellStyle name="20% - Accent5 33 2 4" xfId="8621"/>
    <cellStyle name="20% - Accent5 33 3" xfId="8622"/>
    <cellStyle name="20% - Accent5 33 3 2" xfId="8623"/>
    <cellStyle name="20% - Accent5 33 3 2 2" xfId="8624"/>
    <cellStyle name="20% - Accent5 33 3 3" xfId="8625"/>
    <cellStyle name="20% - Accent5 33 3 3 2" xfId="8626"/>
    <cellStyle name="20% - Accent5 33 3 4" xfId="8627"/>
    <cellStyle name="20% - Accent5 33 4" xfId="8628"/>
    <cellStyle name="20% - Accent5 33 4 2" xfId="8629"/>
    <cellStyle name="20% - Accent5 33 5" xfId="8630"/>
    <cellStyle name="20% - Accent5 33 5 2" xfId="8631"/>
    <cellStyle name="20% - Accent5 33 6" xfId="8632"/>
    <cellStyle name="20% - Accent5 33 7" xfId="8633"/>
    <cellStyle name="20% - Accent5 34" xfId="8634"/>
    <cellStyle name="20% - Accent5 34 2" xfId="8635"/>
    <cellStyle name="20% - Accent5 34 2 2" xfId="8636"/>
    <cellStyle name="20% - Accent5 34 2 2 2" xfId="8637"/>
    <cellStyle name="20% - Accent5 34 2 3" xfId="8638"/>
    <cellStyle name="20% - Accent5 34 2 3 2" xfId="8639"/>
    <cellStyle name="20% - Accent5 34 2 4" xfId="8640"/>
    <cellStyle name="20% - Accent5 34 3" xfId="8641"/>
    <cellStyle name="20% - Accent5 34 3 2" xfId="8642"/>
    <cellStyle name="20% - Accent5 34 3 2 2" xfId="8643"/>
    <cellStyle name="20% - Accent5 34 3 3" xfId="8644"/>
    <cellStyle name="20% - Accent5 34 3 3 2" xfId="8645"/>
    <cellStyle name="20% - Accent5 34 3 4" xfId="8646"/>
    <cellStyle name="20% - Accent5 34 4" xfId="8647"/>
    <cellStyle name="20% - Accent5 34 4 2" xfId="8648"/>
    <cellStyle name="20% - Accent5 34 5" xfId="8649"/>
    <cellStyle name="20% - Accent5 34 5 2" xfId="8650"/>
    <cellStyle name="20% - Accent5 34 6" xfId="8651"/>
    <cellStyle name="20% - Accent5 34 7" xfId="8652"/>
    <cellStyle name="20% - Accent5 35" xfId="8653"/>
    <cellStyle name="20% - Accent5 35 2" xfId="8654"/>
    <cellStyle name="20% - Accent5 35 2 2" xfId="8655"/>
    <cellStyle name="20% - Accent5 35 2 2 2" xfId="8656"/>
    <cellStyle name="20% - Accent5 35 2 3" xfId="8657"/>
    <cellStyle name="20% - Accent5 35 2 3 2" xfId="8658"/>
    <cellStyle name="20% - Accent5 35 2 4" xfId="8659"/>
    <cellStyle name="20% - Accent5 35 3" xfId="8660"/>
    <cellStyle name="20% - Accent5 35 3 2" xfId="8661"/>
    <cellStyle name="20% - Accent5 35 3 2 2" xfId="8662"/>
    <cellStyle name="20% - Accent5 35 3 3" xfId="8663"/>
    <cellStyle name="20% - Accent5 35 3 3 2" xfId="8664"/>
    <cellStyle name="20% - Accent5 35 3 4" xfId="8665"/>
    <cellStyle name="20% - Accent5 35 4" xfId="8666"/>
    <cellStyle name="20% - Accent5 35 4 2" xfId="8667"/>
    <cellStyle name="20% - Accent5 35 5" xfId="8668"/>
    <cellStyle name="20% - Accent5 35 5 2" xfId="8669"/>
    <cellStyle name="20% - Accent5 35 6" xfId="8670"/>
    <cellStyle name="20% - Accent5 35 7" xfId="8671"/>
    <cellStyle name="20% - Accent5 36" xfId="8672"/>
    <cellStyle name="20% - Accent5 36 2" xfId="8673"/>
    <cellStyle name="20% - Accent5 36 2 2" xfId="8674"/>
    <cellStyle name="20% - Accent5 36 2 2 2" xfId="8675"/>
    <cellStyle name="20% - Accent5 36 2 3" xfId="8676"/>
    <cellStyle name="20% - Accent5 36 2 3 2" xfId="8677"/>
    <cellStyle name="20% - Accent5 36 2 4" xfId="8678"/>
    <cellStyle name="20% - Accent5 36 3" xfId="8679"/>
    <cellStyle name="20% - Accent5 36 3 2" xfId="8680"/>
    <cellStyle name="20% - Accent5 36 3 2 2" xfId="8681"/>
    <cellStyle name="20% - Accent5 36 3 3" xfId="8682"/>
    <cellStyle name="20% - Accent5 36 3 3 2" xfId="8683"/>
    <cellStyle name="20% - Accent5 36 3 4" xfId="8684"/>
    <cellStyle name="20% - Accent5 36 4" xfId="8685"/>
    <cellStyle name="20% - Accent5 36 4 2" xfId="8686"/>
    <cellStyle name="20% - Accent5 36 5" xfId="8687"/>
    <cellStyle name="20% - Accent5 36 5 2" xfId="8688"/>
    <cellStyle name="20% - Accent5 36 6" xfId="8689"/>
    <cellStyle name="20% - Accent5 36 7" xfId="8690"/>
    <cellStyle name="20% - Accent5 37" xfId="8691"/>
    <cellStyle name="20% - Accent5 37 2" xfId="8692"/>
    <cellStyle name="20% - Accent5 37 2 2" xfId="8693"/>
    <cellStyle name="20% - Accent5 37 2 2 2" xfId="8694"/>
    <cellStyle name="20% - Accent5 37 2 3" xfId="8695"/>
    <cellStyle name="20% - Accent5 37 2 3 2" xfId="8696"/>
    <cellStyle name="20% - Accent5 37 2 4" xfId="8697"/>
    <cellStyle name="20% - Accent5 37 3" xfId="8698"/>
    <cellStyle name="20% - Accent5 37 3 2" xfId="8699"/>
    <cellStyle name="20% - Accent5 37 3 2 2" xfId="8700"/>
    <cellStyle name="20% - Accent5 37 3 3" xfId="8701"/>
    <cellStyle name="20% - Accent5 37 3 3 2" xfId="8702"/>
    <cellStyle name="20% - Accent5 37 3 4" xfId="8703"/>
    <cellStyle name="20% - Accent5 37 4" xfId="8704"/>
    <cellStyle name="20% - Accent5 37 4 2" xfId="8705"/>
    <cellStyle name="20% - Accent5 37 5" xfId="8706"/>
    <cellStyle name="20% - Accent5 37 5 2" xfId="8707"/>
    <cellStyle name="20% - Accent5 37 6" xfId="8708"/>
    <cellStyle name="20% - Accent5 37 7" xfId="8709"/>
    <cellStyle name="20% - Accent5 38" xfId="8710"/>
    <cellStyle name="20% - Accent5 38 2" xfId="8711"/>
    <cellStyle name="20% - Accent5 38 2 2" xfId="8712"/>
    <cellStyle name="20% - Accent5 38 2 2 2" xfId="8713"/>
    <cellStyle name="20% - Accent5 38 2 3" xfId="8714"/>
    <cellStyle name="20% - Accent5 38 2 3 2" xfId="8715"/>
    <cellStyle name="20% - Accent5 38 2 4" xfId="8716"/>
    <cellStyle name="20% - Accent5 38 3" xfId="8717"/>
    <cellStyle name="20% - Accent5 38 3 2" xfId="8718"/>
    <cellStyle name="20% - Accent5 38 3 2 2" xfId="8719"/>
    <cellStyle name="20% - Accent5 38 3 3" xfId="8720"/>
    <cellStyle name="20% - Accent5 38 3 3 2" xfId="8721"/>
    <cellStyle name="20% - Accent5 38 3 4" xfId="8722"/>
    <cellStyle name="20% - Accent5 38 4" xfId="8723"/>
    <cellStyle name="20% - Accent5 38 4 2" xfId="8724"/>
    <cellStyle name="20% - Accent5 38 5" xfId="8725"/>
    <cellStyle name="20% - Accent5 38 5 2" xfId="8726"/>
    <cellStyle name="20% - Accent5 38 6" xfId="8727"/>
    <cellStyle name="20% - Accent5 38 7" xfId="8728"/>
    <cellStyle name="20% - Accent5 39" xfId="8729"/>
    <cellStyle name="20% - Accent5 39 2" xfId="8730"/>
    <cellStyle name="20% - Accent5 39 2 2" xfId="8731"/>
    <cellStyle name="20% - Accent5 39 2 2 2" xfId="8732"/>
    <cellStyle name="20% - Accent5 39 2 3" xfId="8733"/>
    <cellStyle name="20% - Accent5 39 2 3 2" xfId="8734"/>
    <cellStyle name="20% - Accent5 39 2 4" xfId="8735"/>
    <cellStyle name="20% - Accent5 39 3" xfId="8736"/>
    <cellStyle name="20% - Accent5 39 3 2" xfId="8737"/>
    <cellStyle name="20% - Accent5 39 3 2 2" xfId="8738"/>
    <cellStyle name="20% - Accent5 39 3 3" xfId="8739"/>
    <cellStyle name="20% - Accent5 39 3 3 2" xfId="8740"/>
    <cellStyle name="20% - Accent5 39 3 4" xfId="8741"/>
    <cellStyle name="20% - Accent5 39 4" xfId="8742"/>
    <cellStyle name="20% - Accent5 39 4 2" xfId="8743"/>
    <cellStyle name="20% - Accent5 39 5" xfId="8744"/>
    <cellStyle name="20% - Accent5 39 5 2" xfId="8745"/>
    <cellStyle name="20% - Accent5 39 6" xfId="8746"/>
    <cellStyle name="20% - Accent5 39 7" xfId="8747"/>
    <cellStyle name="20% - Accent5 4" xfId="8748"/>
    <cellStyle name="20% - Accent5 4 2" xfId="8749"/>
    <cellStyle name="20% - Accent5 4 2 2" xfId="8750"/>
    <cellStyle name="20% - Accent5 4 2 2 2" xfId="8751"/>
    <cellStyle name="20% - Accent5 4 2 3" xfId="8752"/>
    <cellStyle name="20% - Accent5 4 2 3 2" xfId="8753"/>
    <cellStyle name="20% - Accent5 4 2 4" xfId="8754"/>
    <cellStyle name="20% - Accent5 4 3" xfId="8755"/>
    <cellStyle name="20% - Accent5 4 3 2" xfId="8756"/>
    <cellStyle name="20% - Accent5 4 3 2 2" xfId="8757"/>
    <cellStyle name="20% - Accent5 4 3 3" xfId="8758"/>
    <cellStyle name="20% - Accent5 4 3 3 2" xfId="8759"/>
    <cellStyle name="20% - Accent5 4 3 4" xfId="8760"/>
    <cellStyle name="20% - Accent5 4 4" xfId="8761"/>
    <cellStyle name="20% - Accent5 4 4 2" xfId="8762"/>
    <cellStyle name="20% - Accent5 4 5" xfId="8763"/>
    <cellStyle name="20% - Accent5 4 5 2" xfId="8764"/>
    <cellStyle name="20% - Accent5 4 6" xfId="8765"/>
    <cellStyle name="20% - Accent5 40" xfId="8766"/>
    <cellStyle name="20% - Accent5 40 2" xfId="8767"/>
    <cellStyle name="20% - Accent5 40 2 2" xfId="8768"/>
    <cellStyle name="20% - Accent5 40 2 2 2" xfId="8769"/>
    <cellStyle name="20% - Accent5 40 2 3" xfId="8770"/>
    <cellStyle name="20% - Accent5 40 2 3 2" xfId="8771"/>
    <cellStyle name="20% - Accent5 40 2 4" xfId="8772"/>
    <cellStyle name="20% - Accent5 40 3" xfId="8773"/>
    <cellStyle name="20% - Accent5 40 3 2" xfId="8774"/>
    <cellStyle name="20% - Accent5 40 3 2 2" xfId="8775"/>
    <cellStyle name="20% - Accent5 40 3 3" xfId="8776"/>
    <cellStyle name="20% - Accent5 40 3 3 2" xfId="8777"/>
    <cellStyle name="20% - Accent5 40 3 4" xfId="8778"/>
    <cellStyle name="20% - Accent5 40 4" xfId="8779"/>
    <cellStyle name="20% - Accent5 40 4 2" xfId="8780"/>
    <cellStyle name="20% - Accent5 40 5" xfId="8781"/>
    <cellStyle name="20% - Accent5 40 5 2" xfId="8782"/>
    <cellStyle name="20% - Accent5 40 6" xfId="8783"/>
    <cellStyle name="20% - Accent5 40 7" xfId="8784"/>
    <cellStyle name="20% - Accent5 41" xfId="8785"/>
    <cellStyle name="20% - Accent5 41 2" xfId="8786"/>
    <cellStyle name="20% - Accent5 41 2 2" xfId="8787"/>
    <cellStyle name="20% - Accent5 41 2 2 2" xfId="8788"/>
    <cellStyle name="20% - Accent5 41 2 3" xfId="8789"/>
    <cellStyle name="20% - Accent5 41 2 3 2" xfId="8790"/>
    <cellStyle name="20% - Accent5 41 2 4" xfId="8791"/>
    <cellStyle name="20% - Accent5 41 3" xfId="8792"/>
    <cellStyle name="20% - Accent5 41 3 2" xfId="8793"/>
    <cellStyle name="20% - Accent5 41 3 2 2" xfId="8794"/>
    <cellStyle name="20% - Accent5 41 3 3" xfId="8795"/>
    <cellStyle name="20% - Accent5 41 3 3 2" xfId="8796"/>
    <cellStyle name="20% - Accent5 41 3 4" xfId="8797"/>
    <cellStyle name="20% - Accent5 41 4" xfId="8798"/>
    <cellStyle name="20% - Accent5 41 4 2" xfId="8799"/>
    <cellStyle name="20% - Accent5 41 5" xfId="8800"/>
    <cellStyle name="20% - Accent5 41 5 2" xfId="8801"/>
    <cellStyle name="20% - Accent5 41 6" xfId="8802"/>
    <cellStyle name="20% - Accent5 41 7" xfId="8803"/>
    <cellStyle name="20% - Accent5 42" xfId="8804"/>
    <cellStyle name="20% - Accent5 42 2" xfId="8805"/>
    <cellStyle name="20% - Accent5 42 2 2" xfId="8806"/>
    <cellStyle name="20% - Accent5 42 3" xfId="8807"/>
    <cellStyle name="20% - Accent5 42 3 2" xfId="8808"/>
    <cellStyle name="20% - Accent5 42 4" xfId="8809"/>
    <cellStyle name="20% - Accent5 42 5" xfId="8810"/>
    <cellStyle name="20% - Accent5 43" xfId="8811"/>
    <cellStyle name="20% - Accent5 43 2" xfId="8812"/>
    <cellStyle name="20% - Accent5 43 2 2" xfId="8813"/>
    <cellStyle name="20% - Accent5 43 3" xfId="8814"/>
    <cellStyle name="20% - Accent5 43 3 2" xfId="8815"/>
    <cellStyle name="20% - Accent5 43 4" xfId="8816"/>
    <cellStyle name="20% - Accent5 43 5" xfId="8817"/>
    <cellStyle name="20% - Accent5 44" xfId="8818"/>
    <cellStyle name="20% - Accent5 44 2" xfId="8819"/>
    <cellStyle name="20% - Accent5 44 2 2" xfId="8820"/>
    <cellStyle name="20% - Accent5 44 3" xfId="8821"/>
    <cellStyle name="20% - Accent5 44 3 2" xfId="8822"/>
    <cellStyle name="20% - Accent5 44 4" xfId="8823"/>
    <cellStyle name="20% - Accent5 44 5" xfId="8824"/>
    <cellStyle name="20% - Accent5 45" xfId="8825"/>
    <cellStyle name="20% - Accent5 45 2" xfId="8826"/>
    <cellStyle name="20% - Accent5 45 2 2" xfId="8827"/>
    <cellStyle name="20% - Accent5 45 3" xfId="8828"/>
    <cellStyle name="20% - Accent5 45 3 2" xfId="8829"/>
    <cellStyle name="20% - Accent5 45 4" xfId="8830"/>
    <cellStyle name="20% - Accent5 45 5" xfId="8831"/>
    <cellStyle name="20% - Accent5 46" xfId="8832"/>
    <cellStyle name="20% - Accent5 46 2" xfId="8833"/>
    <cellStyle name="20% - Accent5 46 2 2" xfId="8834"/>
    <cellStyle name="20% - Accent5 46 3" xfId="8835"/>
    <cellStyle name="20% - Accent5 46 3 2" xfId="8836"/>
    <cellStyle name="20% - Accent5 46 4" xfId="8837"/>
    <cellStyle name="20% - Accent5 46 5" xfId="8838"/>
    <cellStyle name="20% - Accent5 47" xfId="8839"/>
    <cellStyle name="20% - Accent5 47 2" xfId="8840"/>
    <cellStyle name="20% - Accent5 47 2 2" xfId="8841"/>
    <cellStyle name="20% - Accent5 47 3" xfId="8842"/>
    <cellStyle name="20% - Accent5 47 3 2" xfId="8843"/>
    <cellStyle name="20% - Accent5 47 4" xfId="8844"/>
    <cellStyle name="20% - Accent5 47 5" xfId="8845"/>
    <cellStyle name="20% - Accent5 48" xfId="8846"/>
    <cellStyle name="20% - Accent5 48 2" xfId="8847"/>
    <cellStyle name="20% - Accent5 48 2 2" xfId="8848"/>
    <cellStyle name="20% - Accent5 48 3" xfId="8849"/>
    <cellStyle name="20% - Accent5 48 3 2" xfId="8850"/>
    <cellStyle name="20% - Accent5 48 4" xfId="8851"/>
    <cellStyle name="20% - Accent5 48 5" xfId="8852"/>
    <cellStyle name="20% - Accent5 49" xfId="8853"/>
    <cellStyle name="20% - Accent5 49 2" xfId="8854"/>
    <cellStyle name="20% - Accent5 49 2 2" xfId="8855"/>
    <cellStyle name="20% - Accent5 49 3" xfId="8856"/>
    <cellStyle name="20% - Accent5 49 3 2" xfId="8857"/>
    <cellStyle name="20% - Accent5 49 4" xfId="8858"/>
    <cellStyle name="20% - Accent5 49 5" xfId="8859"/>
    <cellStyle name="20% - Accent5 5" xfId="8860"/>
    <cellStyle name="20% - Accent5 5 2" xfId="8861"/>
    <cellStyle name="20% - Accent5 5 2 2" xfId="8862"/>
    <cellStyle name="20% - Accent5 5 2 2 2" xfId="8863"/>
    <cellStyle name="20% - Accent5 5 2 3" xfId="8864"/>
    <cellStyle name="20% - Accent5 5 2 3 2" xfId="8865"/>
    <cellStyle name="20% - Accent5 5 2 4" xfId="8866"/>
    <cellStyle name="20% - Accent5 5 3" xfId="8867"/>
    <cellStyle name="20% - Accent5 5 3 2" xfId="8868"/>
    <cellStyle name="20% - Accent5 5 3 2 2" xfId="8869"/>
    <cellStyle name="20% - Accent5 5 3 3" xfId="8870"/>
    <cellStyle name="20% - Accent5 5 3 3 2" xfId="8871"/>
    <cellStyle name="20% - Accent5 5 3 4" xfId="8872"/>
    <cellStyle name="20% - Accent5 5 4" xfId="8873"/>
    <cellStyle name="20% - Accent5 5 4 2" xfId="8874"/>
    <cellStyle name="20% - Accent5 5 5" xfId="8875"/>
    <cellStyle name="20% - Accent5 5 5 2" xfId="8876"/>
    <cellStyle name="20% - Accent5 5 6" xfId="8877"/>
    <cellStyle name="20% - Accent5 50" xfId="8878"/>
    <cellStyle name="20% - Accent5 50 2" xfId="8879"/>
    <cellStyle name="20% - Accent5 50 2 2" xfId="8880"/>
    <cellStyle name="20% - Accent5 50 3" xfId="8881"/>
    <cellStyle name="20% - Accent5 50 3 2" xfId="8882"/>
    <cellStyle name="20% - Accent5 50 4" xfId="8883"/>
    <cellStyle name="20% - Accent5 50 5" xfId="8884"/>
    <cellStyle name="20% - Accent5 51" xfId="8885"/>
    <cellStyle name="20% - Accent5 51 2" xfId="8886"/>
    <cellStyle name="20% - Accent5 51 2 2" xfId="8887"/>
    <cellStyle name="20% - Accent5 51 3" xfId="8888"/>
    <cellStyle name="20% - Accent5 51 3 2" xfId="8889"/>
    <cellStyle name="20% - Accent5 51 4" xfId="8890"/>
    <cellStyle name="20% - Accent5 51 5" xfId="8891"/>
    <cellStyle name="20% - Accent5 52" xfId="8892"/>
    <cellStyle name="20% - Accent5 52 2" xfId="8893"/>
    <cellStyle name="20% - Accent5 52 2 2" xfId="8894"/>
    <cellStyle name="20% - Accent5 52 3" xfId="8895"/>
    <cellStyle name="20% - Accent5 52 3 2" xfId="8896"/>
    <cellStyle name="20% - Accent5 52 4" xfId="8897"/>
    <cellStyle name="20% - Accent5 52 5" xfId="8898"/>
    <cellStyle name="20% - Accent5 53" xfId="8899"/>
    <cellStyle name="20% - Accent5 53 2" xfId="8900"/>
    <cellStyle name="20% - Accent5 53 2 2" xfId="8901"/>
    <cellStyle name="20% - Accent5 53 3" xfId="8902"/>
    <cellStyle name="20% - Accent5 53 3 2" xfId="8903"/>
    <cellStyle name="20% - Accent5 53 4" xfId="8904"/>
    <cellStyle name="20% - Accent5 53 5" xfId="8905"/>
    <cellStyle name="20% - Accent5 54" xfId="8906"/>
    <cellStyle name="20% - Accent5 54 2" xfId="8907"/>
    <cellStyle name="20% - Accent5 54 2 2" xfId="8908"/>
    <cellStyle name="20% - Accent5 54 3" xfId="8909"/>
    <cellStyle name="20% - Accent5 54 3 2" xfId="8910"/>
    <cellStyle name="20% - Accent5 54 4" xfId="8911"/>
    <cellStyle name="20% - Accent5 54 5" xfId="8912"/>
    <cellStyle name="20% - Accent5 55" xfId="8913"/>
    <cellStyle name="20% - Accent5 55 2" xfId="8914"/>
    <cellStyle name="20% - Accent5 55 2 2" xfId="8915"/>
    <cellStyle name="20% - Accent5 55 3" xfId="8916"/>
    <cellStyle name="20% - Accent5 55 3 2" xfId="8917"/>
    <cellStyle name="20% - Accent5 55 4" xfId="8918"/>
    <cellStyle name="20% - Accent5 55 5" xfId="8919"/>
    <cellStyle name="20% - Accent5 56" xfId="8920"/>
    <cellStyle name="20% - Accent5 56 2" xfId="8921"/>
    <cellStyle name="20% - Accent5 56 2 2" xfId="8922"/>
    <cellStyle name="20% - Accent5 56 3" xfId="8923"/>
    <cellStyle name="20% - Accent5 56 3 2" xfId="8924"/>
    <cellStyle name="20% - Accent5 56 4" xfId="8925"/>
    <cellStyle name="20% - Accent5 56 5" xfId="8926"/>
    <cellStyle name="20% - Accent5 57" xfId="8927"/>
    <cellStyle name="20% - Accent5 57 2" xfId="8928"/>
    <cellStyle name="20% - Accent5 57 2 2" xfId="8929"/>
    <cellStyle name="20% - Accent5 57 3" xfId="8930"/>
    <cellStyle name="20% - Accent5 57 3 2" xfId="8931"/>
    <cellStyle name="20% - Accent5 57 4" xfId="8932"/>
    <cellStyle name="20% - Accent5 57 5" xfId="8933"/>
    <cellStyle name="20% - Accent5 58" xfId="8934"/>
    <cellStyle name="20% - Accent5 58 2" xfId="8935"/>
    <cellStyle name="20% - Accent5 58 2 2" xfId="8936"/>
    <cellStyle name="20% - Accent5 58 3" xfId="8937"/>
    <cellStyle name="20% - Accent5 58 3 2" xfId="8938"/>
    <cellStyle name="20% - Accent5 58 4" xfId="8939"/>
    <cellStyle name="20% - Accent5 58 5" xfId="8940"/>
    <cellStyle name="20% - Accent5 59" xfId="8941"/>
    <cellStyle name="20% - Accent5 59 2" xfId="8942"/>
    <cellStyle name="20% - Accent5 59 2 2" xfId="8943"/>
    <cellStyle name="20% - Accent5 59 3" xfId="8944"/>
    <cellStyle name="20% - Accent5 59 3 2" xfId="8945"/>
    <cellStyle name="20% - Accent5 59 4" xfId="8946"/>
    <cellStyle name="20% - Accent5 59 5" xfId="8947"/>
    <cellStyle name="20% - Accent5 6" xfId="8948"/>
    <cellStyle name="20% - Accent5 6 2" xfId="8949"/>
    <cellStyle name="20% - Accent5 6 2 2" xfId="8950"/>
    <cellStyle name="20% - Accent5 6 2 2 2" xfId="8951"/>
    <cellStyle name="20% - Accent5 6 2 3" xfId="8952"/>
    <cellStyle name="20% - Accent5 6 2 3 2" xfId="8953"/>
    <cellStyle name="20% - Accent5 6 2 4" xfId="8954"/>
    <cellStyle name="20% - Accent5 6 3" xfId="8955"/>
    <cellStyle name="20% - Accent5 6 3 2" xfId="8956"/>
    <cellStyle name="20% - Accent5 6 3 2 2" xfId="8957"/>
    <cellStyle name="20% - Accent5 6 3 3" xfId="8958"/>
    <cellStyle name="20% - Accent5 6 3 3 2" xfId="8959"/>
    <cellStyle name="20% - Accent5 6 3 4" xfId="8960"/>
    <cellStyle name="20% - Accent5 6 4" xfId="8961"/>
    <cellStyle name="20% - Accent5 6 4 2" xfId="8962"/>
    <cellStyle name="20% - Accent5 6 5" xfId="8963"/>
    <cellStyle name="20% - Accent5 6 5 2" xfId="8964"/>
    <cellStyle name="20% - Accent5 6 6" xfId="8965"/>
    <cellStyle name="20% - Accent5 60" xfId="8966"/>
    <cellStyle name="20% - Accent5 60 2" xfId="8967"/>
    <cellStyle name="20% - Accent5 60 2 2" xfId="8968"/>
    <cellStyle name="20% - Accent5 60 3" xfId="8969"/>
    <cellStyle name="20% - Accent5 60 3 2" xfId="8970"/>
    <cellStyle name="20% - Accent5 60 4" xfId="8971"/>
    <cellStyle name="20% - Accent5 60 5" xfId="8972"/>
    <cellStyle name="20% - Accent5 61" xfId="8973"/>
    <cellStyle name="20% - Accent5 61 2" xfId="8974"/>
    <cellStyle name="20% - Accent5 61 2 2" xfId="8975"/>
    <cellStyle name="20% - Accent5 61 3" xfId="8976"/>
    <cellStyle name="20% - Accent5 61 3 2" xfId="8977"/>
    <cellStyle name="20% - Accent5 61 4" xfId="8978"/>
    <cellStyle name="20% - Accent5 61 5" xfId="8979"/>
    <cellStyle name="20% - Accent5 62" xfId="8980"/>
    <cellStyle name="20% - Accent5 62 2" xfId="8981"/>
    <cellStyle name="20% - Accent5 62 2 2" xfId="8982"/>
    <cellStyle name="20% - Accent5 62 3" xfId="8983"/>
    <cellStyle name="20% - Accent5 62 3 2" xfId="8984"/>
    <cellStyle name="20% - Accent5 62 4" xfId="8985"/>
    <cellStyle name="20% - Accent5 62 5" xfId="8986"/>
    <cellStyle name="20% - Accent5 63" xfId="8987"/>
    <cellStyle name="20% - Accent5 63 2" xfId="8988"/>
    <cellStyle name="20% - Accent5 63 2 2" xfId="8989"/>
    <cellStyle name="20% - Accent5 63 3" xfId="8990"/>
    <cellStyle name="20% - Accent5 63 3 2" xfId="8991"/>
    <cellStyle name="20% - Accent5 63 4" xfId="8992"/>
    <cellStyle name="20% - Accent5 63 5" xfId="8993"/>
    <cellStyle name="20% - Accent5 64" xfId="8994"/>
    <cellStyle name="20% - Accent5 64 2" xfId="8995"/>
    <cellStyle name="20% - Accent5 64 2 2" xfId="8996"/>
    <cellStyle name="20% - Accent5 64 3" xfId="8997"/>
    <cellStyle name="20% - Accent5 64 3 2" xfId="8998"/>
    <cellStyle name="20% - Accent5 64 4" xfId="8999"/>
    <cellStyle name="20% - Accent5 64 5" xfId="9000"/>
    <cellStyle name="20% - Accent5 65" xfId="9001"/>
    <cellStyle name="20% - Accent5 65 2" xfId="9002"/>
    <cellStyle name="20% - Accent5 65 2 2" xfId="9003"/>
    <cellStyle name="20% - Accent5 65 3" xfId="9004"/>
    <cellStyle name="20% - Accent5 65 3 2" xfId="9005"/>
    <cellStyle name="20% - Accent5 65 4" xfId="9006"/>
    <cellStyle name="20% - Accent5 65 5" xfId="9007"/>
    <cellStyle name="20% - Accent5 66" xfId="9008"/>
    <cellStyle name="20% - Accent5 66 2" xfId="9009"/>
    <cellStyle name="20% - Accent5 66 2 2" xfId="9010"/>
    <cellStyle name="20% - Accent5 66 3" xfId="9011"/>
    <cellStyle name="20% - Accent5 66 3 2" xfId="9012"/>
    <cellStyle name="20% - Accent5 66 4" xfId="9013"/>
    <cellStyle name="20% - Accent5 66 5" xfId="9014"/>
    <cellStyle name="20% - Accent5 67" xfId="9015"/>
    <cellStyle name="20% - Accent5 67 2" xfId="9016"/>
    <cellStyle name="20% - Accent5 67 2 2" xfId="9017"/>
    <cellStyle name="20% - Accent5 67 3" xfId="9018"/>
    <cellStyle name="20% - Accent5 67 3 2" xfId="9019"/>
    <cellStyle name="20% - Accent5 67 4" xfId="9020"/>
    <cellStyle name="20% - Accent5 67 5" xfId="9021"/>
    <cellStyle name="20% - Accent5 68" xfId="9022"/>
    <cellStyle name="20% - Accent5 68 2" xfId="9023"/>
    <cellStyle name="20% - Accent5 68 2 2" xfId="9024"/>
    <cellStyle name="20% - Accent5 68 3" xfId="9025"/>
    <cellStyle name="20% - Accent5 68 3 2" xfId="9026"/>
    <cellStyle name="20% - Accent5 68 4" xfId="9027"/>
    <cellStyle name="20% - Accent5 68 5" xfId="9028"/>
    <cellStyle name="20% - Accent5 69" xfId="9029"/>
    <cellStyle name="20% - Accent5 69 2" xfId="9030"/>
    <cellStyle name="20% - Accent5 69 2 2" xfId="9031"/>
    <cellStyle name="20% - Accent5 69 3" xfId="9032"/>
    <cellStyle name="20% - Accent5 69 3 2" xfId="9033"/>
    <cellStyle name="20% - Accent5 69 4" xfId="9034"/>
    <cellStyle name="20% - Accent5 69 5" xfId="9035"/>
    <cellStyle name="20% - Accent5 7" xfId="9036"/>
    <cellStyle name="20% - Accent5 7 2" xfId="9037"/>
    <cellStyle name="20% - Accent5 7 2 2" xfId="9038"/>
    <cellStyle name="20% - Accent5 7 2 2 2" xfId="9039"/>
    <cellStyle name="20% - Accent5 7 2 3" xfId="9040"/>
    <cellStyle name="20% - Accent5 7 2 3 2" xfId="9041"/>
    <cellStyle name="20% - Accent5 7 2 4" xfId="9042"/>
    <cellStyle name="20% - Accent5 7 3" xfId="9043"/>
    <cellStyle name="20% - Accent5 7 3 2" xfId="9044"/>
    <cellStyle name="20% - Accent5 7 3 2 2" xfId="9045"/>
    <cellStyle name="20% - Accent5 7 3 3" xfId="9046"/>
    <cellStyle name="20% - Accent5 7 3 3 2" xfId="9047"/>
    <cellStyle name="20% - Accent5 7 3 4" xfId="9048"/>
    <cellStyle name="20% - Accent5 7 4" xfId="9049"/>
    <cellStyle name="20% - Accent5 7 4 2" xfId="9050"/>
    <cellStyle name="20% - Accent5 7 5" xfId="9051"/>
    <cellStyle name="20% - Accent5 7 5 2" xfId="9052"/>
    <cellStyle name="20% - Accent5 7 6" xfId="9053"/>
    <cellStyle name="20% - Accent5 70" xfId="9054"/>
    <cellStyle name="20% - Accent5 70 2" xfId="9055"/>
    <cellStyle name="20% - Accent5 70 2 2" xfId="9056"/>
    <cellStyle name="20% - Accent5 70 3" xfId="9057"/>
    <cellStyle name="20% - Accent5 70 3 2" xfId="9058"/>
    <cellStyle name="20% - Accent5 70 4" xfId="9059"/>
    <cellStyle name="20% - Accent5 71" xfId="9060"/>
    <cellStyle name="20% - Accent5 71 2" xfId="9061"/>
    <cellStyle name="20% - Accent5 71 2 2" xfId="9062"/>
    <cellStyle name="20% - Accent5 71 3" xfId="9063"/>
    <cellStyle name="20% - Accent5 71 3 2" xfId="9064"/>
    <cellStyle name="20% - Accent5 71 4" xfId="9065"/>
    <cellStyle name="20% - Accent5 72" xfId="9066"/>
    <cellStyle name="20% - Accent5 72 2" xfId="9067"/>
    <cellStyle name="20% - Accent5 72 2 2" xfId="9068"/>
    <cellStyle name="20% - Accent5 72 3" xfId="9069"/>
    <cellStyle name="20% - Accent5 72 3 2" xfId="9070"/>
    <cellStyle name="20% - Accent5 72 4" xfId="9071"/>
    <cellStyle name="20% - Accent5 73" xfId="9072"/>
    <cellStyle name="20% - Accent5 73 2" xfId="9073"/>
    <cellStyle name="20% - Accent5 73 2 2" xfId="9074"/>
    <cellStyle name="20% - Accent5 73 3" xfId="9075"/>
    <cellStyle name="20% - Accent5 73 3 2" xfId="9076"/>
    <cellStyle name="20% - Accent5 73 4" xfId="9077"/>
    <cellStyle name="20% - Accent5 74" xfId="9078"/>
    <cellStyle name="20% - Accent5 74 2" xfId="9079"/>
    <cellStyle name="20% - Accent5 74 2 2" xfId="9080"/>
    <cellStyle name="20% - Accent5 74 3" xfId="9081"/>
    <cellStyle name="20% - Accent5 74 3 2" xfId="9082"/>
    <cellStyle name="20% - Accent5 74 4" xfId="9083"/>
    <cellStyle name="20% - Accent5 75" xfId="9084"/>
    <cellStyle name="20% - Accent5 75 2" xfId="9085"/>
    <cellStyle name="20% - Accent5 75 2 2" xfId="9086"/>
    <cellStyle name="20% - Accent5 75 3" xfId="9087"/>
    <cellStyle name="20% - Accent5 75 3 2" xfId="9088"/>
    <cellStyle name="20% - Accent5 75 4" xfId="9089"/>
    <cellStyle name="20% - Accent5 76" xfId="9090"/>
    <cellStyle name="20% - Accent5 76 2" xfId="9091"/>
    <cellStyle name="20% - Accent5 76 2 2" xfId="9092"/>
    <cellStyle name="20% - Accent5 76 3" xfId="9093"/>
    <cellStyle name="20% - Accent5 76 3 2" xfId="9094"/>
    <cellStyle name="20% - Accent5 76 4" xfId="9095"/>
    <cellStyle name="20% - Accent5 77" xfId="9096"/>
    <cellStyle name="20% - Accent5 77 2" xfId="9097"/>
    <cellStyle name="20% - Accent5 77 2 2" xfId="9098"/>
    <cellStyle name="20% - Accent5 77 3" xfId="9099"/>
    <cellStyle name="20% - Accent5 77 3 2" xfId="9100"/>
    <cellStyle name="20% - Accent5 77 4" xfId="9101"/>
    <cellStyle name="20% - Accent5 78" xfId="9102"/>
    <cellStyle name="20% - Accent5 78 2" xfId="9103"/>
    <cellStyle name="20% - Accent5 78 2 2" xfId="9104"/>
    <cellStyle name="20% - Accent5 78 3" xfId="9105"/>
    <cellStyle name="20% - Accent5 78 3 2" xfId="9106"/>
    <cellStyle name="20% - Accent5 78 4" xfId="9107"/>
    <cellStyle name="20% - Accent5 79" xfId="9108"/>
    <cellStyle name="20% - Accent5 79 2" xfId="9109"/>
    <cellStyle name="20% - Accent5 79 2 2" xfId="9110"/>
    <cellStyle name="20% - Accent5 79 3" xfId="9111"/>
    <cellStyle name="20% - Accent5 79 3 2" xfId="9112"/>
    <cellStyle name="20% - Accent5 79 4" xfId="9113"/>
    <cellStyle name="20% - Accent5 8" xfId="9114"/>
    <cellStyle name="20% - Accent5 8 2" xfId="9115"/>
    <cellStyle name="20% - Accent5 8 2 2" xfId="9116"/>
    <cellStyle name="20% - Accent5 8 2 2 2" xfId="9117"/>
    <cellStyle name="20% - Accent5 8 2 3" xfId="9118"/>
    <cellStyle name="20% - Accent5 8 2 3 2" xfId="9119"/>
    <cellStyle name="20% - Accent5 8 2 4" xfId="9120"/>
    <cellStyle name="20% - Accent5 8 3" xfId="9121"/>
    <cellStyle name="20% - Accent5 8 3 2" xfId="9122"/>
    <cellStyle name="20% - Accent5 8 3 2 2" xfId="9123"/>
    <cellStyle name="20% - Accent5 8 3 3" xfId="9124"/>
    <cellStyle name="20% - Accent5 8 3 3 2" xfId="9125"/>
    <cellStyle name="20% - Accent5 8 3 4" xfId="9126"/>
    <cellStyle name="20% - Accent5 8 4" xfId="9127"/>
    <cellStyle name="20% - Accent5 8 4 2" xfId="9128"/>
    <cellStyle name="20% - Accent5 8 5" xfId="9129"/>
    <cellStyle name="20% - Accent5 8 5 2" xfId="9130"/>
    <cellStyle name="20% - Accent5 8 6" xfId="9131"/>
    <cellStyle name="20% - Accent5 80" xfId="9132"/>
    <cellStyle name="20% - Accent5 80 2" xfId="9133"/>
    <cellStyle name="20% - Accent5 80 2 2" xfId="9134"/>
    <cellStyle name="20% - Accent5 80 3" xfId="9135"/>
    <cellStyle name="20% - Accent5 80 3 2" xfId="9136"/>
    <cellStyle name="20% - Accent5 80 4" xfId="9137"/>
    <cellStyle name="20% - Accent5 81" xfId="9138"/>
    <cellStyle name="20% - Accent5 81 2" xfId="9139"/>
    <cellStyle name="20% - Accent5 81 2 2" xfId="9140"/>
    <cellStyle name="20% - Accent5 81 3" xfId="9141"/>
    <cellStyle name="20% - Accent5 81 3 2" xfId="9142"/>
    <cellStyle name="20% - Accent5 81 4" xfId="9143"/>
    <cellStyle name="20% - Accent5 82" xfId="9144"/>
    <cellStyle name="20% - Accent5 82 2" xfId="9145"/>
    <cellStyle name="20% - Accent5 82 2 2" xfId="9146"/>
    <cellStyle name="20% - Accent5 82 3" xfId="9147"/>
    <cellStyle name="20% - Accent5 82 3 2" xfId="9148"/>
    <cellStyle name="20% - Accent5 82 4" xfId="9149"/>
    <cellStyle name="20% - Accent5 83" xfId="9150"/>
    <cellStyle name="20% - Accent5 83 2" xfId="9151"/>
    <cellStyle name="20% - Accent5 83 2 2" xfId="9152"/>
    <cellStyle name="20% - Accent5 83 3" xfId="9153"/>
    <cellStyle name="20% - Accent5 83 3 2" xfId="9154"/>
    <cellStyle name="20% - Accent5 83 4" xfId="9155"/>
    <cellStyle name="20% - Accent5 84" xfId="9156"/>
    <cellStyle name="20% - Accent5 84 2" xfId="9157"/>
    <cellStyle name="20% - Accent5 84 2 2" xfId="9158"/>
    <cellStyle name="20% - Accent5 84 3" xfId="9159"/>
    <cellStyle name="20% - Accent5 84 3 2" xfId="9160"/>
    <cellStyle name="20% - Accent5 84 4" xfId="9161"/>
    <cellStyle name="20% - Accent5 85" xfId="9162"/>
    <cellStyle name="20% - Accent5 85 2" xfId="9163"/>
    <cellStyle name="20% - Accent5 85 2 2" xfId="9164"/>
    <cellStyle name="20% - Accent5 85 3" xfId="9165"/>
    <cellStyle name="20% - Accent5 85 3 2" xfId="9166"/>
    <cellStyle name="20% - Accent5 85 4" xfId="9167"/>
    <cellStyle name="20% - Accent5 86" xfId="9168"/>
    <cellStyle name="20% - Accent5 86 2" xfId="9169"/>
    <cellStyle name="20% - Accent5 86 2 2" xfId="9170"/>
    <cellStyle name="20% - Accent5 86 3" xfId="9171"/>
    <cellStyle name="20% - Accent5 86 3 2" xfId="9172"/>
    <cellStyle name="20% - Accent5 86 4" xfId="9173"/>
    <cellStyle name="20% - Accent5 87" xfId="9174"/>
    <cellStyle name="20% - Accent5 87 2" xfId="9175"/>
    <cellStyle name="20% - Accent5 87 2 2" xfId="9176"/>
    <cellStyle name="20% - Accent5 87 3" xfId="9177"/>
    <cellStyle name="20% - Accent5 87 3 2" xfId="9178"/>
    <cellStyle name="20% - Accent5 87 4" xfId="9179"/>
    <cellStyle name="20% - Accent5 88" xfId="9180"/>
    <cellStyle name="20% - Accent5 88 2" xfId="9181"/>
    <cellStyle name="20% - Accent5 88 2 2" xfId="9182"/>
    <cellStyle name="20% - Accent5 88 3" xfId="9183"/>
    <cellStyle name="20% - Accent5 88 3 2" xfId="9184"/>
    <cellStyle name="20% - Accent5 88 4" xfId="9185"/>
    <cellStyle name="20% - Accent5 89" xfId="9186"/>
    <cellStyle name="20% - Accent5 89 2" xfId="9187"/>
    <cellStyle name="20% - Accent5 89 2 2" xfId="9188"/>
    <cellStyle name="20% - Accent5 89 3" xfId="9189"/>
    <cellStyle name="20% - Accent5 89 3 2" xfId="9190"/>
    <cellStyle name="20% - Accent5 89 4" xfId="9191"/>
    <cellStyle name="20% - Accent5 9" xfId="9192"/>
    <cellStyle name="20% - Accent5 9 2" xfId="9193"/>
    <cellStyle name="20% - Accent5 9 2 2" xfId="9194"/>
    <cellStyle name="20% - Accent5 9 2 2 2" xfId="9195"/>
    <cellStyle name="20% - Accent5 9 2 3" xfId="9196"/>
    <cellStyle name="20% - Accent5 9 2 3 2" xfId="9197"/>
    <cellStyle name="20% - Accent5 9 2 4" xfId="9198"/>
    <cellStyle name="20% - Accent5 9 3" xfId="9199"/>
    <cellStyle name="20% - Accent5 9 3 2" xfId="9200"/>
    <cellStyle name="20% - Accent5 9 3 2 2" xfId="9201"/>
    <cellStyle name="20% - Accent5 9 3 3" xfId="9202"/>
    <cellStyle name="20% - Accent5 9 3 3 2" xfId="9203"/>
    <cellStyle name="20% - Accent5 9 3 4" xfId="9204"/>
    <cellStyle name="20% - Accent5 9 4" xfId="9205"/>
    <cellStyle name="20% - Accent5 9 4 2" xfId="9206"/>
    <cellStyle name="20% - Accent5 9 5" xfId="9207"/>
    <cellStyle name="20% - Accent5 9 5 2" xfId="9208"/>
    <cellStyle name="20% - Accent5 9 6" xfId="9209"/>
    <cellStyle name="20% - Accent5 90" xfId="9210"/>
    <cellStyle name="20% - Accent5 90 2" xfId="9211"/>
    <cellStyle name="20% - Accent5 90 2 2" xfId="9212"/>
    <cellStyle name="20% - Accent5 90 3" xfId="9213"/>
    <cellStyle name="20% - Accent5 90 3 2" xfId="9214"/>
    <cellStyle name="20% - Accent5 90 4" xfId="9215"/>
    <cellStyle name="20% - Accent5 91" xfId="9216"/>
    <cellStyle name="20% - Accent5 91 2" xfId="9217"/>
    <cellStyle name="20% - Accent5 91 2 2" xfId="9218"/>
    <cellStyle name="20% - Accent5 91 3" xfId="9219"/>
    <cellStyle name="20% - Accent5 91 3 2" xfId="9220"/>
    <cellStyle name="20% - Accent5 91 4" xfId="9221"/>
    <cellStyle name="20% - Accent5 92" xfId="9222"/>
    <cellStyle name="20% - Accent5 92 2" xfId="9223"/>
    <cellStyle name="20% - Accent5 92 2 2" xfId="9224"/>
    <cellStyle name="20% - Accent5 92 3" xfId="9225"/>
    <cellStyle name="20% - Accent5 92 3 2" xfId="9226"/>
    <cellStyle name="20% - Accent5 92 4" xfId="9227"/>
    <cellStyle name="20% - Accent5 93" xfId="9228"/>
    <cellStyle name="20% - Accent5 93 2" xfId="9229"/>
    <cellStyle name="20% - Accent5 93 2 2" xfId="9230"/>
    <cellStyle name="20% - Accent5 93 3" xfId="9231"/>
    <cellStyle name="20% - Accent5 93 3 2" xfId="9232"/>
    <cellStyle name="20% - Accent5 93 4" xfId="9233"/>
    <cellStyle name="20% - Accent5 94" xfId="9234"/>
    <cellStyle name="20% - Accent5 94 2" xfId="9235"/>
    <cellStyle name="20% - Accent5 94 2 2" xfId="9236"/>
    <cellStyle name="20% - Accent5 94 3" xfId="9237"/>
    <cellStyle name="20% - Accent5 94 3 2" xfId="9238"/>
    <cellStyle name="20% - Accent5 94 4" xfId="9239"/>
    <cellStyle name="20% - Accent5 95" xfId="9240"/>
    <cellStyle name="20% - Accent5 95 2" xfId="9241"/>
    <cellStyle name="20% - Accent5 95 2 2" xfId="9242"/>
    <cellStyle name="20% - Accent5 95 3" xfId="9243"/>
    <cellStyle name="20% - Accent5 95 3 2" xfId="9244"/>
    <cellStyle name="20% - Accent5 95 4" xfId="9245"/>
    <cellStyle name="20% - Accent5 96" xfId="9246"/>
    <cellStyle name="20% - Accent5 96 2" xfId="9247"/>
    <cellStyle name="20% - Accent5 96 2 2" xfId="9248"/>
    <cellStyle name="20% - Accent5 96 3" xfId="9249"/>
    <cellStyle name="20% - Accent5 96 3 2" xfId="9250"/>
    <cellStyle name="20% - Accent5 96 4" xfId="9251"/>
    <cellStyle name="20% - Accent5 97" xfId="9252"/>
    <cellStyle name="20% - Accent5 97 2" xfId="9253"/>
    <cellStyle name="20% - Accent5 97 2 2" xfId="9254"/>
    <cellStyle name="20% - Accent5 97 3" xfId="9255"/>
    <cellStyle name="20% - Accent5 97 3 2" xfId="9256"/>
    <cellStyle name="20% - Accent5 97 4" xfId="9257"/>
    <cellStyle name="20% - Accent5 98" xfId="9258"/>
    <cellStyle name="20% - Accent5 98 2" xfId="9259"/>
    <cellStyle name="20% - Accent5 98 2 2" xfId="9260"/>
    <cellStyle name="20% - Accent5 98 3" xfId="9261"/>
    <cellStyle name="20% - Accent5 98 3 2" xfId="9262"/>
    <cellStyle name="20% - Accent5 98 4" xfId="9263"/>
    <cellStyle name="20% - Accent5 99" xfId="9264"/>
    <cellStyle name="20% - Accent5 99 2" xfId="9265"/>
    <cellStyle name="20% - Accent5 99 2 2" xfId="9266"/>
    <cellStyle name="20% - Accent5 99 3" xfId="9267"/>
    <cellStyle name="20% - Accent5 99 3 2" xfId="9268"/>
    <cellStyle name="20% - Accent5 99 4" xfId="9269"/>
    <cellStyle name="20% - Accent6 10" xfId="9270"/>
    <cellStyle name="20% - Accent6 10 2" xfId="9271"/>
    <cellStyle name="20% - Accent6 10 2 2" xfId="9272"/>
    <cellStyle name="20% - Accent6 10 2 2 2" xfId="9273"/>
    <cellStyle name="20% - Accent6 10 2 3" xfId="9274"/>
    <cellStyle name="20% - Accent6 10 2 3 2" xfId="9275"/>
    <cellStyle name="20% - Accent6 10 2 4" xfId="9276"/>
    <cellStyle name="20% - Accent6 10 3" xfId="9277"/>
    <cellStyle name="20% - Accent6 10 3 2" xfId="9278"/>
    <cellStyle name="20% - Accent6 10 3 2 2" xfId="9279"/>
    <cellStyle name="20% - Accent6 10 3 3" xfId="9280"/>
    <cellStyle name="20% - Accent6 10 3 3 2" xfId="9281"/>
    <cellStyle name="20% - Accent6 10 3 4" xfId="9282"/>
    <cellStyle name="20% - Accent6 10 4" xfId="9283"/>
    <cellStyle name="20% - Accent6 10 4 2" xfId="9284"/>
    <cellStyle name="20% - Accent6 10 5" xfId="9285"/>
    <cellStyle name="20% - Accent6 10 5 2" xfId="9286"/>
    <cellStyle name="20% - Accent6 10 6" xfId="9287"/>
    <cellStyle name="20% - Accent6 100" xfId="9288"/>
    <cellStyle name="20% - Accent6 100 2" xfId="9289"/>
    <cellStyle name="20% - Accent6 100 2 2" xfId="9290"/>
    <cellStyle name="20% - Accent6 100 3" xfId="9291"/>
    <cellStyle name="20% - Accent6 100 3 2" xfId="9292"/>
    <cellStyle name="20% - Accent6 100 4" xfId="9293"/>
    <cellStyle name="20% - Accent6 101" xfId="9294"/>
    <cellStyle name="20% - Accent6 101 2" xfId="9295"/>
    <cellStyle name="20% - Accent6 101 2 2" xfId="9296"/>
    <cellStyle name="20% - Accent6 101 3" xfId="9297"/>
    <cellStyle name="20% - Accent6 101 3 2" xfId="9298"/>
    <cellStyle name="20% - Accent6 101 4" xfId="9299"/>
    <cellStyle name="20% - Accent6 102" xfId="9300"/>
    <cellStyle name="20% - Accent6 102 2" xfId="9301"/>
    <cellStyle name="20% - Accent6 102 2 2" xfId="9302"/>
    <cellStyle name="20% - Accent6 102 3" xfId="9303"/>
    <cellStyle name="20% - Accent6 102 3 2" xfId="9304"/>
    <cellStyle name="20% - Accent6 102 4" xfId="9305"/>
    <cellStyle name="20% - Accent6 103" xfId="9306"/>
    <cellStyle name="20% - Accent6 103 2" xfId="9307"/>
    <cellStyle name="20% - Accent6 103 2 2" xfId="9308"/>
    <cellStyle name="20% - Accent6 103 3" xfId="9309"/>
    <cellStyle name="20% - Accent6 103 3 2" xfId="9310"/>
    <cellStyle name="20% - Accent6 103 4" xfId="9311"/>
    <cellStyle name="20% - Accent6 104" xfId="9312"/>
    <cellStyle name="20% - Accent6 104 2" xfId="9313"/>
    <cellStyle name="20% - Accent6 104 2 2" xfId="9314"/>
    <cellStyle name="20% - Accent6 104 3" xfId="9315"/>
    <cellStyle name="20% - Accent6 104 3 2" xfId="9316"/>
    <cellStyle name="20% - Accent6 104 4" xfId="9317"/>
    <cellStyle name="20% - Accent6 105" xfId="9318"/>
    <cellStyle name="20% - Accent6 105 2" xfId="9319"/>
    <cellStyle name="20% - Accent6 105 2 2" xfId="9320"/>
    <cellStyle name="20% - Accent6 105 3" xfId="9321"/>
    <cellStyle name="20% - Accent6 105 3 2" xfId="9322"/>
    <cellStyle name="20% - Accent6 105 4" xfId="9323"/>
    <cellStyle name="20% - Accent6 106" xfId="9324"/>
    <cellStyle name="20% - Accent6 106 2" xfId="9325"/>
    <cellStyle name="20% - Accent6 106 2 2" xfId="9326"/>
    <cellStyle name="20% - Accent6 106 3" xfId="9327"/>
    <cellStyle name="20% - Accent6 106 3 2" xfId="9328"/>
    <cellStyle name="20% - Accent6 106 4" xfId="9329"/>
    <cellStyle name="20% - Accent6 107" xfId="9330"/>
    <cellStyle name="20% - Accent6 107 2" xfId="9331"/>
    <cellStyle name="20% - Accent6 107 2 2" xfId="9332"/>
    <cellStyle name="20% - Accent6 107 3" xfId="9333"/>
    <cellStyle name="20% - Accent6 107 3 2" xfId="9334"/>
    <cellStyle name="20% - Accent6 107 4" xfId="9335"/>
    <cellStyle name="20% - Accent6 108" xfId="9336"/>
    <cellStyle name="20% - Accent6 108 2" xfId="9337"/>
    <cellStyle name="20% - Accent6 108 2 2" xfId="9338"/>
    <cellStyle name="20% - Accent6 108 3" xfId="9339"/>
    <cellStyle name="20% - Accent6 108 3 2" xfId="9340"/>
    <cellStyle name="20% - Accent6 108 4" xfId="9341"/>
    <cellStyle name="20% - Accent6 109" xfId="9342"/>
    <cellStyle name="20% - Accent6 109 2" xfId="9343"/>
    <cellStyle name="20% - Accent6 109 2 2" xfId="9344"/>
    <cellStyle name="20% - Accent6 109 3" xfId="9345"/>
    <cellStyle name="20% - Accent6 109 3 2" xfId="9346"/>
    <cellStyle name="20% - Accent6 109 4" xfId="9347"/>
    <cellStyle name="20% - Accent6 11" xfId="9348"/>
    <cellStyle name="20% - Accent6 11 2" xfId="9349"/>
    <cellStyle name="20% - Accent6 11 2 2" xfId="9350"/>
    <cellStyle name="20% - Accent6 11 2 2 2" xfId="9351"/>
    <cellStyle name="20% - Accent6 11 2 3" xfId="9352"/>
    <cellStyle name="20% - Accent6 11 2 3 2" xfId="9353"/>
    <cellStyle name="20% - Accent6 11 2 4" xfId="9354"/>
    <cellStyle name="20% - Accent6 11 3" xfId="9355"/>
    <cellStyle name="20% - Accent6 11 3 2" xfId="9356"/>
    <cellStyle name="20% - Accent6 11 3 2 2" xfId="9357"/>
    <cellStyle name="20% - Accent6 11 3 3" xfId="9358"/>
    <cellStyle name="20% - Accent6 11 3 3 2" xfId="9359"/>
    <cellStyle name="20% - Accent6 11 3 4" xfId="9360"/>
    <cellStyle name="20% - Accent6 11 4" xfId="9361"/>
    <cellStyle name="20% - Accent6 11 4 2" xfId="9362"/>
    <cellStyle name="20% - Accent6 11 5" xfId="9363"/>
    <cellStyle name="20% - Accent6 11 5 2" xfId="9364"/>
    <cellStyle name="20% - Accent6 11 6" xfId="9365"/>
    <cellStyle name="20% - Accent6 110" xfId="9366"/>
    <cellStyle name="20% - Accent6 110 2" xfId="9367"/>
    <cellStyle name="20% - Accent6 110 2 2" xfId="9368"/>
    <cellStyle name="20% - Accent6 110 3" xfId="9369"/>
    <cellStyle name="20% - Accent6 110 3 2" xfId="9370"/>
    <cellStyle name="20% - Accent6 110 4" xfId="9371"/>
    <cellStyle name="20% - Accent6 111" xfId="9372"/>
    <cellStyle name="20% - Accent6 111 2" xfId="9373"/>
    <cellStyle name="20% - Accent6 111 2 2" xfId="9374"/>
    <cellStyle name="20% - Accent6 111 3" xfId="9375"/>
    <cellStyle name="20% - Accent6 111 3 2" xfId="9376"/>
    <cellStyle name="20% - Accent6 111 4" xfId="9377"/>
    <cellStyle name="20% - Accent6 112" xfId="9378"/>
    <cellStyle name="20% - Accent6 112 2" xfId="9379"/>
    <cellStyle name="20% - Accent6 112 2 2" xfId="9380"/>
    <cellStyle name="20% - Accent6 112 3" xfId="9381"/>
    <cellStyle name="20% - Accent6 112 3 2" xfId="9382"/>
    <cellStyle name="20% - Accent6 112 4" xfId="9383"/>
    <cellStyle name="20% - Accent6 113" xfId="9384"/>
    <cellStyle name="20% - Accent6 113 2" xfId="9385"/>
    <cellStyle name="20% - Accent6 113 2 2" xfId="9386"/>
    <cellStyle name="20% - Accent6 113 3" xfId="9387"/>
    <cellStyle name="20% - Accent6 113 3 2" xfId="9388"/>
    <cellStyle name="20% - Accent6 113 4" xfId="9389"/>
    <cellStyle name="20% - Accent6 114" xfId="9390"/>
    <cellStyle name="20% - Accent6 114 2" xfId="9391"/>
    <cellStyle name="20% - Accent6 114 2 2" xfId="9392"/>
    <cellStyle name="20% - Accent6 114 3" xfId="9393"/>
    <cellStyle name="20% - Accent6 114 3 2" xfId="9394"/>
    <cellStyle name="20% - Accent6 114 4" xfId="9395"/>
    <cellStyle name="20% - Accent6 115" xfId="9396"/>
    <cellStyle name="20% - Accent6 115 2" xfId="9397"/>
    <cellStyle name="20% - Accent6 115 2 2" xfId="9398"/>
    <cellStyle name="20% - Accent6 115 3" xfId="9399"/>
    <cellStyle name="20% - Accent6 115 3 2" xfId="9400"/>
    <cellStyle name="20% - Accent6 115 4" xfId="9401"/>
    <cellStyle name="20% - Accent6 116" xfId="9402"/>
    <cellStyle name="20% - Accent6 116 2" xfId="9403"/>
    <cellStyle name="20% - Accent6 116 2 2" xfId="9404"/>
    <cellStyle name="20% - Accent6 116 3" xfId="9405"/>
    <cellStyle name="20% - Accent6 116 3 2" xfId="9406"/>
    <cellStyle name="20% - Accent6 116 4" xfId="9407"/>
    <cellStyle name="20% - Accent6 117" xfId="9408"/>
    <cellStyle name="20% - Accent6 117 2" xfId="9409"/>
    <cellStyle name="20% - Accent6 117 2 2" xfId="9410"/>
    <cellStyle name="20% - Accent6 117 3" xfId="9411"/>
    <cellStyle name="20% - Accent6 117 3 2" xfId="9412"/>
    <cellStyle name="20% - Accent6 117 4" xfId="9413"/>
    <cellStyle name="20% - Accent6 118" xfId="9414"/>
    <cellStyle name="20% - Accent6 118 2" xfId="9415"/>
    <cellStyle name="20% - Accent6 118 2 2" xfId="9416"/>
    <cellStyle name="20% - Accent6 118 3" xfId="9417"/>
    <cellStyle name="20% - Accent6 118 3 2" xfId="9418"/>
    <cellStyle name="20% - Accent6 118 4" xfId="9419"/>
    <cellStyle name="20% - Accent6 119" xfId="9420"/>
    <cellStyle name="20% - Accent6 119 2" xfId="9421"/>
    <cellStyle name="20% - Accent6 119 2 2" xfId="9422"/>
    <cellStyle name="20% - Accent6 119 3" xfId="9423"/>
    <cellStyle name="20% - Accent6 119 3 2" xfId="9424"/>
    <cellStyle name="20% - Accent6 119 4" xfId="9425"/>
    <cellStyle name="20% - Accent6 12" xfId="9426"/>
    <cellStyle name="20% - Accent6 12 2" xfId="9427"/>
    <cellStyle name="20% - Accent6 12 2 2" xfId="9428"/>
    <cellStyle name="20% - Accent6 12 2 2 2" xfId="9429"/>
    <cellStyle name="20% - Accent6 12 2 3" xfId="9430"/>
    <cellStyle name="20% - Accent6 12 2 3 2" xfId="9431"/>
    <cellStyle name="20% - Accent6 12 2 4" xfId="9432"/>
    <cellStyle name="20% - Accent6 12 3" xfId="9433"/>
    <cellStyle name="20% - Accent6 12 3 2" xfId="9434"/>
    <cellStyle name="20% - Accent6 12 3 2 2" xfId="9435"/>
    <cellStyle name="20% - Accent6 12 3 3" xfId="9436"/>
    <cellStyle name="20% - Accent6 12 3 3 2" xfId="9437"/>
    <cellStyle name="20% - Accent6 12 3 4" xfId="9438"/>
    <cellStyle name="20% - Accent6 12 4" xfId="9439"/>
    <cellStyle name="20% - Accent6 12 4 2" xfId="9440"/>
    <cellStyle name="20% - Accent6 12 5" xfId="9441"/>
    <cellStyle name="20% - Accent6 12 5 2" xfId="9442"/>
    <cellStyle name="20% - Accent6 12 6" xfId="9443"/>
    <cellStyle name="20% - Accent6 120" xfId="9444"/>
    <cellStyle name="20% - Accent6 120 2" xfId="9445"/>
    <cellStyle name="20% - Accent6 120 2 2" xfId="9446"/>
    <cellStyle name="20% - Accent6 120 3" xfId="9447"/>
    <cellStyle name="20% - Accent6 120 3 2" xfId="9448"/>
    <cellStyle name="20% - Accent6 120 4" xfId="9449"/>
    <cellStyle name="20% - Accent6 121" xfId="9450"/>
    <cellStyle name="20% - Accent6 121 2" xfId="9451"/>
    <cellStyle name="20% - Accent6 121 2 2" xfId="9452"/>
    <cellStyle name="20% - Accent6 121 3" xfId="9453"/>
    <cellStyle name="20% - Accent6 121 3 2" xfId="9454"/>
    <cellStyle name="20% - Accent6 121 4" xfId="9455"/>
    <cellStyle name="20% - Accent6 122" xfId="9456"/>
    <cellStyle name="20% - Accent6 122 2" xfId="9457"/>
    <cellStyle name="20% - Accent6 122 2 2" xfId="9458"/>
    <cellStyle name="20% - Accent6 122 3" xfId="9459"/>
    <cellStyle name="20% - Accent6 122 3 2" xfId="9460"/>
    <cellStyle name="20% - Accent6 122 4" xfId="9461"/>
    <cellStyle name="20% - Accent6 123" xfId="9462"/>
    <cellStyle name="20% - Accent6 123 2" xfId="9463"/>
    <cellStyle name="20% - Accent6 123 2 2" xfId="9464"/>
    <cellStyle name="20% - Accent6 123 3" xfId="9465"/>
    <cellStyle name="20% - Accent6 123 3 2" xfId="9466"/>
    <cellStyle name="20% - Accent6 123 4" xfId="9467"/>
    <cellStyle name="20% - Accent6 124" xfId="9468"/>
    <cellStyle name="20% - Accent6 124 2" xfId="9469"/>
    <cellStyle name="20% - Accent6 124 2 2" xfId="9470"/>
    <cellStyle name="20% - Accent6 124 3" xfId="9471"/>
    <cellStyle name="20% - Accent6 124 3 2" xfId="9472"/>
    <cellStyle name="20% - Accent6 124 4" xfId="9473"/>
    <cellStyle name="20% - Accent6 125" xfId="9474"/>
    <cellStyle name="20% - Accent6 125 2" xfId="9475"/>
    <cellStyle name="20% - Accent6 125 2 2" xfId="9476"/>
    <cellStyle name="20% - Accent6 125 3" xfId="9477"/>
    <cellStyle name="20% - Accent6 125 3 2" xfId="9478"/>
    <cellStyle name="20% - Accent6 125 4" xfId="9479"/>
    <cellStyle name="20% - Accent6 126" xfId="9480"/>
    <cellStyle name="20% - Accent6 126 2" xfId="9481"/>
    <cellStyle name="20% - Accent6 126 2 2" xfId="9482"/>
    <cellStyle name="20% - Accent6 126 3" xfId="9483"/>
    <cellStyle name="20% - Accent6 126 3 2" xfId="9484"/>
    <cellStyle name="20% - Accent6 126 4" xfId="9485"/>
    <cellStyle name="20% - Accent6 127" xfId="9486"/>
    <cellStyle name="20% - Accent6 127 2" xfId="9487"/>
    <cellStyle name="20% - Accent6 127 2 2" xfId="9488"/>
    <cellStyle name="20% - Accent6 127 3" xfId="9489"/>
    <cellStyle name="20% - Accent6 127 3 2" xfId="9490"/>
    <cellStyle name="20% - Accent6 127 4" xfId="9491"/>
    <cellStyle name="20% - Accent6 128" xfId="9492"/>
    <cellStyle name="20% - Accent6 128 2" xfId="9493"/>
    <cellStyle name="20% - Accent6 128 2 2" xfId="9494"/>
    <cellStyle name="20% - Accent6 128 3" xfId="9495"/>
    <cellStyle name="20% - Accent6 128 3 2" xfId="9496"/>
    <cellStyle name="20% - Accent6 128 4" xfId="9497"/>
    <cellStyle name="20% - Accent6 129" xfId="9498"/>
    <cellStyle name="20% - Accent6 129 2" xfId="9499"/>
    <cellStyle name="20% - Accent6 129 2 2" xfId="9500"/>
    <cellStyle name="20% - Accent6 129 3" xfId="9501"/>
    <cellStyle name="20% - Accent6 129 3 2" xfId="9502"/>
    <cellStyle name="20% - Accent6 129 4" xfId="9503"/>
    <cellStyle name="20% - Accent6 13" xfId="9504"/>
    <cellStyle name="20% - Accent6 13 2" xfId="9505"/>
    <cellStyle name="20% - Accent6 13 2 2" xfId="9506"/>
    <cellStyle name="20% - Accent6 13 2 2 2" xfId="9507"/>
    <cellStyle name="20% - Accent6 13 2 3" xfId="9508"/>
    <cellStyle name="20% - Accent6 13 2 3 2" xfId="9509"/>
    <cellStyle name="20% - Accent6 13 2 4" xfId="9510"/>
    <cellStyle name="20% - Accent6 13 3" xfId="9511"/>
    <cellStyle name="20% - Accent6 13 3 2" xfId="9512"/>
    <cellStyle name="20% - Accent6 13 3 2 2" xfId="9513"/>
    <cellStyle name="20% - Accent6 13 3 3" xfId="9514"/>
    <cellStyle name="20% - Accent6 13 3 3 2" xfId="9515"/>
    <cellStyle name="20% - Accent6 13 3 4" xfId="9516"/>
    <cellStyle name="20% - Accent6 13 4" xfId="9517"/>
    <cellStyle name="20% - Accent6 13 4 2" xfId="9518"/>
    <cellStyle name="20% - Accent6 13 5" xfId="9519"/>
    <cellStyle name="20% - Accent6 13 5 2" xfId="9520"/>
    <cellStyle name="20% - Accent6 13 6" xfId="9521"/>
    <cellStyle name="20% - Accent6 130" xfId="9522"/>
    <cellStyle name="20% - Accent6 130 2" xfId="9523"/>
    <cellStyle name="20% - Accent6 130 2 2" xfId="9524"/>
    <cellStyle name="20% - Accent6 130 3" xfId="9525"/>
    <cellStyle name="20% - Accent6 130 3 2" xfId="9526"/>
    <cellStyle name="20% - Accent6 130 4" xfId="9527"/>
    <cellStyle name="20% - Accent6 131" xfId="9528"/>
    <cellStyle name="20% - Accent6 131 2" xfId="9529"/>
    <cellStyle name="20% - Accent6 131 2 2" xfId="9530"/>
    <cellStyle name="20% - Accent6 131 3" xfId="9531"/>
    <cellStyle name="20% - Accent6 131 3 2" xfId="9532"/>
    <cellStyle name="20% - Accent6 131 4" xfId="9533"/>
    <cellStyle name="20% - Accent6 132" xfId="9534"/>
    <cellStyle name="20% - Accent6 132 2" xfId="9535"/>
    <cellStyle name="20% - Accent6 132 2 2" xfId="9536"/>
    <cellStyle name="20% - Accent6 132 3" xfId="9537"/>
    <cellStyle name="20% - Accent6 132 3 2" xfId="9538"/>
    <cellStyle name="20% - Accent6 132 4" xfId="9539"/>
    <cellStyle name="20% - Accent6 133" xfId="9540"/>
    <cellStyle name="20% - Accent6 133 2" xfId="9541"/>
    <cellStyle name="20% - Accent6 133 2 2" xfId="9542"/>
    <cellStyle name="20% - Accent6 133 3" xfId="9543"/>
    <cellStyle name="20% - Accent6 133 3 2" xfId="9544"/>
    <cellStyle name="20% - Accent6 133 4" xfId="9545"/>
    <cellStyle name="20% - Accent6 134" xfId="9546"/>
    <cellStyle name="20% - Accent6 134 2" xfId="9547"/>
    <cellStyle name="20% - Accent6 134 2 2" xfId="9548"/>
    <cellStyle name="20% - Accent6 134 3" xfId="9549"/>
    <cellStyle name="20% - Accent6 134 3 2" xfId="9550"/>
    <cellStyle name="20% - Accent6 134 4" xfId="9551"/>
    <cellStyle name="20% - Accent6 135" xfId="9552"/>
    <cellStyle name="20% - Accent6 135 2" xfId="9553"/>
    <cellStyle name="20% - Accent6 135 2 2" xfId="9554"/>
    <cellStyle name="20% - Accent6 135 3" xfId="9555"/>
    <cellStyle name="20% - Accent6 135 3 2" xfId="9556"/>
    <cellStyle name="20% - Accent6 135 4" xfId="9557"/>
    <cellStyle name="20% - Accent6 136" xfId="9558"/>
    <cellStyle name="20% - Accent6 136 2" xfId="9559"/>
    <cellStyle name="20% - Accent6 136 2 2" xfId="9560"/>
    <cellStyle name="20% - Accent6 136 3" xfId="9561"/>
    <cellStyle name="20% - Accent6 136 3 2" xfId="9562"/>
    <cellStyle name="20% - Accent6 136 4" xfId="9563"/>
    <cellStyle name="20% - Accent6 137" xfId="9564"/>
    <cellStyle name="20% - Accent6 137 2" xfId="9565"/>
    <cellStyle name="20% - Accent6 137 2 2" xfId="9566"/>
    <cellStyle name="20% - Accent6 137 3" xfId="9567"/>
    <cellStyle name="20% - Accent6 137 3 2" xfId="9568"/>
    <cellStyle name="20% - Accent6 137 4" xfId="9569"/>
    <cellStyle name="20% - Accent6 138" xfId="9570"/>
    <cellStyle name="20% - Accent6 138 2" xfId="9571"/>
    <cellStyle name="20% - Accent6 138 2 2" xfId="9572"/>
    <cellStyle name="20% - Accent6 138 3" xfId="9573"/>
    <cellStyle name="20% - Accent6 138 3 2" xfId="9574"/>
    <cellStyle name="20% - Accent6 138 4" xfId="9575"/>
    <cellStyle name="20% - Accent6 139" xfId="9576"/>
    <cellStyle name="20% - Accent6 139 2" xfId="9577"/>
    <cellStyle name="20% - Accent6 139 2 2" xfId="9578"/>
    <cellStyle name="20% - Accent6 139 3" xfId="9579"/>
    <cellStyle name="20% - Accent6 139 3 2" xfId="9580"/>
    <cellStyle name="20% - Accent6 139 4" xfId="9581"/>
    <cellStyle name="20% - Accent6 14" xfId="9582"/>
    <cellStyle name="20% - Accent6 14 2" xfId="9583"/>
    <cellStyle name="20% - Accent6 14 2 2" xfId="9584"/>
    <cellStyle name="20% - Accent6 14 2 2 2" xfId="9585"/>
    <cellStyle name="20% - Accent6 14 2 3" xfId="9586"/>
    <cellStyle name="20% - Accent6 14 2 3 2" xfId="9587"/>
    <cellStyle name="20% - Accent6 14 2 4" xfId="9588"/>
    <cellStyle name="20% - Accent6 14 3" xfId="9589"/>
    <cellStyle name="20% - Accent6 14 3 2" xfId="9590"/>
    <cellStyle name="20% - Accent6 14 3 2 2" xfId="9591"/>
    <cellStyle name="20% - Accent6 14 3 3" xfId="9592"/>
    <cellStyle name="20% - Accent6 14 3 3 2" xfId="9593"/>
    <cellStyle name="20% - Accent6 14 3 4" xfId="9594"/>
    <cellStyle name="20% - Accent6 14 4" xfId="9595"/>
    <cellStyle name="20% - Accent6 14 4 2" xfId="9596"/>
    <cellStyle name="20% - Accent6 14 5" xfId="9597"/>
    <cellStyle name="20% - Accent6 14 5 2" xfId="9598"/>
    <cellStyle name="20% - Accent6 14 6" xfId="9599"/>
    <cellStyle name="20% - Accent6 140" xfId="9600"/>
    <cellStyle name="20% - Accent6 140 2" xfId="9601"/>
    <cellStyle name="20% - Accent6 140 2 2" xfId="9602"/>
    <cellStyle name="20% - Accent6 140 3" xfId="9603"/>
    <cellStyle name="20% - Accent6 140 3 2" xfId="9604"/>
    <cellStyle name="20% - Accent6 140 4" xfId="9605"/>
    <cellStyle name="20% - Accent6 141" xfId="9606"/>
    <cellStyle name="20% - Accent6 141 2" xfId="9607"/>
    <cellStyle name="20% - Accent6 141 2 2" xfId="9608"/>
    <cellStyle name="20% - Accent6 141 3" xfId="9609"/>
    <cellStyle name="20% - Accent6 141 3 2" xfId="9610"/>
    <cellStyle name="20% - Accent6 141 4" xfId="9611"/>
    <cellStyle name="20% - Accent6 142" xfId="9612"/>
    <cellStyle name="20% - Accent6 142 2" xfId="9613"/>
    <cellStyle name="20% - Accent6 142 2 2" xfId="9614"/>
    <cellStyle name="20% - Accent6 142 3" xfId="9615"/>
    <cellStyle name="20% - Accent6 142 3 2" xfId="9616"/>
    <cellStyle name="20% - Accent6 142 4" xfId="9617"/>
    <cellStyle name="20% - Accent6 143" xfId="9618"/>
    <cellStyle name="20% - Accent6 143 2" xfId="9619"/>
    <cellStyle name="20% - Accent6 143 2 2" xfId="9620"/>
    <cellStyle name="20% - Accent6 143 3" xfId="9621"/>
    <cellStyle name="20% - Accent6 143 3 2" xfId="9622"/>
    <cellStyle name="20% - Accent6 143 4" xfId="9623"/>
    <cellStyle name="20% - Accent6 144" xfId="9624"/>
    <cellStyle name="20% - Accent6 144 2" xfId="9625"/>
    <cellStyle name="20% - Accent6 144 2 2" xfId="9626"/>
    <cellStyle name="20% - Accent6 144 3" xfId="9627"/>
    <cellStyle name="20% - Accent6 144 3 2" xfId="9628"/>
    <cellStyle name="20% - Accent6 144 4" xfId="9629"/>
    <cellStyle name="20% - Accent6 145" xfId="9630"/>
    <cellStyle name="20% - Accent6 145 2" xfId="9631"/>
    <cellStyle name="20% - Accent6 145 2 2" xfId="9632"/>
    <cellStyle name="20% - Accent6 145 3" xfId="9633"/>
    <cellStyle name="20% - Accent6 145 3 2" xfId="9634"/>
    <cellStyle name="20% - Accent6 145 4" xfId="9635"/>
    <cellStyle name="20% - Accent6 146" xfId="9636"/>
    <cellStyle name="20% - Accent6 146 2" xfId="9637"/>
    <cellStyle name="20% - Accent6 146 2 2" xfId="9638"/>
    <cellStyle name="20% - Accent6 146 3" xfId="9639"/>
    <cellStyle name="20% - Accent6 146 3 2" xfId="9640"/>
    <cellStyle name="20% - Accent6 146 4" xfId="9641"/>
    <cellStyle name="20% - Accent6 147" xfId="9642"/>
    <cellStyle name="20% - Accent6 147 2" xfId="9643"/>
    <cellStyle name="20% - Accent6 147 2 2" xfId="9644"/>
    <cellStyle name="20% - Accent6 147 3" xfId="9645"/>
    <cellStyle name="20% - Accent6 147 3 2" xfId="9646"/>
    <cellStyle name="20% - Accent6 147 4" xfId="9647"/>
    <cellStyle name="20% - Accent6 148" xfId="9648"/>
    <cellStyle name="20% - Accent6 148 2" xfId="9649"/>
    <cellStyle name="20% - Accent6 148 2 2" xfId="9650"/>
    <cellStyle name="20% - Accent6 148 3" xfId="9651"/>
    <cellStyle name="20% - Accent6 148 3 2" xfId="9652"/>
    <cellStyle name="20% - Accent6 148 4" xfId="9653"/>
    <cellStyle name="20% - Accent6 149" xfId="9654"/>
    <cellStyle name="20% - Accent6 149 2" xfId="9655"/>
    <cellStyle name="20% - Accent6 149 2 2" xfId="9656"/>
    <cellStyle name="20% - Accent6 149 3" xfId="9657"/>
    <cellStyle name="20% - Accent6 149 3 2" xfId="9658"/>
    <cellStyle name="20% - Accent6 149 4" xfId="9659"/>
    <cellStyle name="20% - Accent6 15" xfId="9660"/>
    <cellStyle name="20% - Accent6 15 2" xfId="9661"/>
    <cellStyle name="20% - Accent6 15 2 2" xfId="9662"/>
    <cellStyle name="20% - Accent6 15 2 2 2" xfId="9663"/>
    <cellStyle name="20% - Accent6 15 2 3" xfId="9664"/>
    <cellStyle name="20% - Accent6 15 2 3 2" xfId="9665"/>
    <cellStyle name="20% - Accent6 15 2 4" xfId="9666"/>
    <cellStyle name="20% - Accent6 15 3" xfId="9667"/>
    <cellStyle name="20% - Accent6 15 3 2" xfId="9668"/>
    <cellStyle name="20% - Accent6 15 3 2 2" xfId="9669"/>
    <cellStyle name="20% - Accent6 15 3 3" xfId="9670"/>
    <cellStyle name="20% - Accent6 15 3 3 2" xfId="9671"/>
    <cellStyle name="20% - Accent6 15 3 4" xfId="9672"/>
    <cellStyle name="20% - Accent6 15 4" xfId="9673"/>
    <cellStyle name="20% - Accent6 15 4 2" xfId="9674"/>
    <cellStyle name="20% - Accent6 15 5" xfId="9675"/>
    <cellStyle name="20% - Accent6 15 5 2" xfId="9676"/>
    <cellStyle name="20% - Accent6 15 6" xfId="9677"/>
    <cellStyle name="20% - Accent6 150" xfId="9678"/>
    <cellStyle name="20% - Accent6 150 2" xfId="9679"/>
    <cellStyle name="20% - Accent6 150 2 2" xfId="9680"/>
    <cellStyle name="20% - Accent6 150 3" xfId="9681"/>
    <cellStyle name="20% - Accent6 150 3 2" xfId="9682"/>
    <cellStyle name="20% - Accent6 150 4" xfId="9683"/>
    <cellStyle name="20% - Accent6 151" xfId="9684"/>
    <cellStyle name="20% - Accent6 151 2" xfId="9685"/>
    <cellStyle name="20% - Accent6 151 2 2" xfId="9686"/>
    <cellStyle name="20% - Accent6 151 3" xfId="9687"/>
    <cellStyle name="20% - Accent6 151 3 2" xfId="9688"/>
    <cellStyle name="20% - Accent6 151 4" xfId="9689"/>
    <cellStyle name="20% - Accent6 152" xfId="9690"/>
    <cellStyle name="20% - Accent6 152 2" xfId="9691"/>
    <cellStyle name="20% - Accent6 152 2 2" xfId="9692"/>
    <cellStyle name="20% - Accent6 152 3" xfId="9693"/>
    <cellStyle name="20% - Accent6 152 3 2" xfId="9694"/>
    <cellStyle name="20% - Accent6 152 4" xfId="9695"/>
    <cellStyle name="20% - Accent6 153" xfId="9696"/>
    <cellStyle name="20% - Accent6 153 2" xfId="9697"/>
    <cellStyle name="20% - Accent6 153 2 2" xfId="9698"/>
    <cellStyle name="20% - Accent6 153 3" xfId="9699"/>
    <cellStyle name="20% - Accent6 153 3 2" xfId="9700"/>
    <cellStyle name="20% - Accent6 153 4" xfId="9701"/>
    <cellStyle name="20% - Accent6 154" xfId="9702"/>
    <cellStyle name="20% - Accent6 154 2" xfId="9703"/>
    <cellStyle name="20% - Accent6 154 2 2" xfId="9704"/>
    <cellStyle name="20% - Accent6 154 3" xfId="9705"/>
    <cellStyle name="20% - Accent6 154 3 2" xfId="9706"/>
    <cellStyle name="20% - Accent6 154 4" xfId="9707"/>
    <cellStyle name="20% - Accent6 155" xfId="9708"/>
    <cellStyle name="20% - Accent6 155 2" xfId="9709"/>
    <cellStyle name="20% - Accent6 155 2 2" xfId="9710"/>
    <cellStyle name="20% - Accent6 155 3" xfId="9711"/>
    <cellStyle name="20% - Accent6 155 3 2" xfId="9712"/>
    <cellStyle name="20% - Accent6 155 4" xfId="9713"/>
    <cellStyle name="20% - Accent6 156" xfId="9714"/>
    <cellStyle name="20% - Accent6 156 2" xfId="9715"/>
    <cellStyle name="20% - Accent6 156 2 2" xfId="9716"/>
    <cellStyle name="20% - Accent6 156 3" xfId="9717"/>
    <cellStyle name="20% - Accent6 156 3 2" xfId="9718"/>
    <cellStyle name="20% - Accent6 156 4" xfId="9719"/>
    <cellStyle name="20% - Accent6 157" xfId="9720"/>
    <cellStyle name="20% - Accent6 157 2" xfId="9721"/>
    <cellStyle name="20% - Accent6 157 2 2" xfId="9722"/>
    <cellStyle name="20% - Accent6 157 3" xfId="9723"/>
    <cellStyle name="20% - Accent6 157 3 2" xfId="9724"/>
    <cellStyle name="20% - Accent6 157 4" xfId="9725"/>
    <cellStyle name="20% - Accent6 158" xfId="9726"/>
    <cellStyle name="20% - Accent6 158 2" xfId="9727"/>
    <cellStyle name="20% - Accent6 158 2 2" xfId="9728"/>
    <cellStyle name="20% - Accent6 158 3" xfId="9729"/>
    <cellStyle name="20% - Accent6 158 3 2" xfId="9730"/>
    <cellStyle name="20% - Accent6 158 4" xfId="9731"/>
    <cellStyle name="20% - Accent6 159" xfId="9732"/>
    <cellStyle name="20% - Accent6 159 2" xfId="9733"/>
    <cellStyle name="20% - Accent6 159 2 2" xfId="9734"/>
    <cellStyle name="20% - Accent6 159 3" xfId="9735"/>
    <cellStyle name="20% - Accent6 159 3 2" xfId="9736"/>
    <cellStyle name="20% - Accent6 159 4" xfId="9737"/>
    <cellStyle name="20% - Accent6 16" xfId="9738"/>
    <cellStyle name="20% - Accent6 16 2" xfId="9739"/>
    <cellStyle name="20% - Accent6 16 2 2" xfId="9740"/>
    <cellStyle name="20% - Accent6 16 2 2 2" xfId="9741"/>
    <cellStyle name="20% - Accent6 16 2 3" xfId="9742"/>
    <cellStyle name="20% - Accent6 16 2 3 2" xfId="9743"/>
    <cellStyle name="20% - Accent6 16 2 4" xfId="9744"/>
    <cellStyle name="20% - Accent6 16 3" xfId="9745"/>
    <cellStyle name="20% - Accent6 16 3 2" xfId="9746"/>
    <cellStyle name="20% - Accent6 16 3 2 2" xfId="9747"/>
    <cellStyle name="20% - Accent6 16 3 3" xfId="9748"/>
    <cellStyle name="20% - Accent6 16 3 3 2" xfId="9749"/>
    <cellStyle name="20% - Accent6 16 3 4" xfId="9750"/>
    <cellStyle name="20% - Accent6 16 4" xfId="9751"/>
    <cellStyle name="20% - Accent6 16 4 2" xfId="9752"/>
    <cellStyle name="20% - Accent6 16 5" xfId="9753"/>
    <cellStyle name="20% - Accent6 16 5 2" xfId="9754"/>
    <cellStyle name="20% - Accent6 16 6" xfId="9755"/>
    <cellStyle name="20% - Accent6 160" xfId="9756"/>
    <cellStyle name="20% - Accent6 160 2" xfId="9757"/>
    <cellStyle name="20% - Accent6 160 2 2" xfId="9758"/>
    <cellStyle name="20% - Accent6 160 3" xfId="9759"/>
    <cellStyle name="20% - Accent6 160 3 2" xfId="9760"/>
    <cellStyle name="20% - Accent6 160 4" xfId="9761"/>
    <cellStyle name="20% - Accent6 161" xfId="9762"/>
    <cellStyle name="20% - Accent6 161 2" xfId="9763"/>
    <cellStyle name="20% - Accent6 161 2 2" xfId="9764"/>
    <cellStyle name="20% - Accent6 161 3" xfId="9765"/>
    <cellStyle name="20% - Accent6 161 3 2" xfId="9766"/>
    <cellStyle name="20% - Accent6 161 4" xfId="9767"/>
    <cellStyle name="20% - Accent6 162" xfId="9768"/>
    <cellStyle name="20% - Accent6 162 2" xfId="9769"/>
    <cellStyle name="20% - Accent6 162 2 2" xfId="9770"/>
    <cellStyle name="20% - Accent6 162 3" xfId="9771"/>
    <cellStyle name="20% - Accent6 162 3 2" xfId="9772"/>
    <cellStyle name="20% - Accent6 162 4" xfId="9773"/>
    <cellStyle name="20% - Accent6 163" xfId="9774"/>
    <cellStyle name="20% - Accent6 163 2" xfId="9775"/>
    <cellStyle name="20% - Accent6 163 2 2" xfId="9776"/>
    <cellStyle name="20% - Accent6 163 3" xfId="9777"/>
    <cellStyle name="20% - Accent6 163 3 2" xfId="9778"/>
    <cellStyle name="20% - Accent6 163 4" xfId="9779"/>
    <cellStyle name="20% - Accent6 164" xfId="9780"/>
    <cellStyle name="20% - Accent6 164 2" xfId="9781"/>
    <cellStyle name="20% - Accent6 164 2 2" xfId="9782"/>
    <cellStyle name="20% - Accent6 164 3" xfId="9783"/>
    <cellStyle name="20% - Accent6 164 3 2" xfId="9784"/>
    <cellStyle name="20% - Accent6 164 4" xfId="9785"/>
    <cellStyle name="20% - Accent6 165" xfId="9786"/>
    <cellStyle name="20% - Accent6 165 2" xfId="9787"/>
    <cellStyle name="20% - Accent6 165 2 2" xfId="9788"/>
    <cellStyle name="20% - Accent6 165 3" xfId="9789"/>
    <cellStyle name="20% - Accent6 165 3 2" xfId="9790"/>
    <cellStyle name="20% - Accent6 165 4" xfId="9791"/>
    <cellStyle name="20% - Accent6 166" xfId="9792"/>
    <cellStyle name="20% - Accent6 166 2" xfId="9793"/>
    <cellStyle name="20% - Accent6 166 2 2" xfId="9794"/>
    <cellStyle name="20% - Accent6 166 3" xfId="9795"/>
    <cellStyle name="20% - Accent6 166 3 2" xfId="9796"/>
    <cellStyle name="20% - Accent6 166 4" xfId="9797"/>
    <cellStyle name="20% - Accent6 167" xfId="9798"/>
    <cellStyle name="20% - Accent6 167 2" xfId="9799"/>
    <cellStyle name="20% - Accent6 167 2 2" xfId="9800"/>
    <cellStyle name="20% - Accent6 167 3" xfId="9801"/>
    <cellStyle name="20% - Accent6 167 3 2" xfId="9802"/>
    <cellStyle name="20% - Accent6 167 4" xfId="9803"/>
    <cellStyle name="20% - Accent6 168" xfId="9804"/>
    <cellStyle name="20% - Accent6 168 2" xfId="9805"/>
    <cellStyle name="20% - Accent6 168 2 2" xfId="9806"/>
    <cellStyle name="20% - Accent6 168 3" xfId="9807"/>
    <cellStyle name="20% - Accent6 168 3 2" xfId="9808"/>
    <cellStyle name="20% - Accent6 168 4" xfId="9809"/>
    <cellStyle name="20% - Accent6 169" xfId="9810"/>
    <cellStyle name="20% - Accent6 169 2" xfId="9811"/>
    <cellStyle name="20% - Accent6 169 2 2" xfId="9812"/>
    <cellStyle name="20% - Accent6 169 3" xfId="9813"/>
    <cellStyle name="20% - Accent6 169 3 2" xfId="9814"/>
    <cellStyle name="20% - Accent6 169 4" xfId="9815"/>
    <cellStyle name="20% - Accent6 17" xfId="9816"/>
    <cellStyle name="20% - Accent6 17 2" xfId="9817"/>
    <cellStyle name="20% - Accent6 17 2 2" xfId="9818"/>
    <cellStyle name="20% - Accent6 17 2 2 2" xfId="9819"/>
    <cellStyle name="20% - Accent6 17 2 3" xfId="9820"/>
    <cellStyle name="20% - Accent6 17 2 3 2" xfId="9821"/>
    <cellStyle name="20% - Accent6 17 2 4" xfId="9822"/>
    <cellStyle name="20% - Accent6 17 3" xfId="9823"/>
    <cellStyle name="20% - Accent6 17 3 2" xfId="9824"/>
    <cellStyle name="20% - Accent6 17 3 2 2" xfId="9825"/>
    <cellStyle name="20% - Accent6 17 3 3" xfId="9826"/>
    <cellStyle name="20% - Accent6 17 3 3 2" xfId="9827"/>
    <cellStyle name="20% - Accent6 17 3 4" xfId="9828"/>
    <cellStyle name="20% - Accent6 17 4" xfId="9829"/>
    <cellStyle name="20% - Accent6 17 4 2" xfId="9830"/>
    <cellStyle name="20% - Accent6 17 5" xfId="9831"/>
    <cellStyle name="20% - Accent6 17 5 2" xfId="9832"/>
    <cellStyle name="20% - Accent6 17 6" xfId="9833"/>
    <cellStyle name="20% - Accent6 170" xfId="9834"/>
    <cellStyle name="20% - Accent6 170 2" xfId="9835"/>
    <cellStyle name="20% - Accent6 170 2 2" xfId="9836"/>
    <cellStyle name="20% - Accent6 170 3" xfId="9837"/>
    <cellStyle name="20% - Accent6 170 3 2" xfId="9838"/>
    <cellStyle name="20% - Accent6 170 4" xfId="9839"/>
    <cellStyle name="20% - Accent6 171" xfId="9840"/>
    <cellStyle name="20% - Accent6 171 2" xfId="9841"/>
    <cellStyle name="20% - Accent6 171 2 2" xfId="9842"/>
    <cellStyle name="20% - Accent6 171 3" xfId="9843"/>
    <cellStyle name="20% - Accent6 171 3 2" xfId="9844"/>
    <cellStyle name="20% - Accent6 171 4" xfId="9845"/>
    <cellStyle name="20% - Accent6 172" xfId="9846"/>
    <cellStyle name="20% - Accent6 172 2" xfId="9847"/>
    <cellStyle name="20% - Accent6 172 2 2" xfId="9848"/>
    <cellStyle name="20% - Accent6 172 3" xfId="9849"/>
    <cellStyle name="20% - Accent6 172 3 2" xfId="9850"/>
    <cellStyle name="20% - Accent6 172 4" xfId="9851"/>
    <cellStyle name="20% - Accent6 173" xfId="9852"/>
    <cellStyle name="20% - Accent6 173 2" xfId="9853"/>
    <cellStyle name="20% - Accent6 173 2 2" xfId="9854"/>
    <cellStyle name="20% - Accent6 173 3" xfId="9855"/>
    <cellStyle name="20% - Accent6 173 3 2" xfId="9856"/>
    <cellStyle name="20% - Accent6 173 4" xfId="9857"/>
    <cellStyle name="20% - Accent6 174" xfId="9858"/>
    <cellStyle name="20% - Accent6 174 2" xfId="9859"/>
    <cellStyle name="20% - Accent6 174 2 2" xfId="9860"/>
    <cellStyle name="20% - Accent6 174 3" xfId="9861"/>
    <cellStyle name="20% - Accent6 174 3 2" xfId="9862"/>
    <cellStyle name="20% - Accent6 174 4" xfId="9863"/>
    <cellStyle name="20% - Accent6 175" xfId="9864"/>
    <cellStyle name="20% - Accent6 175 2" xfId="9865"/>
    <cellStyle name="20% - Accent6 175 2 2" xfId="9866"/>
    <cellStyle name="20% - Accent6 175 3" xfId="9867"/>
    <cellStyle name="20% - Accent6 175 3 2" xfId="9868"/>
    <cellStyle name="20% - Accent6 175 4" xfId="9869"/>
    <cellStyle name="20% - Accent6 176" xfId="9870"/>
    <cellStyle name="20% - Accent6 176 2" xfId="9871"/>
    <cellStyle name="20% - Accent6 176 2 2" xfId="9872"/>
    <cellStyle name="20% - Accent6 176 3" xfId="9873"/>
    <cellStyle name="20% - Accent6 176 3 2" xfId="9874"/>
    <cellStyle name="20% - Accent6 176 4" xfId="9875"/>
    <cellStyle name="20% - Accent6 177" xfId="9876"/>
    <cellStyle name="20% - Accent6 177 2" xfId="9877"/>
    <cellStyle name="20% - Accent6 177 2 2" xfId="9878"/>
    <cellStyle name="20% - Accent6 177 3" xfId="9879"/>
    <cellStyle name="20% - Accent6 177 3 2" xfId="9880"/>
    <cellStyle name="20% - Accent6 177 4" xfId="9881"/>
    <cellStyle name="20% - Accent6 178" xfId="9882"/>
    <cellStyle name="20% - Accent6 178 2" xfId="9883"/>
    <cellStyle name="20% - Accent6 178 2 2" xfId="9884"/>
    <cellStyle name="20% - Accent6 178 3" xfId="9885"/>
    <cellStyle name="20% - Accent6 178 3 2" xfId="9886"/>
    <cellStyle name="20% - Accent6 178 4" xfId="9887"/>
    <cellStyle name="20% - Accent6 179" xfId="9888"/>
    <cellStyle name="20% - Accent6 179 2" xfId="9889"/>
    <cellStyle name="20% - Accent6 179 2 2" xfId="9890"/>
    <cellStyle name="20% - Accent6 179 3" xfId="9891"/>
    <cellStyle name="20% - Accent6 179 3 2" xfId="9892"/>
    <cellStyle name="20% - Accent6 179 4" xfId="9893"/>
    <cellStyle name="20% - Accent6 18" xfId="9894"/>
    <cellStyle name="20% - Accent6 18 2" xfId="9895"/>
    <cellStyle name="20% - Accent6 18 2 2" xfId="9896"/>
    <cellStyle name="20% - Accent6 18 2 2 2" xfId="9897"/>
    <cellStyle name="20% - Accent6 18 2 3" xfId="9898"/>
    <cellStyle name="20% - Accent6 18 2 3 2" xfId="9899"/>
    <cellStyle name="20% - Accent6 18 2 4" xfId="9900"/>
    <cellStyle name="20% - Accent6 18 3" xfId="9901"/>
    <cellStyle name="20% - Accent6 18 3 2" xfId="9902"/>
    <cellStyle name="20% - Accent6 18 3 2 2" xfId="9903"/>
    <cellStyle name="20% - Accent6 18 3 3" xfId="9904"/>
    <cellStyle name="20% - Accent6 18 3 3 2" xfId="9905"/>
    <cellStyle name="20% - Accent6 18 3 4" xfId="9906"/>
    <cellStyle name="20% - Accent6 18 4" xfId="9907"/>
    <cellStyle name="20% - Accent6 18 4 2" xfId="9908"/>
    <cellStyle name="20% - Accent6 18 5" xfId="9909"/>
    <cellStyle name="20% - Accent6 18 5 2" xfId="9910"/>
    <cellStyle name="20% - Accent6 18 6" xfId="9911"/>
    <cellStyle name="20% - Accent6 180" xfId="9912"/>
    <cellStyle name="20% - Accent6 180 2" xfId="9913"/>
    <cellStyle name="20% - Accent6 180 2 2" xfId="9914"/>
    <cellStyle name="20% - Accent6 180 3" xfId="9915"/>
    <cellStyle name="20% - Accent6 180 3 2" xfId="9916"/>
    <cellStyle name="20% - Accent6 180 4" xfId="9917"/>
    <cellStyle name="20% - Accent6 181" xfId="9918"/>
    <cellStyle name="20% - Accent6 181 2" xfId="9919"/>
    <cellStyle name="20% - Accent6 181 2 2" xfId="9920"/>
    <cellStyle name="20% - Accent6 181 3" xfId="9921"/>
    <cellStyle name="20% - Accent6 181 3 2" xfId="9922"/>
    <cellStyle name="20% - Accent6 181 4" xfId="9923"/>
    <cellStyle name="20% - Accent6 182" xfId="9924"/>
    <cellStyle name="20% - Accent6 182 2" xfId="9925"/>
    <cellStyle name="20% - Accent6 182 2 2" xfId="9926"/>
    <cellStyle name="20% - Accent6 182 3" xfId="9927"/>
    <cellStyle name="20% - Accent6 182 3 2" xfId="9928"/>
    <cellStyle name="20% - Accent6 182 4" xfId="9929"/>
    <cellStyle name="20% - Accent6 183" xfId="9930"/>
    <cellStyle name="20% - Accent6 183 2" xfId="9931"/>
    <cellStyle name="20% - Accent6 183 2 2" xfId="9932"/>
    <cellStyle name="20% - Accent6 183 3" xfId="9933"/>
    <cellStyle name="20% - Accent6 183 3 2" xfId="9934"/>
    <cellStyle name="20% - Accent6 183 4" xfId="9935"/>
    <cellStyle name="20% - Accent6 184" xfId="9936"/>
    <cellStyle name="20% - Accent6 184 2" xfId="9937"/>
    <cellStyle name="20% - Accent6 184 2 2" xfId="9938"/>
    <cellStyle name="20% - Accent6 184 3" xfId="9939"/>
    <cellStyle name="20% - Accent6 184 3 2" xfId="9940"/>
    <cellStyle name="20% - Accent6 184 4" xfId="9941"/>
    <cellStyle name="20% - Accent6 185" xfId="9942"/>
    <cellStyle name="20% - Accent6 185 2" xfId="9943"/>
    <cellStyle name="20% - Accent6 185 2 2" xfId="9944"/>
    <cellStyle name="20% - Accent6 185 3" xfId="9945"/>
    <cellStyle name="20% - Accent6 185 3 2" xfId="9946"/>
    <cellStyle name="20% - Accent6 185 4" xfId="9947"/>
    <cellStyle name="20% - Accent6 186" xfId="9948"/>
    <cellStyle name="20% - Accent6 186 2" xfId="9949"/>
    <cellStyle name="20% - Accent6 186 2 2" xfId="9950"/>
    <cellStyle name="20% - Accent6 186 3" xfId="9951"/>
    <cellStyle name="20% - Accent6 186 3 2" xfId="9952"/>
    <cellStyle name="20% - Accent6 186 4" xfId="9953"/>
    <cellStyle name="20% - Accent6 187" xfId="9954"/>
    <cellStyle name="20% - Accent6 187 2" xfId="9955"/>
    <cellStyle name="20% - Accent6 187 2 2" xfId="9956"/>
    <cellStyle name="20% - Accent6 187 3" xfId="9957"/>
    <cellStyle name="20% - Accent6 187 3 2" xfId="9958"/>
    <cellStyle name="20% - Accent6 187 4" xfId="9959"/>
    <cellStyle name="20% - Accent6 188" xfId="9960"/>
    <cellStyle name="20% - Accent6 188 2" xfId="9961"/>
    <cellStyle name="20% - Accent6 188 2 2" xfId="9962"/>
    <cellStyle name="20% - Accent6 188 3" xfId="9963"/>
    <cellStyle name="20% - Accent6 188 3 2" xfId="9964"/>
    <cellStyle name="20% - Accent6 188 4" xfId="9965"/>
    <cellStyle name="20% - Accent6 189" xfId="9966"/>
    <cellStyle name="20% - Accent6 189 2" xfId="9967"/>
    <cellStyle name="20% - Accent6 189 2 2" xfId="9968"/>
    <cellStyle name="20% - Accent6 189 3" xfId="9969"/>
    <cellStyle name="20% - Accent6 189 3 2" xfId="9970"/>
    <cellStyle name="20% - Accent6 189 4" xfId="9971"/>
    <cellStyle name="20% - Accent6 19" xfId="9972"/>
    <cellStyle name="20% - Accent6 19 2" xfId="9973"/>
    <cellStyle name="20% - Accent6 19 2 2" xfId="9974"/>
    <cellStyle name="20% - Accent6 19 2 2 2" xfId="9975"/>
    <cellStyle name="20% - Accent6 19 2 3" xfId="9976"/>
    <cellStyle name="20% - Accent6 19 2 3 2" xfId="9977"/>
    <cellStyle name="20% - Accent6 19 2 4" xfId="9978"/>
    <cellStyle name="20% - Accent6 19 3" xfId="9979"/>
    <cellStyle name="20% - Accent6 19 3 2" xfId="9980"/>
    <cellStyle name="20% - Accent6 19 3 2 2" xfId="9981"/>
    <cellStyle name="20% - Accent6 19 3 3" xfId="9982"/>
    <cellStyle name="20% - Accent6 19 3 3 2" xfId="9983"/>
    <cellStyle name="20% - Accent6 19 3 4" xfId="9984"/>
    <cellStyle name="20% - Accent6 19 4" xfId="9985"/>
    <cellStyle name="20% - Accent6 19 4 2" xfId="9986"/>
    <cellStyle name="20% - Accent6 19 5" xfId="9987"/>
    <cellStyle name="20% - Accent6 19 5 2" xfId="9988"/>
    <cellStyle name="20% - Accent6 19 6" xfId="9989"/>
    <cellStyle name="20% - Accent6 190" xfId="9990"/>
    <cellStyle name="20% - Accent6 190 2" xfId="9991"/>
    <cellStyle name="20% - Accent6 190 2 2" xfId="9992"/>
    <cellStyle name="20% - Accent6 190 3" xfId="9993"/>
    <cellStyle name="20% - Accent6 190 3 2" xfId="9994"/>
    <cellStyle name="20% - Accent6 190 4" xfId="9995"/>
    <cellStyle name="20% - Accent6 191" xfId="9996"/>
    <cellStyle name="20% - Accent6 191 2" xfId="9997"/>
    <cellStyle name="20% - Accent6 191 2 2" xfId="9998"/>
    <cellStyle name="20% - Accent6 191 3" xfId="9999"/>
    <cellStyle name="20% - Accent6 191 3 2" xfId="10000"/>
    <cellStyle name="20% - Accent6 191 4" xfId="10001"/>
    <cellStyle name="20% - Accent6 192" xfId="10002"/>
    <cellStyle name="20% - Accent6 192 2" xfId="10003"/>
    <cellStyle name="20% - Accent6 192 2 2" xfId="10004"/>
    <cellStyle name="20% - Accent6 192 3" xfId="10005"/>
    <cellStyle name="20% - Accent6 192 3 2" xfId="10006"/>
    <cellStyle name="20% - Accent6 192 4" xfId="10007"/>
    <cellStyle name="20% - Accent6 193" xfId="10008"/>
    <cellStyle name="20% - Accent6 193 2" xfId="10009"/>
    <cellStyle name="20% - Accent6 193 2 2" xfId="10010"/>
    <cellStyle name="20% - Accent6 193 3" xfId="10011"/>
    <cellStyle name="20% - Accent6 193 3 2" xfId="10012"/>
    <cellStyle name="20% - Accent6 193 4" xfId="10013"/>
    <cellStyle name="20% - Accent6 194" xfId="10014"/>
    <cellStyle name="20% - Accent6 194 2" xfId="10015"/>
    <cellStyle name="20% - Accent6 194 2 2" xfId="10016"/>
    <cellStyle name="20% - Accent6 194 3" xfId="10017"/>
    <cellStyle name="20% - Accent6 194 3 2" xfId="10018"/>
    <cellStyle name="20% - Accent6 194 4" xfId="10019"/>
    <cellStyle name="20% - Accent6 195" xfId="10020"/>
    <cellStyle name="20% - Accent6 195 2" xfId="10021"/>
    <cellStyle name="20% - Accent6 195 2 2" xfId="10022"/>
    <cellStyle name="20% - Accent6 195 3" xfId="10023"/>
    <cellStyle name="20% - Accent6 195 3 2" xfId="10024"/>
    <cellStyle name="20% - Accent6 195 4" xfId="10025"/>
    <cellStyle name="20% - Accent6 196" xfId="10026"/>
    <cellStyle name="20% - Accent6 196 2" xfId="10027"/>
    <cellStyle name="20% - Accent6 196 2 2" xfId="10028"/>
    <cellStyle name="20% - Accent6 196 3" xfId="10029"/>
    <cellStyle name="20% - Accent6 196 3 2" xfId="10030"/>
    <cellStyle name="20% - Accent6 196 4" xfId="10031"/>
    <cellStyle name="20% - Accent6 197" xfId="10032"/>
    <cellStyle name="20% - Accent6 197 2" xfId="10033"/>
    <cellStyle name="20% - Accent6 197 2 2" xfId="10034"/>
    <cellStyle name="20% - Accent6 197 3" xfId="10035"/>
    <cellStyle name="20% - Accent6 197 3 2" xfId="10036"/>
    <cellStyle name="20% - Accent6 197 4" xfId="10037"/>
    <cellStyle name="20% - Accent6 198" xfId="10038"/>
    <cellStyle name="20% - Accent6 198 2" xfId="10039"/>
    <cellStyle name="20% - Accent6 198 2 2" xfId="10040"/>
    <cellStyle name="20% - Accent6 198 3" xfId="10041"/>
    <cellStyle name="20% - Accent6 198 3 2" xfId="10042"/>
    <cellStyle name="20% - Accent6 198 4" xfId="10043"/>
    <cellStyle name="20% - Accent6 199" xfId="10044"/>
    <cellStyle name="20% - Accent6 199 2" xfId="10045"/>
    <cellStyle name="20% - Accent6 199 2 2" xfId="10046"/>
    <cellStyle name="20% - Accent6 199 3" xfId="10047"/>
    <cellStyle name="20% - Accent6 199 3 2" xfId="10048"/>
    <cellStyle name="20% - Accent6 199 4" xfId="10049"/>
    <cellStyle name="20% - Accent6 2" xfId="10050"/>
    <cellStyle name="20% - Accent6 2 2" xfId="10051"/>
    <cellStyle name="20% - Accent6 2 2 2" xfId="10052"/>
    <cellStyle name="20% - Accent6 2 2 2 2" xfId="10053"/>
    <cellStyle name="20% - Accent6 2 2 3" xfId="10054"/>
    <cellStyle name="20% - Accent6 2 2 3 2" xfId="10055"/>
    <cellStyle name="20% - Accent6 2 2 4" xfId="10056"/>
    <cellStyle name="20% - Accent6 2 3" xfId="10057"/>
    <cellStyle name="20% - Accent6 2 3 2" xfId="10058"/>
    <cellStyle name="20% - Accent6 2 3 2 2" xfId="10059"/>
    <cellStyle name="20% - Accent6 2 3 3" xfId="10060"/>
    <cellStyle name="20% - Accent6 2 3 3 2" xfId="10061"/>
    <cellStyle name="20% - Accent6 2 3 4" xfId="10062"/>
    <cellStyle name="20% - Accent6 2 4" xfId="10063"/>
    <cellStyle name="20% - Accent6 2 4 2" xfId="10064"/>
    <cellStyle name="20% - Accent6 2 5" xfId="10065"/>
    <cellStyle name="20% - Accent6 2 5 2" xfId="10066"/>
    <cellStyle name="20% - Accent6 2 6" xfId="10067"/>
    <cellStyle name="20% - Accent6 20" xfId="10068"/>
    <cellStyle name="20% - Accent6 20 2" xfId="10069"/>
    <cellStyle name="20% - Accent6 20 2 2" xfId="10070"/>
    <cellStyle name="20% - Accent6 20 2 2 2" xfId="10071"/>
    <cellStyle name="20% - Accent6 20 2 3" xfId="10072"/>
    <cellStyle name="20% - Accent6 20 2 3 2" xfId="10073"/>
    <cellStyle name="20% - Accent6 20 2 4" xfId="10074"/>
    <cellStyle name="20% - Accent6 20 3" xfId="10075"/>
    <cellStyle name="20% - Accent6 20 3 2" xfId="10076"/>
    <cellStyle name="20% - Accent6 20 3 2 2" xfId="10077"/>
    <cellStyle name="20% - Accent6 20 3 3" xfId="10078"/>
    <cellStyle name="20% - Accent6 20 3 3 2" xfId="10079"/>
    <cellStyle name="20% - Accent6 20 3 4" xfId="10080"/>
    <cellStyle name="20% - Accent6 20 4" xfId="10081"/>
    <cellStyle name="20% - Accent6 20 4 2" xfId="10082"/>
    <cellStyle name="20% - Accent6 20 5" xfId="10083"/>
    <cellStyle name="20% - Accent6 20 5 2" xfId="10084"/>
    <cellStyle name="20% - Accent6 20 6" xfId="10085"/>
    <cellStyle name="20% - Accent6 200" xfId="10086"/>
    <cellStyle name="20% - Accent6 200 2" xfId="10087"/>
    <cellStyle name="20% - Accent6 200 2 2" xfId="10088"/>
    <cellStyle name="20% - Accent6 200 3" xfId="10089"/>
    <cellStyle name="20% - Accent6 200 3 2" xfId="10090"/>
    <cellStyle name="20% - Accent6 200 4" xfId="10091"/>
    <cellStyle name="20% - Accent6 201" xfId="10092"/>
    <cellStyle name="20% - Accent6 201 2" xfId="10093"/>
    <cellStyle name="20% - Accent6 201 2 2" xfId="10094"/>
    <cellStyle name="20% - Accent6 201 3" xfId="10095"/>
    <cellStyle name="20% - Accent6 201 3 2" xfId="10096"/>
    <cellStyle name="20% - Accent6 201 4" xfId="10097"/>
    <cellStyle name="20% - Accent6 202" xfId="10098"/>
    <cellStyle name="20% - Accent6 202 2" xfId="10099"/>
    <cellStyle name="20% - Accent6 202 2 2" xfId="10100"/>
    <cellStyle name="20% - Accent6 202 3" xfId="10101"/>
    <cellStyle name="20% - Accent6 202 3 2" xfId="10102"/>
    <cellStyle name="20% - Accent6 202 4" xfId="10103"/>
    <cellStyle name="20% - Accent6 203" xfId="10104"/>
    <cellStyle name="20% - Accent6 203 2" xfId="10105"/>
    <cellStyle name="20% - Accent6 203 2 2" xfId="10106"/>
    <cellStyle name="20% - Accent6 203 3" xfId="10107"/>
    <cellStyle name="20% - Accent6 203 3 2" xfId="10108"/>
    <cellStyle name="20% - Accent6 203 4" xfId="10109"/>
    <cellStyle name="20% - Accent6 204" xfId="10110"/>
    <cellStyle name="20% - Accent6 204 2" xfId="10111"/>
    <cellStyle name="20% - Accent6 204 2 2" xfId="10112"/>
    <cellStyle name="20% - Accent6 204 3" xfId="10113"/>
    <cellStyle name="20% - Accent6 204 3 2" xfId="10114"/>
    <cellStyle name="20% - Accent6 204 4" xfId="10115"/>
    <cellStyle name="20% - Accent6 205" xfId="10116"/>
    <cellStyle name="20% - Accent6 205 2" xfId="10117"/>
    <cellStyle name="20% - Accent6 205 2 2" xfId="10118"/>
    <cellStyle name="20% - Accent6 205 3" xfId="10119"/>
    <cellStyle name="20% - Accent6 205 3 2" xfId="10120"/>
    <cellStyle name="20% - Accent6 205 4" xfId="10121"/>
    <cellStyle name="20% - Accent6 206" xfId="10122"/>
    <cellStyle name="20% - Accent6 206 2" xfId="10123"/>
    <cellStyle name="20% - Accent6 206 2 2" xfId="10124"/>
    <cellStyle name="20% - Accent6 206 3" xfId="10125"/>
    <cellStyle name="20% - Accent6 206 3 2" xfId="10126"/>
    <cellStyle name="20% - Accent6 206 4" xfId="10127"/>
    <cellStyle name="20% - Accent6 207" xfId="10128"/>
    <cellStyle name="20% - Accent6 207 2" xfId="10129"/>
    <cellStyle name="20% - Accent6 207 2 2" xfId="10130"/>
    <cellStyle name="20% - Accent6 207 3" xfId="10131"/>
    <cellStyle name="20% - Accent6 207 3 2" xfId="10132"/>
    <cellStyle name="20% - Accent6 207 4" xfId="10133"/>
    <cellStyle name="20% - Accent6 208" xfId="10134"/>
    <cellStyle name="20% - Accent6 208 2" xfId="10135"/>
    <cellStyle name="20% - Accent6 208 2 2" xfId="10136"/>
    <cellStyle name="20% - Accent6 208 3" xfId="10137"/>
    <cellStyle name="20% - Accent6 208 3 2" xfId="10138"/>
    <cellStyle name="20% - Accent6 208 4" xfId="10139"/>
    <cellStyle name="20% - Accent6 209" xfId="10140"/>
    <cellStyle name="20% - Accent6 209 2" xfId="10141"/>
    <cellStyle name="20% - Accent6 209 2 2" xfId="10142"/>
    <cellStyle name="20% - Accent6 209 3" xfId="10143"/>
    <cellStyle name="20% - Accent6 209 3 2" xfId="10144"/>
    <cellStyle name="20% - Accent6 209 4" xfId="10145"/>
    <cellStyle name="20% - Accent6 21" xfId="10146"/>
    <cellStyle name="20% - Accent6 21 2" xfId="10147"/>
    <cellStyle name="20% - Accent6 21 2 2" xfId="10148"/>
    <cellStyle name="20% - Accent6 21 2 2 2" xfId="10149"/>
    <cellStyle name="20% - Accent6 21 2 3" xfId="10150"/>
    <cellStyle name="20% - Accent6 21 2 3 2" xfId="10151"/>
    <cellStyle name="20% - Accent6 21 2 4" xfId="10152"/>
    <cellStyle name="20% - Accent6 21 3" xfId="10153"/>
    <cellStyle name="20% - Accent6 21 3 2" xfId="10154"/>
    <cellStyle name="20% - Accent6 21 3 2 2" xfId="10155"/>
    <cellStyle name="20% - Accent6 21 3 3" xfId="10156"/>
    <cellStyle name="20% - Accent6 21 3 3 2" xfId="10157"/>
    <cellStyle name="20% - Accent6 21 3 4" xfId="10158"/>
    <cellStyle name="20% - Accent6 21 4" xfId="10159"/>
    <cellStyle name="20% - Accent6 21 4 2" xfId="10160"/>
    <cellStyle name="20% - Accent6 21 5" xfId="10161"/>
    <cellStyle name="20% - Accent6 21 5 2" xfId="10162"/>
    <cellStyle name="20% - Accent6 21 6" xfId="10163"/>
    <cellStyle name="20% - Accent6 210" xfId="10164"/>
    <cellStyle name="20% - Accent6 210 2" xfId="10165"/>
    <cellStyle name="20% - Accent6 210 2 2" xfId="10166"/>
    <cellStyle name="20% - Accent6 210 3" xfId="10167"/>
    <cellStyle name="20% - Accent6 210 3 2" xfId="10168"/>
    <cellStyle name="20% - Accent6 210 4" xfId="10169"/>
    <cellStyle name="20% - Accent6 211" xfId="10170"/>
    <cellStyle name="20% - Accent6 211 2" xfId="10171"/>
    <cellStyle name="20% - Accent6 211 2 2" xfId="10172"/>
    <cellStyle name="20% - Accent6 211 3" xfId="10173"/>
    <cellStyle name="20% - Accent6 211 3 2" xfId="10174"/>
    <cellStyle name="20% - Accent6 211 4" xfId="10175"/>
    <cellStyle name="20% - Accent6 212" xfId="10176"/>
    <cellStyle name="20% - Accent6 212 2" xfId="10177"/>
    <cellStyle name="20% - Accent6 212 2 2" xfId="10178"/>
    <cellStyle name="20% - Accent6 212 3" xfId="10179"/>
    <cellStyle name="20% - Accent6 212 3 2" xfId="10180"/>
    <cellStyle name="20% - Accent6 212 4" xfId="10181"/>
    <cellStyle name="20% - Accent6 213" xfId="10182"/>
    <cellStyle name="20% - Accent6 213 2" xfId="10183"/>
    <cellStyle name="20% - Accent6 213 2 2" xfId="10184"/>
    <cellStyle name="20% - Accent6 213 3" xfId="10185"/>
    <cellStyle name="20% - Accent6 213 3 2" xfId="10186"/>
    <cellStyle name="20% - Accent6 213 4" xfId="10187"/>
    <cellStyle name="20% - Accent6 214" xfId="10188"/>
    <cellStyle name="20% - Accent6 214 2" xfId="10189"/>
    <cellStyle name="20% - Accent6 214 2 2" xfId="10190"/>
    <cellStyle name="20% - Accent6 214 3" xfId="10191"/>
    <cellStyle name="20% - Accent6 214 3 2" xfId="10192"/>
    <cellStyle name="20% - Accent6 214 4" xfId="10193"/>
    <cellStyle name="20% - Accent6 215" xfId="10194"/>
    <cellStyle name="20% - Accent6 215 2" xfId="10195"/>
    <cellStyle name="20% - Accent6 215 2 2" xfId="10196"/>
    <cellStyle name="20% - Accent6 215 3" xfId="10197"/>
    <cellStyle name="20% - Accent6 215 3 2" xfId="10198"/>
    <cellStyle name="20% - Accent6 215 4" xfId="10199"/>
    <cellStyle name="20% - Accent6 216" xfId="10200"/>
    <cellStyle name="20% - Accent6 216 2" xfId="10201"/>
    <cellStyle name="20% - Accent6 216 2 2" xfId="10202"/>
    <cellStyle name="20% - Accent6 216 3" xfId="10203"/>
    <cellStyle name="20% - Accent6 216 3 2" xfId="10204"/>
    <cellStyle name="20% - Accent6 216 4" xfId="10205"/>
    <cellStyle name="20% - Accent6 217" xfId="10206"/>
    <cellStyle name="20% - Accent6 217 2" xfId="10207"/>
    <cellStyle name="20% - Accent6 217 2 2" xfId="10208"/>
    <cellStyle name="20% - Accent6 217 3" xfId="10209"/>
    <cellStyle name="20% - Accent6 217 3 2" xfId="10210"/>
    <cellStyle name="20% - Accent6 217 4" xfId="10211"/>
    <cellStyle name="20% - Accent6 218" xfId="10212"/>
    <cellStyle name="20% - Accent6 218 2" xfId="10213"/>
    <cellStyle name="20% - Accent6 218 2 2" xfId="10214"/>
    <cellStyle name="20% - Accent6 218 3" xfId="10215"/>
    <cellStyle name="20% - Accent6 218 3 2" xfId="10216"/>
    <cellStyle name="20% - Accent6 218 4" xfId="10217"/>
    <cellStyle name="20% - Accent6 219" xfId="10218"/>
    <cellStyle name="20% - Accent6 219 2" xfId="10219"/>
    <cellStyle name="20% - Accent6 219 2 2" xfId="10220"/>
    <cellStyle name="20% - Accent6 219 3" xfId="10221"/>
    <cellStyle name="20% - Accent6 219 3 2" xfId="10222"/>
    <cellStyle name="20% - Accent6 219 4" xfId="10223"/>
    <cellStyle name="20% - Accent6 22" xfId="10224"/>
    <cellStyle name="20% - Accent6 22 2" xfId="10225"/>
    <cellStyle name="20% - Accent6 22 2 2" xfId="10226"/>
    <cellStyle name="20% - Accent6 22 2 2 2" xfId="10227"/>
    <cellStyle name="20% - Accent6 22 2 3" xfId="10228"/>
    <cellStyle name="20% - Accent6 22 2 3 2" xfId="10229"/>
    <cellStyle name="20% - Accent6 22 2 4" xfId="10230"/>
    <cellStyle name="20% - Accent6 22 3" xfId="10231"/>
    <cellStyle name="20% - Accent6 22 3 2" xfId="10232"/>
    <cellStyle name="20% - Accent6 22 3 2 2" xfId="10233"/>
    <cellStyle name="20% - Accent6 22 3 3" xfId="10234"/>
    <cellStyle name="20% - Accent6 22 3 3 2" xfId="10235"/>
    <cellStyle name="20% - Accent6 22 3 4" xfId="10236"/>
    <cellStyle name="20% - Accent6 22 4" xfId="10237"/>
    <cellStyle name="20% - Accent6 22 4 2" xfId="10238"/>
    <cellStyle name="20% - Accent6 22 5" xfId="10239"/>
    <cellStyle name="20% - Accent6 22 5 2" xfId="10240"/>
    <cellStyle name="20% - Accent6 22 6" xfId="10241"/>
    <cellStyle name="20% - Accent6 220" xfId="10242"/>
    <cellStyle name="20% - Accent6 220 2" xfId="10243"/>
    <cellStyle name="20% - Accent6 220 2 2" xfId="10244"/>
    <cellStyle name="20% - Accent6 220 3" xfId="10245"/>
    <cellStyle name="20% - Accent6 220 3 2" xfId="10246"/>
    <cellStyle name="20% - Accent6 220 4" xfId="10247"/>
    <cellStyle name="20% - Accent6 221" xfId="10248"/>
    <cellStyle name="20% - Accent6 221 2" xfId="10249"/>
    <cellStyle name="20% - Accent6 221 2 2" xfId="10250"/>
    <cellStyle name="20% - Accent6 221 3" xfId="10251"/>
    <cellStyle name="20% - Accent6 221 3 2" xfId="10252"/>
    <cellStyle name="20% - Accent6 221 4" xfId="10253"/>
    <cellStyle name="20% - Accent6 222" xfId="10254"/>
    <cellStyle name="20% - Accent6 222 2" xfId="10255"/>
    <cellStyle name="20% - Accent6 223" xfId="10256"/>
    <cellStyle name="20% - Accent6 223 2" xfId="10257"/>
    <cellStyle name="20% - Accent6 224" xfId="10258"/>
    <cellStyle name="20% - Accent6 23" xfId="10259"/>
    <cellStyle name="20% - Accent6 23 2" xfId="10260"/>
    <cellStyle name="20% - Accent6 23 2 2" xfId="10261"/>
    <cellStyle name="20% - Accent6 23 2 2 2" xfId="10262"/>
    <cellStyle name="20% - Accent6 23 2 3" xfId="10263"/>
    <cellStyle name="20% - Accent6 23 2 3 2" xfId="10264"/>
    <cellStyle name="20% - Accent6 23 2 4" xfId="10265"/>
    <cellStyle name="20% - Accent6 23 3" xfId="10266"/>
    <cellStyle name="20% - Accent6 23 3 2" xfId="10267"/>
    <cellStyle name="20% - Accent6 23 3 2 2" xfId="10268"/>
    <cellStyle name="20% - Accent6 23 3 3" xfId="10269"/>
    <cellStyle name="20% - Accent6 23 3 3 2" xfId="10270"/>
    <cellStyle name="20% - Accent6 23 3 4" xfId="10271"/>
    <cellStyle name="20% - Accent6 23 4" xfId="10272"/>
    <cellStyle name="20% - Accent6 23 4 2" xfId="10273"/>
    <cellStyle name="20% - Accent6 23 5" xfId="10274"/>
    <cellStyle name="20% - Accent6 23 5 2" xfId="10275"/>
    <cellStyle name="20% - Accent6 23 6" xfId="10276"/>
    <cellStyle name="20% - Accent6 24" xfId="10277"/>
    <cellStyle name="20% - Accent6 24 2" xfId="10278"/>
    <cellStyle name="20% - Accent6 24 2 2" xfId="10279"/>
    <cellStyle name="20% - Accent6 24 2 2 2" xfId="10280"/>
    <cellStyle name="20% - Accent6 24 2 3" xfId="10281"/>
    <cellStyle name="20% - Accent6 24 2 3 2" xfId="10282"/>
    <cellStyle name="20% - Accent6 24 2 4" xfId="10283"/>
    <cellStyle name="20% - Accent6 24 3" xfId="10284"/>
    <cellStyle name="20% - Accent6 24 3 2" xfId="10285"/>
    <cellStyle name="20% - Accent6 24 3 2 2" xfId="10286"/>
    <cellStyle name="20% - Accent6 24 3 3" xfId="10287"/>
    <cellStyle name="20% - Accent6 24 3 3 2" xfId="10288"/>
    <cellStyle name="20% - Accent6 24 3 4" xfId="10289"/>
    <cellStyle name="20% - Accent6 24 4" xfId="10290"/>
    <cellStyle name="20% - Accent6 24 4 2" xfId="10291"/>
    <cellStyle name="20% - Accent6 24 5" xfId="10292"/>
    <cellStyle name="20% - Accent6 24 5 2" xfId="10293"/>
    <cellStyle name="20% - Accent6 24 6" xfId="10294"/>
    <cellStyle name="20% - Accent6 24 7" xfId="10295"/>
    <cellStyle name="20% - Accent6 25" xfId="10296"/>
    <cellStyle name="20% - Accent6 25 2" xfId="10297"/>
    <cellStyle name="20% - Accent6 25 2 2" xfId="10298"/>
    <cellStyle name="20% - Accent6 25 2 2 2" xfId="10299"/>
    <cellStyle name="20% - Accent6 25 2 3" xfId="10300"/>
    <cellStyle name="20% - Accent6 25 2 3 2" xfId="10301"/>
    <cellStyle name="20% - Accent6 25 2 4" xfId="10302"/>
    <cellStyle name="20% - Accent6 25 3" xfId="10303"/>
    <cellStyle name="20% - Accent6 25 3 2" xfId="10304"/>
    <cellStyle name="20% - Accent6 25 3 2 2" xfId="10305"/>
    <cellStyle name="20% - Accent6 25 3 3" xfId="10306"/>
    <cellStyle name="20% - Accent6 25 3 3 2" xfId="10307"/>
    <cellStyle name="20% - Accent6 25 3 4" xfId="10308"/>
    <cellStyle name="20% - Accent6 25 4" xfId="10309"/>
    <cellStyle name="20% - Accent6 25 4 2" xfId="10310"/>
    <cellStyle name="20% - Accent6 25 5" xfId="10311"/>
    <cellStyle name="20% - Accent6 25 5 2" xfId="10312"/>
    <cellStyle name="20% - Accent6 25 6" xfId="10313"/>
    <cellStyle name="20% - Accent6 25 7" xfId="10314"/>
    <cellStyle name="20% - Accent6 26" xfId="10315"/>
    <cellStyle name="20% - Accent6 26 2" xfId="10316"/>
    <cellStyle name="20% - Accent6 26 2 2" xfId="10317"/>
    <cellStyle name="20% - Accent6 26 2 2 2" xfId="10318"/>
    <cellStyle name="20% - Accent6 26 2 3" xfId="10319"/>
    <cellStyle name="20% - Accent6 26 2 3 2" xfId="10320"/>
    <cellStyle name="20% - Accent6 26 2 4" xfId="10321"/>
    <cellStyle name="20% - Accent6 26 3" xfId="10322"/>
    <cellStyle name="20% - Accent6 26 3 2" xfId="10323"/>
    <cellStyle name="20% - Accent6 26 3 2 2" xfId="10324"/>
    <cellStyle name="20% - Accent6 26 3 3" xfId="10325"/>
    <cellStyle name="20% - Accent6 26 3 3 2" xfId="10326"/>
    <cellStyle name="20% - Accent6 26 3 4" xfId="10327"/>
    <cellStyle name="20% - Accent6 26 4" xfId="10328"/>
    <cellStyle name="20% - Accent6 26 4 2" xfId="10329"/>
    <cellStyle name="20% - Accent6 26 5" xfId="10330"/>
    <cellStyle name="20% - Accent6 26 5 2" xfId="10331"/>
    <cellStyle name="20% - Accent6 26 6" xfId="10332"/>
    <cellStyle name="20% - Accent6 26 7" xfId="10333"/>
    <cellStyle name="20% - Accent6 27" xfId="10334"/>
    <cellStyle name="20% - Accent6 27 2" xfId="10335"/>
    <cellStyle name="20% - Accent6 27 2 2" xfId="10336"/>
    <cellStyle name="20% - Accent6 27 2 2 2" xfId="10337"/>
    <cellStyle name="20% - Accent6 27 2 3" xfId="10338"/>
    <cellStyle name="20% - Accent6 27 2 3 2" xfId="10339"/>
    <cellStyle name="20% - Accent6 27 2 4" xfId="10340"/>
    <cellStyle name="20% - Accent6 27 3" xfId="10341"/>
    <cellStyle name="20% - Accent6 27 3 2" xfId="10342"/>
    <cellStyle name="20% - Accent6 27 3 2 2" xfId="10343"/>
    <cellStyle name="20% - Accent6 27 3 3" xfId="10344"/>
    <cellStyle name="20% - Accent6 27 3 3 2" xfId="10345"/>
    <cellStyle name="20% - Accent6 27 3 4" xfId="10346"/>
    <cellStyle name="20% - Accent6 27 4" xfId="10347"/>
    <cellStyle name="20% - Accent6 27 4 2" xfId="10348"/>
    <cellStyle name="20% - Accent6 27 5" xfId="10349"/>
    <cellStyle name="20% - Accent6 27 5 2" xfId="10350"/>
    <cellStyle name="20% - Accent6 27 6" xfId="10351"/>
    <cellStyle name="20% - Accent6 27 7" xfId="10352"/>
    <cellStyle name="20% - Accent6 28" xfId="10353"/>
    <cellStyle name="20% - Accent6 28 2" xfId="10354"/>
    <cellStyle name="20% - Accent6 28 2 2" xfId="10355"/>
    <cellStyle name="20% - Accent6 28 2 2 2" xfId="10356"/>
    <cellStyle name="20% - Accent6 28 2 3" xfId="10357"/>
    <cellStyle name="20% - Accent6 28 2 3 2" xfId="10358"/>
    <cellStyle name="20% - Accent6 28 2 4" xfId="10359"/>
    <cellStyle name="20% - Accent6 28 3" xfId="10360"/>
    <cellStyle name="20% - Accent6 28 3 2" xfId="10361"/>
    <cellStyle name="20% - Accent6 28 3 2 2" xfId="10362"/>
    <cellStyle name="20% - Accent6 28 3 3" xfId="10363"/>
    <cellStyle name="20% - Accent6 28 3 3 2" xfId="10364"/>
    <cellStyle name="20% - Accent6 28 3 4" xfId="10365"/>
    <cellStyle name="20% - Accent6 28 4" xfId="10366"/>
    <cellStyle name="20% - Accent6 28 4 2" xfId="10367"/>
    <cellStyle name="20% - Accent6 28 5" xfId="10368"/>
    <cellStyle name="20% - Accent6 28 5 2" xfId="10369"/>
    <cellStyle name="20% - Accent6 28 6" xfId="10370"/>
    <cellStyle name="20% - Accent6 28 7" xfId="10371"/>
    <cellStyle name="20% - Accent6 29" xfId="10372"/>
    <cellStyle name="20% - Accent6 29 2" xfId="10373"/>
    <cellStyle name="20% - Accent6 29 2 2" xfId="10374"/>
    <cellStyle name="20% - Accent6 29 2 2 2" xfId="10375"/>
    <cellStyle name="20% - Accent6 29 2 3" xfId="10376"/>
    <cellStyle name="20% - Accent6 29 2 3 2" xfId="10377"/>
    <cellStyle name="20% - Accent6 29 2 4" xfId="10378"/>
    <cellStyle name="20% - Accent6 29 3" xfId="10379"/>
    <cellStyle name="20% - Accent6 29 3 2" xfId="10380"/>
    <cellStyle name="20% - Accent6 29 3 2 2" xfId="10381"/>
    <cellStyle name="20% - Accent6 29 3 3" xfId="10382"/>
    <cellStyle name="20% - Accent6 29 3 3 2" xfId="10383"/>
    <cellStyle name="20% - Accent6 29 3 4" xfId="10384"/>
    <cellStyle name="20% - Accent6 29 4" xfId="10385"/>
    <cellStyle name="20% - Accent6 29 4 2" xfId="10386"/>
    <cellStyle name="20% - Accent6 29 5" xfId="10387"/>
    <cellStyle name="20% - Accent6 29 5 2" xfId="10388"/>
    <cellStyle name="20% - Accent6 29 6" xfId="10389"/>
    <cellStyle name="20% - Accent6 29 7" xfId="10390"/>
    <cellStyle name="20% - Accent6 3" xfId="10391"/>
    <cellStyle name="20% - Accent6 3 2" xfId="10392"/>
    <cellStyle name="20% - Accent6 3 2 2" xfId="10393"/>
    <cellStyle name="20% - Accent6 3 2 2 2" xfId="10394"/>
    <cellStyle name="20% - Accent6 3 2 3" xfId="10395"/>
    <cellStyle name="20% - Accent6 3 2 3 2" xfId="10396"/>
    <cellStyle name="20% - Accent6 3 2 4" xfId="10397"/>
    <cellStyle name="20% - Accent6 3 3" xfId="10398"/>
    <cellStyle name="20% - Accent6 3 3 2" xfId="10399"/>
    <cellStyle name="20% - Accent6 3 3 2 2" xfId="10400"/>
    <cellStyle name="20% - Accent6 3 3 3" xfId="10401"/>
    <cellStyle name="20% - Accent6 3 3 3 2" xfId="10402"/>
    <cellStyle name="20% - Accent6 3 3 4" xfId="10403"/>
    <cellStyle name="20% - Accent6 3 4" xfId="10404"/>
    <cellStyle name="20% - Accent6 3 4 2" xfId="10405"/>
    <cellStyle name="20% - Accent6 3 5" xfId="10406"/>
    <cellStyle name="20% - Accent6 3 5 2" xfId="10407"/>
    <cellStyle name="20% - Accent6 3 6" xfId="10408"/>
    <cellStyle name="20% - Accent6 30" xfId="10409"/>
    <cellStyle name="20% - Accent6 30 2" xfId="10410"/>
    <cellStyle name="20% - Accent6 30 2 2" xfId="10411"/>
    <cellStyle name="20% - Accent6 30 2 2 2" xfId="10412"/>
    <cellStyle name="20% - Accent6 30 2 3" xfId="10413"/>
    <cellStyle name="20% - Accent6 30 2 3 2" xfId="10414"/>
    <cellStyle name="20% - Accent6 30 2 4" xfId="10415"/>
    <cellStyle name="20% - Accent6 30 3" xfId="10416"/>
    <cellStyle name="20% - Accent6 30 3 2" xfId="10417"/>
    <cellStyle name="20% - Accent6 30 3 2 2" xfId="10418"/>
    <cellStyle name="20% - Accent6 30 3 3" xfId="10419"/>
    <cellStyle name="20% - Accent6 30 3 3 2" xfId="10420"/>
    <cellStyle name="20% - Accent6 30 3 4" xfId="10421"/>
    <cellStyle name="20% - Accent6 30 4" xfId="10422"/>
    <cellStyle name="20% - Accent6 30 4 2" xfId="10423"/>
    <cellStyle name="20% - Accent6 30 5" xfId="10424"/>
    <cellStyle name="20% - Accent6 30 5 2" xfId="10425"/>
    <cellStyle name="20% - Accent6 30 6" xfId="10426"/>
    <cellStyle name="20% - Accent6 30 7" xfId="10427"/>
    <cellStyle name="20% - Accent6 31" xfId="10428"/>
    <cellStyle name="20% - Accent6 31 2" xfId="10429"/>
    <cellStyle name="20% - Accent6 31 2 2" xfId="10430"/>
    <cellStyle name="20% - Accent6 31 2 2 2" xfId="10431"/>
    <cellStyle name="20% - Accent6 31 2 3" xfId="10432"/>
    <cellStyle name="20% - Accent6 31 2 3 2" xfId="10433"/>
    <cellStyle name="20% - Accent6 31 2 4" xfId="10434"/>
    <cellStyle name="20% - Accent6 31 3" xfId="10435"/>
    <cellStyle name="20% - Accent6 31 3 2" xfId="10436"/>
    <cellStyle name="20% - Accent6 31 3 2 2" xfId="10437"/>
    <cellStyle name="20% - Accent6 31 3 3" xfId="10438"/>
    <cellStyle name="20% - Accent6 31 3 3 2" xfId="10439"/>
    <cellStyle name="20% - Accent6 31 3 4" xfId="10440"/>
    <cellStyle name="20% - Accent6 31 4" xfId="10441"/>
    <cellStyle name="20% - Accent6 31 4 2" xfId="10442"/>
    <cellStyle name="20% - Accent6 31 5" xfId="10443"/>
    <cellStyle name="20% - Accent6 31 5 2" xfId="10444"/>
    <cellStyle name="20% - Accent6 31 6" xfId="10445"/>
    <cellStyle name="20% - Accent6 31 7" xfId="10446"/>
    <cellStyle name="20% - Accent6 32" xfId="10447"/>
    <cellStyle name="20% - Accent6 32 2" xfId="10448"/>
    <cellStyle name="20% - Accent6 32 2 2" xfId="10449"/>
    <cellStyle name="20% - Accent6 32 2 2 2" xfId="10450"/>
    <cellStyle name="20% - Accent6 32 2 3" xfId="10451"/>
    <cellStyle name="20% - Accent6 32 2 3 2" xfId="10452"/>
    <cellStyle name="20% - Accent6 32 2 4" xfId="10453"/>
    <cellStyle name="20% - Accent6 32 3" xfId="10454"/>
    <cellStyle name="20% - Accent6 32 3 2" xfId="10455"/>
    <cellStyle name="20% - Accent6 32 3 2 2" xfId="10456"/>
    <cellStyle name="20% - Accent6 32 3 3" xfId="10457"/>
    <cellStyle name="20% - Accent6 32 3 3 2" xfId="10458"/>
    <cellStyle name="20% - Accent6 32 3 4" xfId="10459"/>
    <cellStyle name="20% - Accent6 32 4" xfId="10460"/>
    <cellStyle name="20% - Accent6 32 4 2" xfId="10461"/>
    <cellStyle name="20% - Accent6 32 5" xfId="10462"/>
    <cellStyle name="20% - Accent6 32 5 2" xfId="10463"/>
    <cellStyle name="20% - Accent6 32 6" xfId="10464"/>
    <cellStyle name="20% - Accent6 32 7" xfId="10465"/>
    <cellStyle name="20% - Accent6 33" xfId="10466"/>
    <cellStyle name="20% - Accent6 33 2" xfId="10467"/>
    <cellStyle name="20% - Accent6 33 2 2" xfId="10468"/>
    <cellStyle name="20% - Accent6 33 2 2 2" xfId="10469"/>
    <cellStyle name="20% - Accent6 33 2 3" xfId="10470"/>
    <cellStyle name="20% - Accent6 33 2 3 2" xfId="10471"/>
    <cellStyle name="20% - Accent6 33 2 4" xfId="10472"/>
    <cellStyle name="20% - Accent6 33 3" xfId="10473"/>
    <cellStyle name="20% - Accent6 33 3 2" xfId="10474"/>
    <cellStyle name="20% - Accent6 33 3 2 2" xfId="10475"/>
    <cellStyle name="20% - Accent6 33 3 3" xfId="10476"/>
    <cellStyle name="20% - Accent6 33 3 3 2" xfId="10477"/>
    <cellStyle name="20% - Accent6 33 3 4" xfId="10478"/>
    <cellStyle name="20% - Accent6 33 4" xfId="10479"/>
    <cellStyle name="20% - Accent6 33 4 2" xfId="10480"/>
    <cellStyle name="20% - Accent6 33 5" xfId="10481"/>
    <cellStyle name="20% - Accent6 33 5 2" xfId="10482"/>
    <cellStyle name="20% - Accent6 33 6" xfId="10483"/>
    <cellStyle name="20% - Accent6 33 7" xfId="10484"/>
    <cellStyle name="20% - Accent6 34" xfId="10485"/>
    <cellStyle name="20% - Accent6 34 2" xfId="10486"/>
    <cellStyle name="20% - Accent6 34 2 2" xfId="10487"/>
    <cellStyle name="20% - Accent6 34 2 2 2" xfId="10488"/>
    <cellStyle name="20% - Accent6 34 2 3" xfId="10489"/>
    <cellStyle name="20% - Accent6 34 2 3 2" xfId="10490"/>
    <cellStyle name="20% - Accent6 34 2 4" xfId="10491"/>
    <cellStyle name="20% - Accent6 34 3" xfId="10492"/>
    <cellStyle name="20% - Accent6 34 3 2" xfId="10493"/>
    <cellStyle name="20% - Accent6 34 3 2 2" xfId="10494"/>
    <cellStyle name="20% - Accent6 34 3 3" xfId="10495"/>
    <cellStyle name="20% - Accent6 34 3 3 2" xfId="10496"/>
    <cellStyle name="20% - Accent6 34 3 4" xfId="10497"/>
    <cellStyle name="20% - Accent6 34 4" xfId="10498"/>
    <cellStyle name="20% - Accent6 34 4 2" xfId="10499"/>
    <cellStyle name="20% - Accent6 34 5" xfId="10500"/>
    <cellStyle name="20% - Accent6 34 5 2" xfId="10501"/>
    <cellStyle name="20% - Accent6 34 6" xfId="10502"/>
    <cellStyle name="20% - Accent6 34 7" xfId="10503"/>
    <cellStyle name="20% - Accent6 35" xfId="10504"/>
    <cellStyle name="20% - Accent6 35 2" xfId="10505"/>
    <cellStyle name="20% - Accent6 35 2 2" xfId="10506"/>
    <cellStyle name="20% - Accent6 35 2 2 2" xfId="10507"/>
    <cellStyle name="20% - Accent6 35 2 3" xfId="10508"/>
    <cellStyle name="20% - Accent6 35 2 3 2" xfId="10509"/>
    <cellStyle name="20% - Accent6 35 2 4" xfId="10510"/>
    <cellStyle name="20% - Accent6 35 3" xfId="10511"/>
    <cellStyle name="20% - Accent6 35 3 2" xfId="10512"/>
    <cellStyle name="20% - Accent6 35 3 2 2" xfId="10513"/>
    <cellStyle name="20% - Accent6 35 3 3" xfId="10514"/>
    <cellStyle name="20% - Accent6 35 3 3 2" xfId="10515"/>
    <cellStyle name="20% - Accent6 35 3 4" xfId="10516"/>
    <cellStyle name="20% - Accent6 35 4" xfId="10517"/>
    <cellStyle name="20% - Accent6 35 4 2" xfId="10518"/>
    <cellStyle name="20% - Accent6 35 5" xfId="10519"/>
    <cellStyle name="20% - Accent6 35 5 2" xfId="10520"/>
    <cellStyle name="20% - Accent6 35 6" xfId="10521"/>
    <cellStyle name="20% - Accent6 35 7" xfId="10522"/>
    <cellStyle name="20% - Accent6 36" xfId="10523"/>
    <cellStyle name="20% - Accent6 36 2" xfId="10524"/>
    <cellStyle name="20% - Accent6 36 2 2" xfId="10525"/>
    <cellStyle name="20% - Accent6 36 2 2 2" xfId="10526"/>
    <cellStyle name="20% - Accent6 36 2 3" xfId="10527"/>
    <cellStyle name="20% - Accent6 36 2 3 2" xfId="10528"/>
    <cellStyle name="20% - Accent6 36 2 4" xfId="10529"/>
    <cellStyle name="20% - Accent6 36 3" xfId="10530"/>
    <cellStyle name="20% - Accent6 36 3 2" xfId="10531"/>
    <cellStyle name="20% - Accent6 36 3 2 2" xfId="10532"/>
    <cellStyle name="20% - Accent6 36 3 3" xfId="10533"/>
    <cellStyle name="20% - Accent6 36 3 3 2" xfId="10534"/>
    <cellStyle name="20% - Accent6 36 3 4" xfId="10535"/>
    <cellStyle name="20% - Accent6 36 4" xfId="10536"/>
    <cellStyle name="20% - Accent6 36 4 2" xfId="10537"/>
    <cellStyle name="20% - Accent6 36 5" xfId="10538"/>
    <cellStyle name="20% - Accent6 36 5 2" xfId="10539"/>
    <cellStyle name="20% - Accent6 36 6" xfId="10540"/>
    <cellStyle name="20% - Accent6 36 7" xfId="10541"/>
    <cellStyle name="20% - Accent6 37" xfId="10542"/>
    <cellStyle name="20% - Accent6 37 2" xfId="10543"/>
    <cellStyle name="20% - Accent6 37 2 2" xfId="10544"/>
    <cellStyle name="20% - Accent6 37 2 2 2" xfId="10545"/>
    <cellStyle name="20% - Accent6 37 2 3" xfId="10546"/>
    <cellStyle name="20% - Accent6 37 2 3 2" xfId="10547"/>
    <cellStyle name="20% - Accent6 37 2 4" xfId="10548"/>
    <cellStyle name="20% - Accent6 37 3" xfId="10549"/>
    <cellStyle name="20% - Accent6 37 3 2" xfId="10550"/>
    <cellStyle name="20% - Accent6 37 3 2 2" xfId="10551"/>
    <cellStyle name="20% - Accent6 37 3 3" xfId="10552"/>
    <cellStyle name="20% - Accent6 37 3 3 2" xfId="10553"/>
    <cellStyle name="20% - Accent6 37 3 4" xfId="10554"/>
    <cellStyle name="20% - Accent6 37 4" xfId="10555"/>
    <cellStyle name="20% - Accent6 37 4 2" xfId="10556"/>
    <cellStyle name="20% - Accent6 37 5" xfId="10557"/>
    <cellStyle name="20% - Accent6 37 5 2" xfId="10558"/>
    <cellStyle name="20% - Accent6 37 6" xfId="10559"/>
    <cellStyle name="20% - Accent6 37 7" xfId="10560"/>
    <cellStyle name="20% - Accent6 38" xfId="10561"/>
    <cellStyle name="20% - Accent6 38 2" xfId="10562"/>
    <cellStyle name="20% - Accent6 38 2 2" xfId="10563"/>
    <cellStyle name="20% - Accent6 38 2 2 2" xfId="10564"/>
    <cellStyle name="20% - Accent6 38 2 3" xfId="10565"/>
    <cellStyle name="20% - Accent6 38 2 3 2" xfId="10566"/>
    <cellStyle name="20% - Accent6 38 2 4" xfId="10567"/>
    <cellStyle name="20% - Accent6 38 3" xfId="10568"/>
    <cellStyle name="20% - Accent6 38 3 2" xfId="10569"/>
    <cellStyle name="20% - Accent6 38 3 2 2" xfId="10570"/>
    <cellStyle name="20% - Accent6 38 3 3" xfId="10571"/>
    <cellStyle name="20% - Accent6 38 3 3 2" xfId="10572"/>
    <cellStyle name="20% - Accent6 38 3 4" xfId="10573"/>
    <cellStyle name="20% - Accent6 38 4" xfId="10574"/>
    <cellStyle name="20% - Accent6 38 4 2" xfId="10575"/>
    <cellStyle name="20% - Accent6 38 5" xfId="10576"/>
    <cellStyle name="20% - Accent6 38 5 2" xfId="10577"/>
    <cellStyle name="20% - Accent6 38 6" xfId="10578"/>
    <cellStyle name="20% - Accent6 38 7" xfId="10579"/>
    <cellStyle name="20% - Accent6 39" xfId="10580"/>
    <cellStyle name="20% - Accent6 39 2" xfId="10581"/>
    <cellStyle name="20% - Accent6 39 2 2" xfId="10582"/>
    <cellStyle name="20% - Accent6 39 2 2 2" xfId="10583"/>
    <cellStyle name="20% - Accent6 39 2 3" xfId="10584"/>
    <cellStyle name="20% - Accent6 39 2 3 2" xfId="10585"/>
    <cellStyle name="20% - Accent6 39 2 4" xfId="10586"/>
    <cellStyle name="20% - Accent6 39 3" xfId="10587"/>
    <cellStyle name="20% - Accent6 39 3 2" xfId="10588"/>
    <cellStyle name="20% - Accent6 39 3 2 2" xfId="10589"/>
    <cellStyle name="20% - Accent6 39 3 3" xfId="10590"/>
    <cellStyle name="20% - Accent6 39 3 3 2" xfId="10591"/>
    <cellStyle name="20% - Accent6 39 3 4" xfId="10592"/>
    <cellStyle name="20% - Accent6 39 4" xfId="10593"/>
    <cellStyle name="20% - Accent6 39 4 2" xfId="10594"/>
    <cellStyle name="20% - Accent6 39 5" xfId="10595"/>
    <cellStyle name="20% - Accent6 39 5 2" xfId="10596"/>
    <cellStyle name="20% - Accent6 39 6" xfId="10597"/>
    <cellStyle name="20% - Accent6 39 7" xfId="10598"/>
    <cellStyle name="20% - Accent6 4" xfId="10599"/>
    <cellStyle name="20% - Accent6 4 2" xfId="10600"/>
    <cellStyle name="20% - Accent6 4 2 2" xfId="10601"/>
    <cellStyle name="20% - Accent6 4 2 2 2" xfId="10602"/>
    <cellStyle name="20% - Accent6 4 2 3" xfId="10603"/>
    <cellStyle name="20% - Accent6 4 2 3 2" xfId="10604"/>
    <cellStyle name="20% - Accent6 4 2 4" xfId="10605"/>
    <cellStyle name="20% - Accent6 4 3" xfId="10606"/>
    <cellStyle name="20% - Accent6 4 3 2" xfId="10607"/>
    <cellStyle name="20% - Accent6 4 3 2 2" xfId="10608"/>
    <cellStyle name="20% - Accent6 4 3 3" xfId="10609"/>
    <cellStyle name="20% - Accent6 4 3 3 2" xfId="10610"/>
    <cellStyle name="20% - Accent6 4 3 4" xfId="10611"/>
    <cellStyle name="20% - Accent6 4 4" xfId="10612"/>
    <cellStyle name="20% - Accent6 4 4 2" xfId="10613"/>
    <cellStyle name="20% - Accent6 4 5" xfId="10614"/>
    <cellStyle name="20% - Accent6 4 5 2" xfId="10615"/>
    <cellStyle name="20% - Accent6 4 6" xfId="10616"/>
    <cellStyle name="20% - Accent6 40" xfId="10617"/>
    <cellStyle name="20% - Accent6 40 2" xfId="10618"/>
    <cellStyle name="20% - Accent6 40 2 2" xfId="10619"/>
    <cellStyle name="20% - Accent6 40 2 2 2" xfId="10620"/>
    <cellStyle name="20% - Accent6 40 2 3" xfId="10621"/>
    <cellStyle name="20% - Accent6 40 2 3 2" xfId="10622"/>
    <cellStyle name="20% - Accent6 40 2 4" xfId="10623"/>
    <cellStyle name="20% - Accent6 40 3" xfId="10624"/>
    <cellStyle name="20% - Accent6 40 3 2" xfId="10625"/>
    <cellStyle name="20% - Accent6 40 3 2 2" xfId="10626"/>
    <cellStyle name="20% - Accent6 40 3 3" xfId="10627"/>
    <cellStyle name="20% - Accent6 40 3 3 2" xfId="10628"/>
    <cellStyle name="20% - Accent6 40 3 4" xfId="10629"/>
    <cellStyle name="20% - Accent6 40 4" xfId="10630"/>
    <cellStyle name="20% - Accent6 40 4 2" xfId="10631"/>
    <cellStyle name="20% - Accent6 40 5" xfId="10632"/>
    <cellStyle name="20% - Accent6 40 5 2" xfId="10633"/>
    <cellStyle name="20% - Accent6 40 6" xfId="10634"/>
    <cellStyle name="20% - Accent6 40 7" xfId="10635"/>
    <cellStyle name="20% - Accent6 41" xfId="10636"/>
    <cellStyle name="20% - Accent6 41 2" xfId="10637"/>
    <cellStyle name="20% - Accent6 41 2 2" xfId="10638"/>
    <cellStyle name="20% - Accent6 41 2 2 2" xfId="10639"/>
    <cellStyle name="20% - Accent6 41 2 3" xfId="10640"/>
    <cellStyle name="20% - Accent6 41 2 3 2" xfId="10641"/>
    <cellStyle name="20% - Accent6 41 2 4" xfId="10642"/>
    <cellStyle name="20% - Accent6 41 3" xfId="10643"/>
    <cellStyle name="20% - Accent6 41 3 2" xfId="10644"/>
    <cellStyle name="20% - Accent6 41 3 2 2" xfId="10645"/>
    <cellStyle name="20% - Accent6 41 3 3" xfId="10646"/>
    <cellStyle name="20% - Accent6 41 3 3 2" xfId="10647"/>
    <cellStyle name="20% - Accent6 41 3 4" xfId="10648"/>
    <cellStyle name="20% - Accent6 41 4" xfId="10649"/>
    <cellStyle name="20% - Accent6 41 4 2" xfId="10650"/>
    <cellStyle name="20% - Accent6 41 5" xfId="10651"/>
    <cellStyle name="20% - Accent6 41 5 2" xfId="10652"/>
    <cellStyle name="20% - Accent6 41 6" xfId="10653"/>
    <cellStyle name="20% - Accent6 41 7" xfId="10654"/>
    <cellStyle name="20% - Accent6 42" xfId="10655"/>
    <cellStyle name="20% - Accent6 42 2" xfId="10656"/>
    <cellStyle name="20% - Accent6 42 2 2" xfId="10657"/>
    <cellStyle name="20% - Accent6 42 3" xfId="10658"/>
    <cellStyle name="20% - Accent6 42 3 2" xfId="10659"/>
    <cellStyle name="20% - Accent6 42 4" xfId="10660"/>
    <cellStyle name="20% - Accent6 42 5" xfId="10661"/>
    <cellStyle name="20% - Accent6 43" xfId="10662"/>
    <cellStyle name="20% - Accent6 43 2" xfId="10663"/>
    <cellStyle name="20% - Accent6 43 2 2" xfId="10664"/>
    <cellStyle name="20% - Accent6 43 3" xfId="10665"/>
    <cellStyle name="20% - Accent6 43 3 2" xfId="10666"/>
    <cellStyle name="20% - Accent6 43 4" xfId="10667"/>
    <cellStyle name="20% - Accent6 43 5" xfId="10668"/>
    <cellStyle name="20% - Accent6 44" xfId="10669"/>
    <cellStyle name="20% - Accent6 44 2" xfId="10670"/>
    <cellStyle name="20% - Accent6 44 2 2" xfId="10671"/>
    <cellStyle name="20% - Accent6 44 3" xfId="10672"/>
    <cellStyle name="20% - Accent6 44 3 2" xfId="10673"/>
    <cellStyle name="20% - Accent6 44 4" xfId="10674"/>
    <cellStyle name="20% - Accent6 44 5" xfId="10675"/>
    <cellStyle name="20% - Accent6 45" xfId="10676"/>
    <cellStyle name="20% - Accent6 45 2" xfId="10677"/>
    <cellStyle name="20% - Accent6 45 2 2" xfId="10678"/>
    <cellStyle name="20% - Accent6 45 3" xfId="10679"/>
    <cellStyle name="20% - Accent6 45 3 2" xfId="10680"/>
    <cellStyle name="20% - Accent6 45 4" xfId="10681"/>
    <cellStyle name="20% - Accent6 45 5" xfId="10682"/>
    <cellStyle name="20% - Accent6 46" xfId="10683"/>
    <cellStyle name="20% - Accent6 46 2" xfId="10684"/>
    <cellStyle name="20% - Accent6 46 2 2" xfId="10685"/>
    <cellStyle name="20% - Accent6 46 3" xfId="10686"/>
    <cellStyle name="20% - Accent6 46 3 2" xfId="10687"/>
    <cellStyle name="20% - Accent6 46 4" xfId="10688"/>
    <cellStyle name="20% - Accent6 46 5" xfId="10689"/>
    <cellStyle name="20% - Accent6 47" xfId="10690"/>
    <cellStyle name="20% - Accent6 47 2" xfId="10691"/>
    <cellStyle name="20% - Accent6 47 2 2" xfId="10692"/>
    <cellStyle name="20% - Accent6 47 3" xfId="10693"/>
    <cellStyle name="20% - Accent6 47 3 2" xfId="10694"/>
    <cellStyle name="20% - Accent6 47 4" xfId="10695"/>
    <cellStyle name="20% - Accent6 47 5" xfId="10696"/>
    <cellStyle name="20% - Accent6 48" xfId="10697"/>
    <cellStyle name="20% - Accent6 48 2" xfId="10698"/>
    <cellStyle name="20% - Accent6 48 2 2" xfId="10699"/>
    <cellStyle name="20% - Accent6 48 3" xfId="10700"/>
    <cellStyle name="20% - Accent6 48 3 2" xfId="10701"/>
    <cellStyle name="20% - Accent6 48 4" xfId="10702"/>
    <cellStyle name="20% - Accent6 48 5" xfId="10703"/>
    <cellStyle name="20% - Accent6 49" xfId="10704"/>
    <cellStyle name="20% - Accent6 49 2" xfId="10705"/>
    <cellStyle name="20% - Accent6 49 2 2" xfId="10706"/>
    <cellStyle name="20% - Accent6 49 3" xfId="10707"/>
    <cellStyle name="20% - Accent6 49 3 2" xfId="10708"/>
    <cellStyle name="20% - Accent6 49 4" xfId="10709"/>
    <cellStyle name="20% - Accent6 49 5" xfId="10710"/>
    <cellStyle name="20% - Accent6 5" xfId="10711"/>
    <cellStyle name="20% - Accent6 5 2" xfId="10712"/>
    <cellStyle name="20% - Accent6 5 2 2" xfId="10713"/>
    <cellStyle name="20% - Accent6 5 2 2 2" xfId="10714"/>
    <cellStyle name="20% - Accent6 5 2 3" xfId="10715"/>
    <cellStyle name="20% - Accent6 5 2 3 2" xfId="10716"/>
    <cellStyle name="20% - Accent6 5 2 4" xfId="10717"/>
    <cellStyle name="20% - Accent6 5 3" xfId="10718"/>
    <cellStyle name="20% - Accent6 5 3 2" xfId="10719"/>
    <cellStyle name="20% - Accent6 5 3 2 2" xfId="10720"/>
    <cellStyle name="20% - Accent6 5 3 3" xfId="10721"/>
    <cellStyle name="20% - Accent6 5 3 3 2" xfId="10722"/>
    <cellStyle name="20% - Accent6 5 3 4" xfId="10723"/>
    <cellStyle name="20% - Accent6 5 4" xfId="10724"/>
    <cellStyle name="20% - Accent6 5 4 2" xfId="10725"/>
    <cellStyle name="20% - Accent6 5 5" xfId="10726"/>
    <cellStyle name="20% - Accent6 5 5 2" xfId="10727"/>
    <cellStyle name="20% - Accent6 5 6" xfId="10728"/>
    <cellStyle name="20% - Accent6 50" xfId="10729"/>
    <cellStyle name="20% - Accent6 50 2" xfId="10730"/>
    <cellStyle name="20% - Accent6 50 2 2" xfId="10731"/>
    <cellStyle name="20% - Accent6 50 3" xfId="10732"/>
    <cellStyle name="20% - Accent6 50 3 2" xfId="10733"/>
    <cellStyle name="20% - Accent6 50 4" xfId="10734"/>
    <cellStyle name="20% - Accent6 50 5" xfId="10735"/>
    <cellStyle name="20% - Accent6 51" xfId="10736"/>
    <cellStyle name="20% - Accent6 51 2" xfId="10737"/>
    <cellStyle name="20% - Accent6 51 2 2" xfId="10738"/>
    <cellStyle name="20% - Accent6 51 3" xfId="10739"/>
    <cellStyle name="20% - Accent6 51 3 2" xfId="10740"/>
    <cellStyle name="20% - Accent6 51 4" xfId="10741"/>
    <cellStyle name="20% - Accent6 51 5" xfId="10742"/>
    <cellStyle name="20% - Accent6 52" xfId="10743"/>
    <cellStyle name="20% - Accent6 52 2" xfId="10744"/>
    <cellStyle name="20% - Accent6 52 2 2" xfId="10745"/>
    <cellStyle name="20% - Accent6 52 3" xfId="10746"/>
    <cellStyle name="20% - Accent6 52 3 2" xfId="10747"/>
    <cellStyle name="20% - Accent6 52 4" xfId="10748"/>
    <cellStyle name="20% - Accent6 52 5" xfId="10749"/>
    <cellStyle name="20% - Accent6 53" xfId="10750"/>
    <cellStyle name="20% - Accent6 53 2" xfId="10751"/>
    <cellStyle name="20% - Accent6 53 2 2" xfId="10752"/>
    <cellStyle name="20% - Accent6 53 3" xfId="10753"/>
    <cellStyle name="20% - Accent6 53 3 2" xfId="10754"/>
    <cellStyle name="20% - Accent6 53 4" xfId="10755"/>
    <cellStyle name="20% - Accent6 53 5" xfId="10756"/>
    <cellStyle name="20% - Accent6 54" xfId="10757"/>
    <cellStyle name="20% - Accent6 54 2" xfId="10758"/>
    <cellStyle name="20% - Accent6 54 2 2" xfId="10759"/>
    <cellStyle name="20% - Accent6 54 3" xfId="10760"/>
    <cellStyle name="20% - Accent6 54 3 2" xfId="10761"/>
    <cellStyle name="20% - Accent6 54 4" xfId="10762"/>
    <cellStyle name="20% - Accent6 54 5" xfId="10763"/>
    <cellStyle name="20% - Accent6 55" xfId="10764"/>
    <cellStyle name="20% - Accent6 55 2" xfId="10765"/>
    <cellStyle name="20% - Accent6 55 2 2" xfId="10766"/>
    <cellStyle name="20% - Accent6 55 3" xfId="10767"/>
    <cellStyle name="20% - Accent6 55 3 2" xfId="10768"/>
    <cellStyle name="20% - Accent6 55 4" xfId="10769"/>
    <cellStyle name="20% - Accent6 55 5" xfId="10770"/>
    <cellStyle name="20% - Accent6 56" xfId="10771"/>
    <cellStyle name="20% - Accent6 56 2" xfId="10772"/>
    <cellStyle name="20% - Accent6 56 2 2" xfId="10773"/>
    <cellStyle name="20% - Accent6 56 3" xfId="10774"/>
    <cellStyle name="20% - Accent6 56 3 2" xfId="10775"/>
    <cellStyle name="20% - Accent6 56 4" xfId="10776"/>
    <cellStyle name="20% - Accent6 56 5" xfId="10777"/>
    <cellStyle name="20% - Accent6 57" xfId="10778"/>
    <cellStyle name="20% - Accent6 57 2" xfId="10779"/>
    <cellStyle name="20% - Accent6 57 2 2" xfId="10780"/>
    <cellStyle name="20% - Accent6 57 3" xfId="10781"/>
    <cellStyle name="20% - Accent6 57 3 2" xfId="10782"/>
    <cellStyle name="20% - Accent6 57 4" xfId="10783"/>
    <cellStyle name="20% - Accent6 57 5" xfId="10784"/>
    <cellStyle name="20% - Accent6 58" xfId="10785"/>
    <cellStyle name="20% - Accent6 58 2" xfId="10786"/>
    <cellStyle name="20% - Accent6 58 2 2" xfId="10787"/>
    <cellStyle name="20% - Accent6 58 3" xfId="10788"/>
    <cellStyle name="20% - Accent6 58 3 2" xfId="10789"/>
    <cellStyle name="20% - Accent6 58 4" xfId="10790"/>
    <cellStyle name="20% - Accent6 58 5" xfId="10791"/>
    <cellStyle name="20% - Accent6 59" xfId="10792"/>
    <cellStyle name="20% - Accent6 59 2" xfId="10793"/>
    <cellStyle name="20% - Accent6 59 2 2" xfId="10794"/>
    <cellStyle name="20% - Accent6 59 3" xfId="10795"/>
    <cellStyle name="20% - Accent6 59 3 2" xfId="10796"/>
    <cellStyle name="20% - Accent6 59 4" xfId="10797"/>
    <cellStyle name="20% - Accent6 59 5" xfId="10798"/>
    <cellStyle name="20% - Accent6 6" xfId="10799"/>
    <cellStyle name="20% - Accent6 6 2" xfId="10800"/>
    <cellStyle name="20% - Accent6 6 2 2" xfId="10801"/>
    <cellStyle name="20% - Accent6 6 2 2 2" xfId="10802"/>
    <cellStyle name="20% - Accent6 6 2 3" xfId="10803"/>
    <cellStyle name="20% - Accent6 6 2 3 2" xfId="10804"/>
    <cellStyle name="20% - Accent6 6 2 4" xfId="10805"/>
    <cellStyle name="20% - Accent6 6 3" xfId="10806"/>
    <cellStyle name="20% - Accent6 6 3 2" xfId="10807"/>
    <cellStyle name="20% - Accent6 6 3 2 2" xfId="10808"/>
    <cellStyle name="20% - Accent6 6 3 3" xfId="10809"/>
    <cellStyle name="20% - Accent6 6 3 3 2" xfId="10810"/>
    <cellStyle name="20% - Accent6 6 3 4" xfId="10811"/>
    <cellStyle name="20% - Accent6 6 4" xfId="10812"/>
    <cellStyle name="20% - Accent6 6 4 2" xfId="10813"/>
    <cellStyle name="20% - Accent6 6 5" xfId="10814"/>
    <cellStyle name="20% - Accent6 6 5 2" xfId="10815"/>
    <cellStyle name="20% - Accent6 6 6" xfId="10816"/>
    <cellStyle name="20% - Accent6 60" xfId="10817"/>
    <cellStyle name="20% - Accent6 60 2" xfId="10818"/>
    <cellStyle name="20% - Accent6 60 2 2" xfId="10819"/>
    <cellStyle name="20% - Accent6 60 3" xfId="10820"/>
    <cellStyle name="20% - Accent6 60 3 2" xfId="10821"/>
    <cellStyle name="20% - Accent6 60 4" xfId="10822"/>
    <cellStyle name="20% - Accent6 60 5" xfId="10823"/>
    <cellStyle name="20% - Accent6 61" xfId="10824"/>
    <cellStyle name="20% - Accent6 61 2" xfId="10825"/>
    <cellStyle name="20% - Accent6 61 2 2" xfId="10826"/>
    <cellStyle name="20% - Accent6 61 3" xfId="10827"/>
    <cellStyle name="20% - Accent6 61 3 2" xfId="10828"/>
    <cellStyle name="20% - Accent6 61 4" xfId="10829"/>
    <cellStyle name="20% - Accent6 61 5" xfId="10830"/>
    <cellStyle name="20% - Accent6 62" xfId="10831"/>
    <cellStyle name="20% - Accent6 62 2" xfId="10832"/>
    <cellStyle name="20% - Accent6 62 2 2" xfId="10833"/>
    <cellStyle name="20% - Accent6 62 3" xfId="10834"/>
    <cellStyle name="20% - Accent6 62 3 2" xfId="10835"/>
    <cellStyle name="20% - Accent6 62 4" xfId="10836"/>
    <cellStyle name="20% - Accent6 62 5" xfId="10837"/>
    <cellStyle name="20% - Accent6 63" xfId="10838"/>
    <cellStyle name="20% - Accent6 63 2" xfId="10839"/>
    <cellStyle name="20% - Accent6 63 2 2" xfId="10840"/>
    <cellStyle name="20% - Accent6 63 3" xfId="10841"/>
    <cellStyle name="20% - Accent6 63 3 2" xfId="10842"/>
    <cellStyle name="20% - Accent6 63 4" xfId="10843"/>
    <cellStyle name="20% - Accent6 63 5" xfId="10844"/>
    <cellStyle name="20% - Accent6 64" xfId="10845"/>
    <cellStyle name="20% - Accent6 64 2" xfId="10846"/>
    <cellStyle name="20% - Accent6 64 2 2" xfId="10847"/>
    <cellStyle name="20% - Accent6 64 3" xfId="10848"/>
    <cellStyle name="20% - Accent6 64 3 2" xfId="10849"/>
    <cellStyle name="20% - Accent6 64 4" xfId="10850"/>
    <cellStyle name="20% - Accent6 64 5" xfId="10851"/>
    <cellStyle name="20% - Accent6 65" xfId="10852"/>
    <cellStyle name="20% - Accent6 65 2" xfId="10853"/>
    <cellStyle name="20% - Accent6 65 2 2" xfId="10854"/>
    <cellStyle name="20% - Accent6 65 3" xfId="10855"/>
    <cellStyle name="20% - Accent6 65 3 2" xfId="10856"/>
    <cellStyle name="20% - Accent6 65 4" xfId="10857"/>
    <cellStyle name="20% - Accent6 65 5" xfId="10858"/>
    <cellStyle name="20% - Accent6 66" xfId="10859"/>
    <cellStyle name="20% - Accent6 66 2" xfId="10860"/>
    <cellStyle name="20% - Accent6 66 2 2" xfId="10861"/>
    <cellStyle name="20% - Accent6 66 3" xfId="10862"/>
    <cellStyle name="20% - Accent6 66 3 2" xfId="10863"/>
    <cellStyle name="20% - Accent6 66 4" xfId="10864"/>
    <cellStyle name="20% - Accent6 66 5" xfId="10865"/>
    <cellStyle name="20% - Accent6 67" xfId="10866"/>
    <cellStyle name="20% - Accent6 67 2" xfId="10867"/>
    <cellStyle name="20% - Accent6 67 2 2" xfId="10868"/>
    <cellStyle name="20% - Accent6 67 3" xfId="10869"/>
    <cellStyle name="20% - Accent6 67 3 2" xfId="10870"/>
    <cellStyle name="20% - Accent6 67 4" xfId="10871"/>
    <cellStyle name="20% - Accent6 67 5" xfId="10872"/>
    <cellStyle name="20% - Accent6 68" xfId="10873"/>
    <cellStyle name="20% - Accent6 68 2" xfId="10874"/>
    <cellStyle name="20% - Accent6 68 2 2" xfId="10875"/>
    <cellStyle name="20% - Accent6 68 3" xfId="10876"/>
    <cellStyle name="20% - Accent6 68 3 2" xfId="10877"/>
    <cellStyle name="20% - Accent6 68 4" xfId="10878"/>
    <cellStyle name="20% - Accent6 68 5" xfId="10879"/>
    <cellStyle name="20% - Accent6 69" xfId="10880"/>
    <cellStyle name="20% - Accent6 69 2" xfId="10881"/>
    <cellStyle name="20% - Accent6 69 2 2" xfId="10882"/>
    <cellStyle name="20% - Accent6 69 3" xfId="10883"/>
    <cellStyle name="20% - Accent6 69 3 2" xfId="10884"/>
    <cellStyle name="20% - Accent6 69 4" xfId="10885"/>
    <cellStyle name="20% - Accent6 69 5" xfId="10886"/>
    <cellStyle name="20% - Accent6 7" xfId="10887"/>
    <cellStyle name="20% - Accent6 7 2" xfId="10888"/>
    <cellStyle name="20% - Accent6 7 2 2" xfId="10889"/>
    <cellStyle name="20% - Accent6 7 2 2 2" xfId="10890"/>
    <cellStyle name="20% - Accent6 7 2 3" xfId="10891"/>
    <cellStyle name="20% - Accent6 7 2 3 2" xfId="10892"/>
    <cellStyle name="20% - Accent6 7 2 4" xfId="10893"/>
    <cellStyle name="20% - Accent6 7 3" xfId="10894"/>
    <cellStyle name="20% - Accent6 7 3 2" xfId="10895"/>
    <cellStyle name="20% - Accent6 7 3 2 2" xfId="10896"/>
    <cellStyle name="20% - Accent6 7 3 3" xfId="10897"/>
    <cellStyle name="20% - Accent6 7 3 3 2" xfId="10898"/>
    <cellStyle name="20% - Accent6 7 3 4" xfId="10899"/>
    <cellStyle name="20% - Accent6 7 4" xfId="10900"/>
    <cellStyle name="20% - Accent6 7 4 2" xfId="10901"/>
    <cellStyle name="20% - Accent6 7 5" xfId="10902"/>
    <cellStyle name="20% - Accent6 7 5 2" xfId="10903"/>
    <cellStyle name="20% - Accent6 7 6" xfId="10904"/>
    <cellStyle name="20% - Accent6 70" xfId="10905"/>
    <cellStyle name="20% - Accent6 70 2" xfId="10906"/>
    <cellStyle name="20% - Accent6 70 2 2" xfId="10907"/>
    <cellStyle name="20% - Accent6 70 3" xfId="10908"/>
    <cellStyle name="20% - Accent6 70 3 2" xfId="10909"/>
    <cellStyle name="20% - Accent6 70 4" xfId="10910"/>
    <cellStyle name="20% - Accent6 71" xfId="10911"/>
    <cellStyle name="20% - Accent6 71 2" xfId="10912"/>
    <cellStyle name="20% - Accent6 71 2 2" xfId="10913"/>
    <cellStyle name="20% - Accent6 71 3" xfId="10914"/>
    <cellStyle name="20% - Accent6 71 3 2" xfId="10915"/>
    <cellStyle name="20% - Accent6 71 4" xfId="10916"/>
    <cellStyle name="20% - Accent6 72" xfId="10917"/>
    <cellStyle name="20% - Accent6 72 2" xfId="10918"/>
    <cellStyle name="20% - Accent6 72 2 2" xfId="10919"/>
    <cellStyle name="20% - Accent6 72 3" xfId="10920"/>
    <cellStyle name="20% - Accent6 72 3 2" xfId="10921"/>
    <cellStyle name="20% - Accent6 72 4" xfId="10922"/>
    <cellStyle name="20% - Accent6 73" xfId="10923"/>
    <cellStyle name="20% - Accent6 73 2" xfId="10924"/>
    <cellStyle name="20% - Accent6 73 2 2" xfId="10925"/>
    <cellStyle name="20% - Accent6 73 3" xfId="10926"/>
    <cellStyle name="20% - Accent6 73 3 2" xfId="10927"/>
    <cellStyle name="20% - Accent6 73 4" xfId="10928"/>
    <cellStyle name="20% - Accent6 74" xfId="10929"/>
    <cellStyle name="20% - Accent6 74 2" xfId="10930"/>
    <cellStyle name="20% - Accent6 74 2 2" xfId="10931"/>
    <cellStyle name="20% - Accent6 74 3" xfId="10932"/>
    <cellStyle name="20% - Accent6 74 3 2" xfId="10933"/>
    <cellStyle name="20% - Accent6 74 4" xfId="10934"/>
    <cellStyle name="20% - Accent6 75" xfId="10935"/>
    <cellStyle name="20% - Accent6 75 2" xfId="10936"/>
    <cellStyle name="20% - Accent6 75 2 2" xfId="10937"/>
    <cellStyle name="20% - Accent6 75 3" xfId="10938"/>
    <cellStyle name="20% - Accent6 75 3 2" xfId="10939"/>
    <cellStyle name="20% - Accent6 75 4" xfId="10940"/>
    <cellStyle name="20% - Accent6 76" xfId="10941"/>
    <cellStyle name="20% - Accent6 76 2" xfId="10942"/>
    <cellStyle name="20% - Accent6 76 2 2" xfId="10943"/>
    <cellStyle name="20% - Accent6 76 3" xfId="10944"/>
    <cellStyle name="20% - Accent6 76 3 2" xfId="10945"/>
    <cellStyle name="20% - Accent6 76 4" xfId="10946"/>
    <cellStyle name="20% - Accent6 77" xfId="10947"/>
    <cellStyle name="20% - Accent6 77 2" xfId="10948"/>
    <cellStyle name="20% - Accent6 77 2 2" xfId="10949"/>
    <cellStyle name="20% - Accent6 77 3" xfId="10950"/>
    <cellStyle name="20% - Accent6 77 3 2" xfId="10951"/>
    <cellStyle name="20% - Accent6 77 4" xfId="10952"/>
    <cellStyle name="20% - Accent6 78" xfId="10953"/>
    <cellStyle name="20% - Accent6 78 2" xfId="10954"/>
    <cellStyle name="20% - Accent6 78 2 2" xfId="10955"/>
    <cellStyle name="20% - Accent6 78 3" xfId="10956"/>
    <cellStyle name="20% - Accent6 78 3 2" xfId="10957"/>
    <cellStyle name="20% - Accent6 78 4" xfId="10958"/>
    <cellStyle name="20% - Accent6 79" xfId="10959"/>
    <cellStyle name="20% - Accent6 79 2" xfId="10960"/>
    <cellStyle name="20% - Accent6 79 2 2" xfId="10961"/>
    <cellStyle name="20% - Accent6 79 3" xfId="10962"/>
    <cellStyle name="20% - Accent6 79 3 2" xfId="10963"/>
    <cellStyle name="20% - Accent6 79 4" xfId="10964"/>
    <cellStyle name="20% - Accent6 8" xfId="10965"/>
    <cellStyle name="20% - Accent6 8 2" xfId="10966"/>
    <cellStyle name="20% - Accent6 8 2 2" xfId="10967"/>
    <cellStyle name="20% - Accent6 8 2 2 2" xfId="10968"/>
    <cellStyle name="20% - Accent6 8 2 3" xfId="10969"/>
    <cellStyle name="20% - Accent6 8 2 3 2" xfId="10970"/>
    <cellStyle name="20% - Accent6 8 2 4" xfId="10971"/>
    <cellStyle name="20% - Accent6 8 3" xfId="10972"/>
    <cellStyle name="20% - Accent6 8 3 2" xfId="10973"/>
    <cellStyle name="20% - Accent6 8 3 2 2" xfId="10974"/>
    <cellStyle name="20% - Accent6 8 3 3" xfId="10975"/>
    <cellStyle name="20% - Accent6 8 3 3 2" xfId="10976"/>
    <cellStyle name="20% - Accent6 8 3 4" xfId="10977"/>
    <cellStyle name="20% - Accent6 8 4" xfId="10978"/>
    <cellStyle name="20% - Accent6 8 4 2" xfId="10979"/>
    <cellStyle name="20% - Accent6 8 5" xfId="10980"/>
    <cellStyle name="20% - Accent6 8 5 2" xfId="10981"/>
    <cellStyle name="20% - Accent6 8 6" xfId="10982"/>
    <cellStyle name="20% - Accent6 80" xfId="10983"/>
    <cellStyle name="20% - Accent6 80 2" xfId="10984"/>
    <cellStyle name="20% - Accent6 80 2 2" xfId="10985"/>
    <cellStyle name="20% - Accent6 80 3" xfId="10986"/>
    <cellStyle name="20% - Accent6 80 3 2" xfId="10987"/>
    <cellStyle name="20% - Accent6 80 4" xfId="10988"/>
    <cellStyle name="20% - Accent6 81" xfId="10989"/>
    <cellStyle name="20% - Accent6 81 2" xfId="10990"/>
    <cellStyle name="20% - Accent6 81 2 2" xfId="10991"/>
    <cellStyle name="20% - Accent6 81 3" xfId="10992"/>
    <cellStyle name="20% - Accent6 81 3 2" xfId="10993"/>
    <cellStyle name="20% - Accent6 81 4" xfId="10994"/>
    <cellStyle name="20% - Accent6 82" xfId="10995"/>
    <cellStyle name="20% - Accent6 82 2" xfId="10996"/>
    <cellStyle name="20% - Accent6 82 2 2" xfId="10997"/>
    <cellStyle name="20% - Accent6 82 3" xfId="10998"/>
    <cellStyle name="20% - Accent6 82 3 2" xfId="10999"/>
    <cellStyle name="20% - Accent6 82 4" xfId="11000"/>
    <cellStyle name="20% - Accent6 83" xfId="11001"/>
    <cellStyle name="20% - Accent6 83 2" xfId="11002"/>
    <cellStyle name="20% - Accent6 83 2 2" xfId="11003"/>
    <cellStyle name="20% - Accent6 83 3" xfId="11004"/>
    <cellStyle name="20% - Accent6 83 3 2" xfId="11005"/>
    <cellStyle name="20% - Accent6 83 4" xfId="11006"/>
    <cellStyle name="20% - Accent6 84" xfId="11007"/>
    <cellStyle name="20% - Accent6 84 2" xfId="11008"/>
    <cellStyle name="20% - Accent6 84 2 2" xfId="11009"/>
    <cellStyle name="20% - Accent6 84 3" xfId="11010"/>
    <cellStyle name="20% - Accent6 84 3 2" xfId="11011"/>
    <cellStyle name="20% - Accent6 84 4" xfId="11012"/>
    <cellStyle name="20% - Accent6 85" xfId="11013"/>
    <cellStyle name="20% - Accent6 85 2" xfId="11014"/>
    <cellStyle name="20% - Accent6 85 2 2" xfId="11015"/>
    <cellStyle name="20% - Accent6 85 3" xfId="11016"/>
    <cellStyle name="20% - Accent6 85 3 2" xfId="11017"/>
    <cellStyle name="20% - Accent6 85 4" xfId="11018"/>
    <cellStyle name="20% - Accent6 86" xfId="11019"/>
    <cellStyle name="20% - Accent6 86 2" xfId="11020"/>
    <cellStyle name="20% - Accent6 86 2 2" xfId="11021"/>
    <cellStyle name="20% - Accent6 86 3" xfId="11022"/>
    <cellStyle name="20% - Accent6 86 3 2" xfId="11023"/>
    <cellStyle name="20% - Accent6 86 4" xfId="11024"/>
    <cellStyle name="20% - Accent6 87" xfId="11025"/>
    <cellStyle name="20% - Accent6 87 2" xfId="11026"/>
    <cellStyle name="20% - Accent6 87 2 2" xfId="11027"/>
    <cellStyle name="20% - Accent6 87 3" xfId="11028"/>
    <cellStyle name="20% - Accent6 87 3 2" xfId="11029"/>
    <cellStyle name="20% - Accent6 87 4" xfId="11030"/>
    <cellStyle name="20% - Accent6 88" xfId="11031"/>
    <cellStyle name="20% - Accent6 88 2" xfId="11032"/>
    <cellStyle name="20% - Accent6 88 2 2" xfId="11033"/>
    <cellStyle name="20% - Accent6 88 3" xfId="11034"/>
    <cellStyle name="20% - Accent6 88 3 2" xfId="11035"/>
    <cellStyle name="20% - Accent6 88 4" xfId="11036"/>
    <cellStyle name="20% - Accent6 89" xfId="11037"/>
    <cellStyle name="20% - Accent6 89 2" xfId="11038"/>
    <cellStyle name="20% - Accent6 89 2 2" xfId="11039"/>
    <cellStyle name="20% - Accent6 89 3" xfId="11040"/>
    <cellStyle name="20% - Accent6 89 3 2" xfId="11041"/>
    <cellStyle name="20% - Accent6 89 4" xfId="11042"/>
    <cellStyle name="20% - Accent6 9" xfId="11043"/>
    <cellStyle name="20% - Accent6 9 2" xfId="11044"/>
    <cellStyle name="20% - Accent6 9 2 2" xfId="11045"/>
    <cellStyle name="20% - Accent6 9 2 2 2" xfId="11046"/>
    <cellStyle name="20% - Accent6 9 2 3" xfId="11047"/>
    <cellStyle name="20% - Accent6 9 2 3 2" xfId="11048"/>
    <cellStyle name="20% - Accent6 9 2 4" xfId="11049"/>
    <cellStyle name="20% - Accent6 9 3" xfId="11050"/>
    <cellStyle name="20% - Accent6 9 3 2" xfId="11051"/>
    <cellStyle name="20% - Accent6 9 3 2 2" xfId="11052"/>
    <cellStyle name="20% - Accent6 9 3 3" xfId="11053"/>
    <cellStyle name="20% - Accent6 9 3 3 2" xfId="11054"/>
    <cellStyle name="20% - Accent6 9 3 4" xfId="11055"/>
    <cellStyle name="20% - Accent6 9 4" xfId="11056"/>
    <cellStyle name="20% - Accent6 9 4 2" xfId="11057"/>
    <cellStyle name="20% - Accent6 9 5" xfId="11058"/>
    <cellStyle name="20% - Accent6 9 5 2" xfId="11059"/>
    <cellStyle name="20% - Accent6 9 6" xfId="11060"/>
    <cellStyle name="20% - Accent6 90" xfId="11061"/>
    <cellStyle name="20% - Accent6 90 2" xfId="11062"/>
    <cellStyle name="20% - Accent6 90 2 2" xfId="11063"/>
    <cellStyle name="20% - Accent6 90 3" xfId="11064"/>
    <cellStyle name="20% - Accent6 90 3 2" xfId="11065"/>
    <cellStyle name="20% - Accent6 90 4" xfId="11066"/>
    <cellStyle name="20% - Accent6 91" xfId="11067"/>
    <cellStyle name="20% - Accent6 91 2" xfId="11068"/>
    <cellStyle name="20% - Accent6 91 2 2" xfId="11069"/>
    <cellStyle name="20% - Accent6 91 3" xfId="11070"/>
    <cellStyle name="20% - Accent6 91 3 2" xfId="11071"/>
    <cellStyle name="20% - Accent6 91 4" xfId="11072"/>
    <cellStyle name="20% - Accent6 92" xfId="11073"/>
    <cellStyle name="20% - Accent6 92 2" xfId="11074"/>
    <cellStyle name="20% - Accent6 92 2 2" xfId="11075"/>
    <cellStyle name="20% - Accent6 92 3" xfId="11076"/>
    <cellStyle name="20% - Accent6 92 3 2" xfId="11077"/>
    <cellStyle name="20% - Accent6 92 4" xfId="11078"/>
    <cellStyle name="20% - Accent6 93" xfId="11079"/>
    <cellStyle name="20% - Accent6 93 2" xfId="11080"/>
    <cellStyle name="20% - Accent6 93 2 2" xfId="11081"/>
    <cellStyle name="20% - Accent6 93 3" xfId="11082"/>
    <cellStyle name="20% - Accent6 93 3 2" xfId="11083"/>
    <cellStyle name="20% - Accent6 93 4" xfId="11084"/>
    <cellStyle name="20% - Accent6 94" xfId="11085"/>
    <cellStyle name="20% - Accent6 94 2" xfId="11086"/>
    <cellStyle name="20% - Accent6 94 2 2" xfId="11087"/>
    <cellStyle name="20% - Accent6 94 3" xfId="11088"/>
    <cellStyle name="20% - Accent6 94 3 2" xfId="11089"/>
    <cellStyle name="20% - Accent6 94 4" xfId="11090"/>
    <cellStyle name="20% - Accent6 95" xfId="11091"/>
    <cellStyle name="20% - Accent6 95 2" xfId="11092"/>
    <cellStyle name="20% - Accent6 95 2 2" xfId="11093"/>
    <cellStyle name="20% - Accent6 95 3" xfId="11094"/>
    <cellStyle name="20% - Accent6 95 3 2" xfId="11095"/>
    <cellStyle name="20% - Accent6 95 4" xfId="11096"/>
    <cellStyle name="20% - Accent6 96" xfId="11097"/>
    <cellStyle name="20% - Accent6 96 2" xfId="11098"/>
    <cellStyle name="20% - Accent6 96 2 2" xfId="11099"/>
    <cellStyle name="20% - Accent6 96 3" xfId="11100"/>
    <cellStyle name="20% - Accent6 96 3 2" xfId="11101"/>
    <cellStyle name="20% - Accent6 96 4" xfId="11102"/>
    <cellStyle name="20% - Accent6 97" xfId="11103"/>
    <cellStyle name="20% - Accent6 97 2" xfId="11104"/>
    <cellStyle name="20% - Accent6 97 2 2" xfId="11105"/>
    <cellStyle name="20% - Accent6 97 3" xfId="11106"/>
    <cellStyle name="20% - Accent6 97 3 2" xfId="11107"/>
    <cellStyle name="20% - Accent6 97 4" xfId="11108"/>
    <cellStyle name="20% - Accent6 98" xfId="11109"/>
    <cellStyle name="20% - Accent6 98 2" xfId="11110"/>
    <cellStyle name="20% - Accent6 98 2 2" xfId="11111"/>
    <cellStyle name="20% - Accent6 98 3" xfId="11112"/>
    <cellStyle name="20% - Accent6 98 3 2" xfId="11113"/>
    <cellStyle name="20% - Accent6 98 4" xfId="11114"/>
    <cellStyle name="20% - Accent6 99" xfId="11115"/>
    <cellStyle name="20% - Accent6 99 2" xfId="11116"/>
    <cellStyle name="20% - Accent6 99 2 2" xfId="11117"/>
    <cellStyle name="20% - Accent6 99 3" xfId="11118"/>
    <cellStyle name="20% - Accent6 99 3 2" xfId="11119"/>
    <cellStyle name="20% - Accent6 99 4" xfId="11120"/>
    <cellStyle name="20% - ส่วนที่ถูกเน้น1" xfId="11121"/>
    <cellStyle name="20% - ส่วนที่ถูกเน้น1 2" xfId="11122"/>
    <cellStyle name="20% - ส่วนที่ถูกเน้น1 3" xfId="11123"/>
    <cellStyle name="20% - ส่วนที่ถูกเน้น1 4" xfId="11124"/>
    <cellStyle name="20% - ส่วนที่ถูกเน้น1 5" xfId="11125"/>
    <cellStyle name="20% - ส่วนที่ถูกเน้น1 6" xfId="11126"/>
    <cellStyle name="20% - ส่วนที่ถูกเน้น1 7" xfId="11127"/>
    <cellStyle name="20% - ส่วนที่ถูกเน้น2" xfId="11128"/>
    <cellStyle name="20% - ส่วนที่ถูกเน้น2 2" xfId="11129"/>
    <cellStyle name="20% - ส่วนที่ถูกเน้น2 3" xfId="11130"/>
    <cellStyle name="20% - ส่วนที่ถูกเน้น2 4" xfId="11131"/>
    <cellStyle name="20% - ส่วนที่ถูกเน้น2 5" xfId="11132"/>
    <cellStyle name="20% - ส่วนที่ถูกเน้น2 6" xfId="11133"/>
    <cellStyle name="20% - ส่วนที่ถูกเน้น2 7" xfId="11134"/>
    <cellStyle name="20% - ส่วนที่ถูกเน้น3" xfId="11135"/>
    <cellStyle name="20% - ส่วนที่ถูกเน้น3 2" xfId="11136"/>
    <cellStyle name="20% - ส่วนที่ถูกเน้น3 3" xfId="11137"/>
    <cellStyle name="20% - ส่วนที่ถูกเน้น3 4" xfId="11138"/>
    <cellStyle name="20% - ส่วนที่ถูกเน้น3 5" xfId="11139"/>
    <cellStyle name="20% - ส่วนที่ถูกเน้น3 6" xfId="11140"/>
    <cellStyle name="20% - ส่วนที่ถูกเน้น3 7" xfId="11141"/>
    <cellStyle name="20% - ส่วนที่ถูกเน้น4" xfId="11142"/>
    <cellStyle name="20% - ส่วนที่ถูกเน้น4 2" xfId="11143"/>
    <cellStyle name="20% - ส่วนที่ถูกเน้น4 3" xfId="11144"/>
    <cellStyle name="20% - ส่วนที่ถูกเน้น4 4" xfId="11145"/>
    <cellStyle name="20% - ส่วนที่ถูกเน้น4 5" xfId="11146"/>
    <cellStyle name="20% - ส่วนที่ถูกเน้น4 6" xfId="11147"/>
    <cellStyle name="20% - ส่วนที่ถูกเน้น4 7" xfId="11148"/>
    <cellStyle name="20% - ส่วนที่ถูกเน้น5" xfId="11149"/>
    <cellStyle name="20% - ส่วนที่ถูกเน้น5 2" xfId="11150"/>
    <cellStyle name="20% - ส่วนที่ถูกเน้น5 3" xfId="11151"/>
    <cellStyle name="20% - ส่วนที่ถูกเน้น5 4" xfId="11152"/>
    <cellStyle name="20% - ส่วนที่ถูกเน้น5 5" xfId="11153"/>
    <cellStyle name="20% - ส่วนที่ถูกเน้น5 6" xfId="11154"/>
    <cellStyle name="20% - ส่วนที่ถูกเน้น5 7" xfId="11155"/>
    <cellStyle name="20% - ส่วนที่ถูกเน้น6" xfId="11156"/>
    <cellStyle name="20% - ส่วนที่ถูกเน้น6 2" xfId="11157"/>
    <cellStyle name="20% - ส่วนที่ถูกเน้น6 3" xfId="11158"/>
    <cellStyle name="20% - ส่วนที่ถูกเน้น6 4" xfId="11159"/>
    <cellStyle name="20% - ส่วนที่ถูกเน้น6 5" xfId="11160"/>
    <cellStyle name="20% - ส่วนที่ถูกเน้น6 6" xfId="11161"/>
    <cellStyle name="20% - ส่วนที่ถูกเน้น6 7" xfId="11162"/>
    <cellStyle name="3" xfId="11163"/>
    <cellStyle name="4" xfId="11164"/>
    <cellStyle name="40% - Accent1 10" xfId="11165"/>
    <cellStyle name="40% - Accent1 10 2" xfId="11166"/>
    <cellStyle name="40% - Accent1 10 2 2" xfId="11167"/>
    <cellStyle name="40% - Accent1 10 2 2 2" xfId="11168"/>
    <cellStyle name="40% - Accent1 10 2 3" xfId="11169"/>
    <cellStyle name="40% - Accent1 10 2 3 2" xfId="11170"/>
    <cellStyle name="40% - Accent1 10 2 4" xfId="11171"/>
    <cellStyle name="40% - Accent1 10 3" xfId="11172"/>
    <cellStyle name="40% - Accent1 10 3 2" xfId="11173"/>
    <cellStyle name="40% - Accent1 10 3 2 2" xfId="11174"/>
    <cellStyle name="40% - Accent1 10 3 3" xfId="11175"/>
    <cellStyle name="40% - Accent1 10 3 3 2" xfId="11176"/>
    <cellStyle name="40% - Accent1 10 3 4" xfId="11177"/>
    <cellStyle name="40% - Accent1 10 4" xfId="11178"/>
    <cellStyle name="40% - Accent1 10 4 2" xfId="11179"/>
    <cellStyle name="40% - Accent1 10 5" xfId="11180"/>
    <cellStyle name="40% - Accent1 10 5 2" xfId="11181"/>
    <cellStyle name="40% - Accent1 10 6" xfId="11182"/>
    <cellStyle name="40% - Accent1 100" xfId="11183"/>
    <cellStyle name="40% - Accent1 100 2" xfId="11184"/>
    <cellStyle name="40% - Accent1 100 2 2" xfId="11185"/>
    <cellStyle name="40% - Accent1 100 3" xfId="11186"/>
    <cellStyle name="40% - Accent1 100 3 2" xfId="11187"/>
    <cellStyle name="40% - Accent1 100 4" xfId="11188"/>
    <cellStyle name="40% - Accent1 101" xfId="11189"/>
    <cellStyle name="40% - Accent1 101 2" xfId="11190"/>
    <cellStyle name="40% - Accent1 101 2 2" xfId="11191"/>
    <cellStyle name="40% - Accent1 101 3" xfId="11192"/>
    <cellStyle name="40% - Accent1 101 3 2" xfId="11193"/>
    <cellStyle name="40% - Accent1 101 4" xfId="11194"/>
    <cellStyle name="40% - Accent1 102" xfId="11195"/>
    <cellStyle name="40% - Accent1 102 2" xfId="11196"/>
    <cellStyle name="40% - Accent1 102 2 2" xfId="11197"/>
    <cellStyle name="40% - Accent1 102 3" xfId="11198"/>
    <cellStyle name="40% - Accent1 102 3 2" xfId="11199"/>
    <cellStyle name="40% - Accent1 102 4" xfId="11200"/>
    <cellStyle name="40% - Accent1 103" xfId="11201"/>
    <cellStyle name="40% - Accent1 103 2" xfId="11202"/>
    <cellStyle name="40% - Accent1 103 2 2" xfId="11203"/>
    <cellStyle name="40% - Accent1 103 3" xfId="11204"/>
    <cellStyle name="40% - Accent1 103 3 2" xfId="11205"/>
    <cellStyle name="40% - Accent1 103 4" xfId="11206"/>
    <cellStyle name="40% - Accent1 104" xfId="11207"/>
    <cellStyle name="40% - Accent1 104 2" xfId="11208"/>
    <cellStyle name="40% - Accent1 104 2 2" xfId="11209"/>
    <cellStyle name="40% - Accent1 104 3" xfId="11210"/>
    <cellStyle name="40% - Accent1 104 3 2" xfId="11211"/>
    <cellStyle name="40% - Accent1 104 4" xfId="11212"/>
    <cellStyle name="40% - Accent1 105" xfId="11213"/>
    <cellStyle name="40% - Accent1 105 2" xfId="11214"/>
    <cellStyle name="40% - Accent1 105 2 2" xfId="11215"/>
    <cellStyle name="40% - Accent1 105 3" xfId="11216"/>
    <cellStyle name="40% - Accent1 105 3 2" xfId="11217"/>
    <cellStyle name="40% - Accent1 105 4" xfId="11218"/>
    <cellStyle name="40% - Accent1 106" xfId="11219"/>
    <cellStyle name="40% - Accent1 106 2" xfId="11220"/>
    <cellStyle name="40% - Accent1 106 2 2" xfId="11221"/>
    <cellStyle name="40% - Accent1 106 3" xfId="11222"/>
    <cellStyle name="40% - Accent1 106 3 2" xfId="11223"/>
    <cellStyle name="40% - Accent1 106 4" xfId="11224"/>
    <cellStyle name="40% - Accent1 107" xfId="11225"/>
    <cellStyle name="40% - Accent1 107 2" xfId="11226"/>
    <cellStyle name="40% - Accent1 107 2 2" xfId="11227"/>
    <cellStyle name="40% - Accent1 107 3" xfId="11228"/>
    <cellStyle name="40% - Accent1 107 3 2" xfId="11229"/>
    <cellStyle name="40% - Accent1 107 4" xfId="11230"/>
    <cellStyle name="40% - Accent1 108" xfId="11231"/>
    <cellStyle name="40% - Accent1 108 2" xfId="11232"/>
    <cellStyle name="40% - Accent1 108 2 2" xfId="11233"/>
    <cellStyle name="40% - Accent1 108 3" xfId="11234"/>
    <cellStyle name="40% - Accent1 108 3 2" xfId="11235"/>
    <cellStyle name="40% - Accent1 108 4" xfId="11236"/>
    <cellStyle name="40% - Accent1 109" xfId="11237"/>
    <cellStyle name="40% - Accent1 109 2" xfId="11238"/>
    <cellStyle name="40% - Accent1 109 2 2" xfId="11239"/>
    <cellStyle name="40% - Accent1 109 3" xfId="11240"/>
    <cellStyle name="40% - Accent1 109 3 2" xfId="11241"/>
    <cellStyle name="40% - Accent1 109 4" xfId="11242"/>
    <cellStyle name="40% - Accent1 11" xfId="11243"/>
    <cellStyle name="40% - Accent1 11 2" xfId="11244"/>
    <cellStyle name="40% - Accent1 11 2 2" xfId="11245"/>
    <cellStyle name="40% - Accent1 11 2 2 2" xfId="11246"/>
    <cellStyle name="40% - Accent1 11 2 3" xfId="11247"/>
    <cellStyle name="40% - Accent1 11 2 3 2" xfId="11248"/>
    <cellStyle name="40% - Accent1 11 2 4" xfId="11249"/>
    <cellStyle name="40% - Accent1 11 3" xfId="11250"/>
    <cellStyle name="40% - Accent1 11 3 2" xfId="11251"/>
    <cellStyle name="40% - Accent1 11 3 2 2" xfId="11252"/>
    <cellStyle name="40% - Accent1 11 3 3" xfId="11253"/>
    <cellStyle name="40% - Accent1 11 3 3 2" xfId="11254"/>
    <cellStyle name="40% - Accent1 11 3 4" xfId="11255"/>
    <cellStyle name="40% - Accent1 11 4" xfId="11256"/>
    <cellStyle name="40% - Accent1 11 4 2" xfId="11257"/>
    <cellStyle name="40% - Accent1 11 5" xfId="11258"/>
    <cellStyle name="40% - Accent1 11 5 2" xfId="11259"/>
    <cellStyle name="40% - Accent1 11 6" xfId="11260"/>
    <cellStyle name="40% - Accent1 110" xfId="11261"/>
    <cellStyle name="40% - Accent1 110 2" xfId="11262"/>
    <cellStyle name="40% - Accent1 110 2 2" xfId="11263"/>
    <cellStyle name="40% - Accent1 110 3" xfId="11264"/>
    <cellStyle name="40% - Accent1 110 3 2" xfId="11265"/>
    <cellStyle name="40% - Accent1 110 4" xfId="11266"/>
    <cellStyle name="40% - Accent1 111" xfId="11267"/>
    <cellStyle name="40% - Accent1 111 2" xfId="11268"/>
    <cellStyle name="40% - Accent1 111 2 2" xfId="11269"/>
    <cellStyle name="40% - Accent1 111 3" xfId="11270"/>
    <cellStyle name="40% - Accent1 111 3 2" xfId="11271"/>
    <cellStyle name="40% - Accent1 111 4" xfId="11272"/>
    <cellStyle name="40% - Accent1 112" xfId="11273"/>
    <cellStyle name="40% - Accent1 112 2" xfId="11274"/>
    <cellStyle name="40% - Accent1 112 2 2" xfId="11275"/>
    <cellStyle name="40% - Accent1 112 3" xfId="11276"/>
    <cellStyle name="40% - Accent1 112 3 2" xfId="11277"/>
    <cellStyle name="40% - Accent1 112 4" xfId="11278"/>
    <cellStyle name="40% - Accent1 113" xfId="11279"/>
    <cellStyle name="40% - Accent1 113 2" xfId="11280"/>
    <cellStyle name="40% - Accent1 113 2 2" xfId="11281"/>
    <cellStyle name="40% - Accent1 113 3" xfId="11282"/>
    <cellStyle name="40% - Accent1 113 3 2" xfId="11283"/>
    <cellStyle name="40% - Accent1 113 4" xfId="11284"/>
    <cellStyle name="40% - Accent1 114" xfId="11285"/>
    <cellStyle name="40% - Accent1 114 2" xfId="11286"/>
    <cellStyle name="40% - Accent1 114 2 2" xfId="11287"/>
    <cellStyle name="40% - Accent1 114 3" xfId="11288"/>
    <cellStyle name="40% - Accent1 114 3 2" xfId="11289"/>
    <cellStyle name="40% - Accent1 114 4" xfId="11290"/>
    <cellStyle name="40% - Accent1 115" xfId="11291"/>
    <cellStyle name="40% - Accent1 115 2" xfId="11292"/>
    <cellStyle name="40% - Accent1 115 2 2" xfId="11293"/>
    <cellStyle name="40% - Accent1 115 3" xfId="11294"/>
    <cellStyle name="40% - Accent1 115 3 2" xfId="11295"/>
    <cellStyle name="40% - Accent1 115 4" xfId="11296"/>
    <cellStyle name="40% - Accent1 116" xfId="11297"/>
    <cellStyle name="40% - Accent1 116 2" xfId="11298"/>
    <cellStyle name="40% - Accent1 116 2 2" xfId="11299"/>
    <cellStyle name="40% - Accent1 116 3" xfId="11300"/>
    <cellStyle name="40% - Accent1 116 3 2" xfId="11301"/>
    <cellStyle name="40% - Accent1 116 4" xfId="11302"/>
    <cellStyle name="40% - Accent1 117" xfId="11303"/>
    <cellStyle name="40% - Accent1 117 2" xfId="11304"/>
    <cellStyle name="40% - Accent1 117 2 2" xfId="11305"/>
    <cellStyle name="40% - Accent1 117 3" xfId="11306"/>
    <cellStyle name="40% - Accent1 117 3 2" xfId="11307"/>
    <cellStyle name="40% - Accent1 117 4" xfId="11308"/>
    <cellStyle name="40% - Accent1 118" xfId="11309"/>
    <cellStyle name="40% - Accent1 118 2" xfId="11310"/>
    <cellStyle name="40% - Accent1 118 2 2" xfId="11311"/>
    <cellStyle name="40% - Accent1 118 3" xfId="11312"/>
    <cellStyle name="40% - Accent1 118 3 2" xfId="11313"/>
    <cellStyle name="40% - Accent1 118 4" xfId="11314"/>
    <cellStyle name="40% - Accent1 119" xfId="11315"/>
    <cellStyle name="40% - Accent1 119 2" xfId="11316"/>
    <cellStyle name="40% - Accent1 119 2 2" xfId="11317"/>
    <cellStyle name="40% - Accent1 119 3" xfId="11318"/>
    <cellStyle name="40% - Accent1 119 3 2" xfId="11319"/>
    <cellStyle name="40% - Accent1 119 4" xfId="11320"/>
    <cellStyle name="40% - Accent1 12" xfId="11321"/>
    <cellStyle name="40% - Accent1 12 2" xfId="11322"/>
    <cellStyle name="40% - Accent1 12 2 2" xfId="11323"/>
    <cellStyle name="40% - Accent1 12 2 2 2" xfId="11324"/>
    <cellStyle name="40% - Accent1 12 2 3" xfId="11325"/>
    <cellStyle name="40% - Accent1 12 2 3 2" xfId="11326"/>
    <cellStyle name="40% - Accent1 12 2 4" xfId="11327"/>
    <cellStyle name="40% - Accent1 12 3" xfId="11328"/>
    <cellStyle name="40% - Accent1 12 3 2" xfId="11329"/>
    <cellStyle name="40% - Accent1 12 3 2 2" xfId="11330"/>
    <cellStyle name="40% - Accent1 12 3 3" xfId="11331"/>
    <cellStyle name="40% - Accent1 12 3 3 2" xfId="11332"/>
    <cellStyle name="40% - Accent1 12 3 4" xfId="11333"/>
    <cellStyle name="40% - Accent1 12 4" xfId="11334"/>
    <cellStyle name="40% - Accent1 12 4 2" xfId="11335"/>
    <cellStyle name="40% - Accent1 12 5" xfId="11336"/>
    <cellStyle name="40% - Accent1 12 5 2" xfId="11337"/>
    <cellStyle name="40% - Accent1 12 6" xfId="11338"/>
    <cellStyle name="40% - Accent1 120" xfId="11339"/>
    <cellStyle name="40% - Accent1 120 2" xfId="11340"/>
    <cellStyle name="40% - Accent1 120 2 2" xfId="11341"/>
    <cellStyle name="40% - Accent1 120 3" xfId="11342"/>
    <cellStyle name="40% - Accent1 120 3 2" xfId="11343"/>
    <cellStyle name="40% - Accent1 120 4" xfId="11344"/>
    <cellStyle name="40% - Accent1 121" xfId="11345"/>
    <cellStyle name="40% - Accent1 121 2" xfId="11346"/>
    <cellStyle name="40% - Accent1 121 2 2" xfId="11347"/>
    <cellStyle name="40% - Accent1 121 3" xfId="11348"/>
    <cellStyle name="40% - Accent1 121 3 2" xfId="11349"/>
    <cellStyle name="40% - Accent1 121 4" xfId="11350"/>
    <cellStyle name="40% - Accent1 122" xfId="11351"/>
    <cellStyle name="40% - Accent1 122 2" xfId="11352"/>
    <cellStyle name="40% - Accent1 122 2 2" xfId="11353"/>
    <cellStyle name="40% - Accent1 122 3" xfId="11354"/>
    <cellStyle name="40% - Accent1 122 3 2" xfId="11355"/>
    <cellStyle name="40% - Accent1 122 4" xfId="11356"/>
    <cellStyle name="40% - Accent1 123" xfId="11357"/>
    <cellStyle name="40% - Accent1 123 2" xfId="11358"/>
    <cellStyle name="40% - Accent1 123 2 2" xfId="11359"/>
    <cellStyle name="40% - Accent1 123 3" xfId="11360"/>
    <cellStyle name="40% - Accent1 123 3 2" xfId="11361"/>
    <cellStyle name="40% - Accent1 123 4" xfId="11362"/>
    <cellStyle name="40% - Accent1 124" xfId="11363"/>
    <cellStyle name="40% - Accent1 124 2" xfId="11364"/>
    <cellStyle name="40% - Accent1 124 2 2" xfId="11365"/>
    <cellStyle name="40% - Accent1 124 3" xfId="11366"/>
    <cellStyle name="40% - Accent1 124 3 2" xfId="11367"/>
    <cellStyle name="40% - Accent1 124 4" xfId="11368"/>
    <cellStyle name="40% - Accent1 125" xfId="11369"/>
    <cellStyle name="40% - Accent1 125 2" xfId="11370"/>
    <cellStyle name="40% - Accent1 125 2 2" xfId="11371"/>
    <cellStyle name="40% - Accent1 125 3" xfId="11372"/>
    <cellStyle name="40% - Accent1 125 3 2" xfId="11373"/>
    <cellStyle name="40% - Accent1 125 4" xfId="11374"/>
    <cellStyle name="40% - Accent1 126" xfId="11375"/>
    <cellStyle name="40% - Accent1 126 2" xfId="11376"/>
    <cellStyle name="40% - Accent1 126 2 2" xfId="11377"/>
    <cellStyle name="40% - Accent1 126 3" xfId="11378"/>
    <cellStyle name="40% - Accent1 126 3 2" xfId="11379"/>
    <cellStyle name="40% - Accent1 126 4" xfId="11380"/>
    <cellStyle name="40% - Accent1 127" xfId="11381"/>
    <cellStyle name="40% - Accent1 127 2" xfId="11382"/>
    <cellStyle name="40% - Accent1 127 2 2" xfId="11383"/>
    <cellStyle name="40% - Accent1 127 3" xfId="11384"/>
    <cellStyle name="40% - Accent1 127 3 2" xfId="11385"/>
    <cellStyle name="40% - Accent1 127 4" xfId="11386"/>
    <cellStyle name="40% - Accent1 128" xfId="11387"/>
    <cellStyle name="40% - Accent1 128 2" xfId="11388"/>
    <cellStyle name="40% - Accent1 128 2 2" xfId="11389"/>
    <cellStyle name="40% - Accent1 128 3" xfId="11390"/>
    <cellStyle name="40% - Accent1 128 3 2" xfId="11391"/>
    <cellStyle name="40% - Accent1 128 4" xfId="11392"/>
    <cellStyle name="40% - Accent1 129" xfId="11393"/>
    <cellStyle name="40% - Accent1 129 2" xfId="11394"/>
    <cellStyle name="40% - Accent1 129 2 2" xfId="11395"/>
    <cellStyle name="40% - Accent1 129 3" xfId="11396"/>
    <cellStyle name="40% - Accent1 129 3 2" xfId="11397"/>
    <cellStyle name="40% - Accent1 129 4" xfId="11398"/>
    <cellStyle name="40% - Accent1 13" xfId="11399"/>
    <cellStyle name="40% - Accent1 13 2" xfId="11400"/>
    <cellStyle name="40% - Accent1 13 2 2" xfId="11401"/>
    <cellStyle name="40% - Accent1 13 2 2 2" xfId="11402"/>
    <cellStyle name="40% - Accent1 13 2 3" xfId="11403"/>
    <cellStyle name="40% - Accent1 13 2 3 2" xfId="11404"/>
    <cellStyle name="40% - Accent1 13 2 4" xfId="11405"/>
    <cellStyle name="40% - Accent1 13 3" xfId="11406"/>
    <cellStyle name="40% - Accent1 13 3 2" xfId="11407"/>
    <cellStyle name="40% - Accent1 13 3 2 2" xfId="11408"/>
    <cellStyle name="40% - Accent1 13 3 3" xfId="11409"/>
    <cellStyle name="40% - Accent1 13 3 3 2" xfId="11410"/>
    <cellStyle name="40% - Accent1 13 3 4" xfId="11411"/>
    <cellStyle name="40% - Accent1 13 4" xfId="11412"/>
    <cellStyle name="40% - Accent1 13 4 2" xfId="11413"/>
    <cellStyle name="40% - Accent1 13 5" xfId="11414"/>
    <cellStyle name="40% - Accent1 13 5 2" xfId="11415"/>
    <cellStyle name="40% - Accent1 13 6" xfId="11416"/>
    <cellStyle name="40% - Accent1 130" xfId="11417"/>
    <cellStyle name="40% - Accent1 130 2" xfId="11418"/>
    <cellStyle name="40% - Accent1 130 2 2" xfId="11419"/>
    <cellStyle name="40% - Accent1 130 3" xfId="11420"/>
    <cellStyle name="40% - Accent1 130 3 2" xfId="11421"/>
    <cellStyle name="40% - Accent1 130 4" xfId="11422"/>
    <cellStyle name="40% - Accent1 131" xfId="11423"/>
    <cellStyle name="40% - Accent1 131 2" xfId="11424"/>
    <cellStyle name="40% - Accent1 131 2 2" xfId="11425"/>
    <cellStyle name="40% - Accent1 131 3" xfId="11426"/>
    <cellStyle name="40% - Accent1 131 3 2" xfId="11427"/>
    <cellStyle name="40% - Accent1 131 4" xfId="11428"/>
    <cellStyle name="40% - Accent1 132" xfId="11429"/>
    <cellStyle name="40% - Accent1 132 2" xfId="11430"/>
    <cellStyle name="40% - Accent1 132 2 2" xfId="11431"/>
    <cellStyle name="40% - Accent1 132 3" xfId="11432"/>
    <cellStyle name="40% - Accent1 132 3 2" xfId="11433"/>
    <cellStyle name="40% - Accent1 132 4" xfId="11434"/>
    <cellStyle name="40% - Accent1 133" xfId="11435"/>
    <cellStyle name="40% - Accent1 133 2" xfId="11436"/>
    <cellStyle name="40% - Accent1 133 2 2" xfId="11437"/>
    <cellStyle name="40% - Accent1 133 3" xfId="11438"/>
    <cellStyle name="40% - Accent1 133 3 2" xfId="11439"/>
    <cellStyle name="40% - Accent1 133 4" xfId="11440"/>
    <cellStyle name="40% - Accent1 134" xfId="11441"/>
    <cellStyle name="40% - Accent1 134 2" xfId="11442"/>
    <cellStyle name="40% - Accent1 134 2 2" xfId="11443"/>
    <cellStyle name="40% - Accent1 134 3" xfId="11444"/>
    <cellStyle name="40% - Accent1 134 3 2" xfId="11445"/>
    <cellStyle name="40% - Accent1 134 4" xfId="11446"/>
    <cellStyle name="40% - Accent1 135" xfId="11447"/>
    <cellStyle name="40% - Accent1 135 2" xfId="11448"/>
    <cellStyle name="40% - Accent1 135 2 2" xfId="11449"/>
    <cellStyle name="40% - Accent1 135 3" xfId="11450"/>
    <cellStyle name="40% - Accent1 135 3 2" xfId="11451"/>
    <cellStyle name="40% - Accent1 135 4" xfId="11452"/>
    <cellStyle name="40% - Accent1 136" xfId="11453"/>
    <cellStyle name="40% - Accent1 136 2" xfId="11454"/>
    <cellStyle name="40% - Accent1 136 2 2" xfId="11455"/>
    <cellStyle name="40% - Accent1 136 3" xfId="11456"/>
    <cellStyle name="40% - Accent1 136 3 2" xfId="11457"/>
    <cellStyle name="40% - Accent1 136 4" xfId="11458"/>
    <cellStyle name="40% - Accent1 137" xfId="11459"/>
    <cellStyle name="40% - Accent1 137 2" xfId="11460"/>
    <cellStyle name="40% - Accent1 137 2 2" xfId="11461"/>
    <cellStyle name="40% - Accent1 137 3" xfId="11462"/>
    <cellStyle name="40% - Accent1 137 3 2" xfId="11463"/>
    <cellStyle name="40% - Accent1 137 4" xfId="11464"/>
    <cellStyle name="40% - Accent1 138" xfId="11465"/>
    <cellStyle name="40% - Accent1 138 2" xfId="11466"/>
    <cellStyle name="40% - Accent1 138 2 2" xfId="11467"/>
    <cellStyle name="40% - Accent1 138 3" xfId="11468"/>
    <cellStyle name="40% - Accent1 138 3 2" xfId="11469"/>
    <cellStyle name="40% - Accent1 138 4" xfId="11470"/>
    <cellStyle name="40% - Accent1 139" xfId="11471"/>
    <cellStyle name="40% - Accent1 139 2" xfId="11472"/>
    <cellStyle name="40% - Accent1 139 2 2" xfId="11473"/>
    <cellStyle name="40% - Accent1 139 3" xfId="11474"/>
    <cellStyle name="40% - Accent1 139 3 2" xfId="11475"/>
    <cellStyle name="40% - Accent1 139 4" xfId="11476"/>
    <cellStyle name="40% - Accent1 14" xfId="11477"/>
    <cellStyle name="40% - Accent1 14 2" xfId="11478"/>
    <cellStyle name="40% - Accent1 14 2 2" xfId="11479"/>
    <cellStyle name="40% - Accent1 14 2 2 2" xfId="11480"/>
    <cellStyle name="40% - Accent1 14 2 3" xfId="11481"/>
    <cellStyle name="40% - Accent1 14 2 3 2" xfId="11482"/>
    <cellStyle name="40% - Accent1 14 2 4" xfId="11483"/>
    <cellStyle name="40% - Accent1 14 3" xfId="11484"/>
    <cellStyle name="40% - Accent1 14 3 2" xfId="11485"/>
    <cellStyle name="40% - Accent1 14 3 2 2" xfId="11486"/>
    <cellStyle name="40% - Accent1 14 3 3" xfId="11487"/>
    <cellStyle name="40% - Accent1 14 3 3 2" xfId="11488"/>
    <cellStyle name="40% - Accent1 14 3 4" xfId="11489"/>
    <cellStyle name="40% - Accent1 14 4" xfId="11490"/>
    <cellStyle name="40% - Accent1 14 4 2" xfId="11491"/>
    <cellStyle name="40% - Accent1 14 5" xfId="11492"/>
    <cellStyle name="40% - Accent1 14 5 2" xfId="11493"/>
    <cellStyle name="40% - Accent1 14 6" xfId="11494"/>
    <cellStyle name="40% - Accent1 140" xfId="11495"/>
    <cellStyle name="40% - Accent1 140 2" xfId="11496"/>
    <cellStyle name="40% - Accent1 140 2 2" xfId="11497"/>
    <cellStyle name="40% - Accent1 140 3" xfId="11498"/>
    <cellStyle name="40% - Accent1 140 3 2" xfId="11499"/>
    <cellStyle name="40% - Accent1 140 4" xfId="11500"/>
    <cellStyle name="40% - Accent1 141" xfId="11501"/>
    <cellStyle name="40% - Accent1 141 2" xfId="11502"/>
    <cellStyle name="40% - Accent1 141 2 2" xfId="11503"/>
    <cellStyle name="40% - Accent1 141 3" xfId="11504"/>
    <cellStyle name="40% - Accent1 141 3 2" xfId="11505"/>
    <cellStyle name="40% - Accent1 141 4" xfId="11506"/>
    <cellStyle name="40% - Accent1 142" xfId="11507"/>
    <cellStyle name="40% - Accent1 142 2" xfId="11508"/>
    <cellStyle name="40% - Accent1 142 2 2" xfId="11509"/>
    <cellStyle name="40% - Accent1 142 3" xfId="11510"/>
    <cellStyle name="40% - Accent1 142 3 2" xfId="11511"/>
    <cellStyle name="40% - Accent1 142 4" xfId="11512"/>
    <cellStyle name="40% - Accent1 143" xfId="11513"/>
    <cellStyle name="40% - Accent1 143 2" xfId="11514"/>
    <cellStyle name="40% - Accent1 143 2 2" xfId="11515"/>
    <cellStyle name="40% - Accent1 143 3" xfId="11516"/>
    <cellStyle name="40% - Accent1 143 3 2" xfId="11517"/>
    <cellStyle name="40% - Accent1 143 4" xfId="11518"/>
    <cellStyle name="40% - Accent1 144" xfId="11519"/>
    <cellStyle name="40% - Accent1 144 2" xfId="11520"/>
    <cellStyle name="40% - Accent1 144 2 2" xfId="11521"/>
    <cellStyle name="40% - Accent1 144 3" xfId="11522"/>
    <cellStyle name="40% - Accent1 144 3 2" xfId="11523"/>
    <cellStyle name="40% - Accent1 144 4" xfId="11524"/>
    <cellStyle name="40% - Accent1 145" xfId="11525"/>
    <cellStyle name="40% - Accent1 145 2" xfId="11526"/>
    <cellStyle name="40% - Accent1 145 2 2" xfId="11527"/>
    <cellStyle name="40% - Accent1 145 3" xfId="11528"/>
    <cellStyle name="40% - Accent1 145 3 2" xfId="11529"/>
    <cellStyle name="40% - Accent1 145 4" xfId="11530"/>
    <cellStyle name="40% - Accent1 146" xfId="11531"/>
    <cellStyle name="40% - Accent1 146 2" xfId="11532"/>
    <cellStyle name="40% - Accent1 146 2 2" xfId="11533"/>
    <cellStyle name="40% - Accent1 146 3" xfId="11534"/>
    <cellStyle name="40% - Accent1 146 3 2" xfId="11535"/>
    <cellStyle name="40% - Accent1 146 4" xfId="11536"/>
    <cellStyle name="40% - Accent1 147" xfId="11537"/>
    <cellStyle name="40% - Accent1 147 2" xfId="11538"/>
    <cellStyle name="40% - Accent1 147 2 2" xfId="11539"/>
    <cellStyle name="40% - Accent1 147 3" xfId="11540"/>
    <cellStyle name="40% - Accent1 147 3 2" xfId="11541"/>
    <cellStyle name="40% - Accent1 147 4" xfId="11542"/>
    <cellStyle name="40% - Accent1 148" xfId="11543"/>
    <cellStyle name="40% - Accent1 148 2" xfId="11544"/>
    <cellStyle name="40% - Accent1 148 2 2" xfId="11545"/>
    <cellStyle name="40% - Accent1 148 3" xfId="11546"/>
    <cellStyle name="40% - Accent1 148 3 2" xfId="11547"/>
    <cellStyle name="40% - Accent1 148 4" xfId="11548"/>
    <cellStyle name="40% - Accent1 149" xfId="11549"/>
    <cellStyle name="40% - Accent1 149 2" xfId="11550"/>
    <cellStyle name="40% - Accent1 149 2 2" xfId="11551"/>
    <cellStyle name="40% - Accent1 149 3" xfId="11552"/>
    <cellStyle name="40% - Accent1 149 3 2" xfId="11553"/>
    <cellStyle name="40% - Accent1 149 4" xfId="11554"/>
    <cellStyle name="40% - Accent1 15" xfId="11555"/>
    <cellStyle name="40% - Accent1 15 2" xfId="11556"/>
    <cellStyle name="40% - Accent1 15 2 2" xfId="11557"/>
    <cellStyle name="40% - Accent1 15 2 2 2" xfId="11558"/>
    <cellStyle name="40% - Accent1 15 2 3" xfId="11559"/>
    <cellStyle name="40% - Accent1 15 2 3 2" xfId="11560"/>
    <cellStyle name="40% - Accent1 15 2 4" xfId="11561"/>
    <cellStyle name="40% - Accent1 15 3" xfId="11562"/>
    <cellStyle name="40% - Accent1 15 3 2" xfId="11563"/>
    <cellStyle name="40% - Accent1 15 3 2 2" xfId="11564"/>
    <cellStyle name="40% - Accent1 15 3 3" xfId="11565"/>
    <cellStyle name="40% - Accent1 15 3 3 2" xfId="11566"/>
    <cellStyle name="40% - Accent1 15 3 4" xfId="11567"/>
    <cellStyle name="40% - Accent1 15 4" xfId="11568"/>
    <cellStyle name="40% - Accent1 15 4 2" xfId="11569"/>
    <cellStyle name="40% - Accent1 15 5" xfId="11570"/>
    <cellStyle name="40% - Accent1 15 5 2" xfId="11571"/>
    <cellStyle name="40% - Accent1 15 6" xfId="11572"/>
    <cellStyle name="40% - Accent1 150" xfId="11573"/>
    <cellStyle name="40% - Accent1 150 2" xfId="11574"/>
    <cellStyle name="40% - Accent1 150 2 2" xfId="11575"/>
    <cellStyle name="40% - Accent1 150 3" xfId="11576"/>
    <cellStyle name="40% - Accent1 150 3 2" xfId="11577"/>
    <cellStyle name="40% - Accent1 150 4" xfId="11578"/>
    <cellStyle name="40% - Accent1 151" xfId="11579"/>
    <cellStyle name="40% - Accent1 151 2" xfId="11580"/>
    <cellStyle name="40% - Accent1 151 2 2" xfId="11581"/>
    <cellStyle name="40% - Accent1 151 3" xfId="11582"/>
    <cellStyle name="40% - Accent1 151 3 2" xfId="11583"/>
    <cellStyle name="40% - Accent1 151 4" xfId="11584"/>
    <cellStyle name="40% - Accent1 152" xfId="11585"/>
    <cellStyle name="40% - Accent1 152 2" xfId="11586"/>
    <cellStyle name="40% - Accent1 152 2 2" xfId="11587"/>
    <cellStyle name="40% - Accent1 152 3" xfId="11588"/>
    <cellStyle name="40% - Accent1 152 3 2" xfId="11589"/>
    <cellStyle name="40% - Accent1 152 4" xfId="11590"/>
    <cellStyle name="40% - Accent1 153" xfId="11591"/>
    <cellStyle name="40% - Accent1 153 2" xfId="11592"/>
    <cellStyle name="40% - Accent1 153 2 2" xfId="11593"/>
    <cellStyle name="40% - Accent1 153 3" xfId="11594"/>
    <cellStyle name="40% - Accent1 153 3 2" xfId="11595"/>
    <cellStyle name="40% - Accent1 153 4" xfId="11596"/>
    <cellStyle name="40% - Accent1 154" xfId="11597"/>
    <cellStyle name="40% - Accent1 154 2" xfId="11598"/>
    <cellStyle name="40% - Accent1 154 2 2" xfId="11599"/>
    <cellStyle name="40% - Accent1 154 3" xfId="11600"/>
    <cellStyle name="40% - Accent1 154 3 2" xfId="11601"/>
    <cellStyle name="40% - Accent1 154 4" xfId="11602"/>
    <cellStyle name="40% - Accent1 155" xfId="11603"/>
    <cellStyle name="40% - Accent1 155 2" xfId="11604"/>
    <cellStyle name="40% - Accent1 155 2 2" xfId="11605"/>
    <cellStyle name="40% - Accent1 155 3" xfId="11606"/>
    <cellStyle name="40% - Accent1 155 3 2" xfId="11607"/>
    <cellStyle name="40% - Accent1 155 4" xfId="11608"/>
    <cellStyle name="40% - Accent1 156" xfId="11609"/>
    <cellStyle name="40% - Accent1 156 2" xfId="11610"/>
    <cellStyle name="40% - Accent1 156 2 2" xfId="11611"/>
    <cellStyle name="40% - Accent1 156 3" xfId="11612"/>
    <cellStyle name="40% - Accent1 156 3 2" xfId="11613"/>
    <cellStyle name="40% - Accent1 156 4" xfId="11614"/>
    <cellStyle name="40% - Accent1 157" xfId="11615"/>
    <cellStyle name="40% - Accent1 157 2" xfId="11616"/>
    <cellStyle name="40% - Accent1 157 2 2" xfId="11617"/>
    <cellStyle name="40% - Accent1 157 3" xfId="11618"/>
    <cellStyle name="40% - Accent1 157 3 2" xfId="11619"/>
    <cellStyle name="40% - Accent1 157 4" xfId="11620"/>
    <cellStyle name="40% - Accent1 158" xfId="11621"/>
    <cellStyle name="40% - Accent1 158 2" xfId="11622"/>
    <cellStyle name="40% - Accent1 158 2 2" xfId="11623"/>
    <cellStyle name="40% - Accent1 158 3" xfId="11624"/>
    <cellStyle name="40% - Accent1 158 3 2" xfId="11625"/>
    <cellStyle name="40% - Accent1 158 4" xfId="11626"/>
    <cellStyle name="40% - Accent1 159" xfId="11627"/>
    <cellStyle name="40% - Accent1 159 2" xfId="11628"/>
    <cellStyle name="40% - Accent1 159 2 2" xfId="11629"/>
    <cellStyle name="40% - Accent1 159 3" xfId="11630"/>
    <cellStyle name="40% - Accent1 159 3 2" xfId="11631"/>
    <cellStyle name="40% - Accent1 159 4" xfId="11632"/>
    <cellStyle name="40% - Accent1 16" xfId="11633"/>
    <cellStyle name="40% - Accent1 16 2" xfId="11634"/>
    <cellStyle name="40% - Accent1 16 2 2" xfId="11635"/>
    <cellStyle name="40% - Accent1 16 2 2 2" xfId="11636"/>
    <cellStyle name="40% - Accent1 16 2 3" xfId="11637"/>
    <cellStyle name="40% - Accent1 16 2 3 2" xfId="11638"/>
    <cellStyle name="40% - Accent1 16 2 4" xfId="11639"/>
    <cellStyle name="40% - Accent1 16 3" xfId="11640"/>
    <cellStyle name="40% - Accent1 16 3 2" xfId="11641"/>
    <cellStyle name="40% - Accent1 16 3 2 2" xfId="11642"/>
    <cellStyle name="40% - Accent1 16 3 3" xfId="11643"/>
    <cellStyle name="40% - Accent1 16 3 3 2" xfId="11644"/>
    <cellStyle name="40% - Accent1 16 3 4" xfId="11645"/>
    <cellStyle name="40% - Accent1 16 4" xfId="11646"/>
    <cellStyle name="40% - Accent1 16 4 2" xfId="11647"/>
    <cellStyle name="40% - Accent1 16 5" xfId="11648"/>
    <cellStyle name="40% - Accent1 16 5 2" xfId="11649"/>
    <cellStyle name="40% - Accent1 16 6" xfId="11650"/>
    <cellStyle name="40% - Accent1 160" xfId="11651"/>
    <cellStyle name="40% - Accent1 160 2" xfId="11652"/>
    <cellStyle name="40% - Accent1 160 2 2" xfId="11653"/>
    <cellStyle name="40% - Accent1 160 3" xfId="11654"/>
    <cellStyle name="40% - Accent1 160 3 2" xfId="11655"/>
    <cellStyle name="40% - Accent1 160 4" xfId="11656"/>
    <cellStyle name="40% - Accent1 161" xfId="11657"/>
    <cellStyle name="40% - Accent1 161 2" xfId="11658"/>
    <cellStyle name="40% - Accent1 161 2 2" xfId="11659"/>
    <cellStyle name="40% - Accent1 161 3" xfId="11660"/>
    <cellStyle name="40% - Accent1 161 3 2" xfId="11661"/>
    <cellStyle name="40% - Accent1 161 4" xfId="11662"/>
    <cellStyle name="40% - Accent1 162" xfId="11663"/>
    <cellStyle name="40% - Accent1 162 2" xfId="11664"/>
    <cellStyle name="40% - Accent1 162 2 2" xfId="11665"/>
    <cellStyle name="40% - Accent1 162 3" xfId="11666"/>
    <cellStyle name="40% - Accent1 162 3 2" xfId="11667"/>
    <cellStyle name="40% - Accent1 162 4" xfId="11668"/>
    <cellStyle name="40% - Accent1 163" xfId="11669"/>
    <cellStyle name="40% - Accent1 163 2" xfId="11670"/>
    <cellStyle name="40% - Accent1 163 2 2" xfId="11671"/>
    <cellStyle name="40% - Accent1 163 3" xfId="11672"/>
    <cellStyle name="40% - Accent1 163 3 2" xfId="11673"/>
    <cellStyle name="40% - Accent1 163 4" xfId="11674"/>
    <cellStyle name="40% - Accent1 164" xfId="11675"/>
    <cellStyle name="40% - Accent1 164 2" xfId="11676"/>
    <cellStyle name="40% - Accent1 164 2 2" xfId="11677"/>
    <cellStyle name="40% - Accent1 164 3" xfId="11678"/>
    <cellStyle name="40% - Accent1 164 3 2" xfId="11679"/>
    <cellStyle name="40% - Accent1 164 4" xfId="11680"/>
    <cellStyle name="40% - Accent1 165" xfId="11681"/>
    <cellStyle name="40% - Accent1 165 2" xfId="11682"/>
    <cellStyle name="40% - Accent1 165 2 2" xfId="11683"/>
    <cellStyle name="40% - Accent1 165 3" xfId="11684"/>
    <cellStyle name="40% - Accent1 165 3 2" xfId="11685"/>
    <cellStyle name="40% - Accent1 165 4" xfId="11686"/>
    <cellStyle name="40% - Accent1 166" xfId="11687"/>
    <cellStyle name="40% - Accent1 166 2" xfId="11688"/>
    <cellStyle name="40% - Accent1 166 2 2" xfId="11689"/>
    <cellStyle name="40% - Accent1 166 3" xfId="11690"/>
    <cellStyle name="40% - Accent1 166 3 2" xfId="11691"/>
    <cellStyle name="40% - Accent1 166 4" xfId="11692"/>
    <cellStyle name="40% - Accent1 167" xfId="11693"/>
    <cellStyle name="40% - Accent1 167 2" xfId="11694"/>
    <cellStyle name="40% - Accent1 167 2 2" xfId="11695"/>
    <cellStyle name="40% - Accent1 167 3" xfId="11696"/>
    <cellStyle name="40% - Accent1 167 3 2" xfId="11697"/>
    <cellStyle name="40% - Accent1 167 4" xfId="11698"/>
    <cellStyle name="40% - Accent1 168" xfId="11699"/>
    <cellStyle name="40% - Accent1 168 2" xfId="11700"/>
    <cellStyle name="40% - Accent1 168 2 2" xfId="11701"/>
    <cellStyle name="40% - Accent1 168 3" xfId="11702"/>
    <cellStyle name="40% - Accent1 168 3 2" xfId="11703"/>
    <cellStyle name="40% - Accent1 168 4" xfId="11704"/>
    <cellStyle name="40% - Accent1 169" xfId="11705"/>
    <cellStyle name="40% - Accent1 169 2" xfId="11706"/>
    <cellStyle name="40% - Accent1 169 2 2" xfId="11707"/>
    <cellStyle name="40% - Accent1 169 3" xfId="11708"/>
    <cellStyle name="40% - Accent1 169 3 2" xfId="11709"/>
    <cellStyle name="40% - Accent1 169 4" xfId="11710"/>
    <cellStyle name="40% - Accent1 17" xfId="11711"/>
    <cellStyle name="40% - Accent1 17 2" xfId="11712"/>
    <cellStyle name="40% - Accent1 17 2 2" xfId="11713"/>
    <cellStyle name="40% - Accent1 17 2 2 2" xfId="11714"/>
    <cellStyle name="40% - Accent1 17 2 3" xfId="11715"/>
    <cellStyle name="40% - Accent1 17 2 3 2" xfId="11716"/>
    <cellStyle name="40% - Accent1 17 2 4" xfId="11717"/>
    <cellStyle name="40% - Accent1 17 3" xfId="11718"/>
    <cellStyle name="40% - Accent1 17 3 2" xfId="11719"/>
    <cellStyle name="40% - Accent1 17 3 2 2" xfId="11720"/>
    <cellStyle name="40% - Accent1 17 3 3" xfId="11721"/>
    <cellStyle name="40% - Accent1 17 3 3 2" xfId="11722"/>
    <cellStyle name="40% - Accent1 17 3 4" xfId="11723"/>
    <cellStyle name="40% - Accent1 17 4" xfId="11724"/>
    <cellStyle name="40% - Accent1 17 4 2" xfId="11725"/>
    <cellStyle name="40% - Accent1 17 5" xfId="11726"/>
    <cellStyle name="40% - Accent1 17 5 2" xfId="11727"/>
    <cellStyle name="40% - Accent1 17 6" xfId="11728"/>
    <cellStyle name="40% - Accent1 170" xfId="11729"/>
    <cellStyle name="40% - Accent1 170 2" xfId="11730"/>
    <cellStyle name="40% - Accent1 170 2 2" xfId="11731"/>
    <cellStyle name="40% - Accent1 170 3" xfId="11732"/>
    <cellStyle name="40% - Accent1 170 3 2" xfId="11733"/>
    <cellStyle name="40% - Accent1 170 4" xfId="11734"/>
    <cellStyle name="40% - Accent1 171" xfId="11735"/>
    <cellStyle name="40% - Accent1 171 2" xfId="11736"/>
    <cellStyle name="40% - Accent1 171 2 2" xfId="11737"/>
    <cellStyle name="40% - Accent1 171 3" xfId="11738"/>
    <cellStyle name="40% - Accent1 171 3 2" xfId="11739"/>
    <cellStyle name="40% - Accent1 171 4" xfId="11740"/>
    <cellStyle name="40% - Accent1 172" xfId="11741"/>
    <cellStyle name="40% - Accent1 172 2" xfId="11742"/>
    <cellStyle name="40% - Accent1 172 2 2" xfId="11743"/>
    <cellStyle name="40% - Accent1 172 3" xfId="11744"/>
    <cellStyle name="40% - Accent1 172 3 2" xfId="11745"/>
    <cellStyle name="40% - Accent1 172 4" xfId="11746"/>
    <cellStyle name="40% - Accent1 173" xfId="11747"/>
    <cellStyle name="40% - Accent1 173 2" xfId="11748"/>
    <cellStyle name="40% - Accent1 173 2 2" xfId="11749"/>
    <cellStyle name="40% - Accent1 173 3" xfId="11750"/>
    <cellStyle name="40% - Accent1 173 3 2" xfId="11751"/>
    <cellStyle name="40% - Accent1 173 4" xfId="11752"/>
    <cellStyle name="40% - Accent1 174" xfId="11753"/>
    <cellStyle name="40% - Accent1 174 2" xfId="11754"/>
    <cellStyle name="40% - Accent1 174 2 2" xfId="11755"/>
    <cellStyle name="40% - Accent1 174 3" xfId="11756"/>
    <cellStyle name="40% - Accent1 174 3 2" xfId="11757"/>
    <cellStyle name="40% - Accent1 174 4" xfId="11758"/>
    <cellStyle name="40% - Accent1 175" xfId="11759"/>
    <cellStyle name="40% - Accent1 175 2" xfId="11760"/>
    <cellStyle name="40% - Accent1 175 2 2" xfId="11761"/>
    <cellStyle name="40% - Accent1 175 3" xfId="11762"/>
    <cellStyle name="40% - Accent1 175 3 2" xfId="11763"/>
    <cellStyle name="40% - Accent1 175 4" xfId="11764"/>
    <cellStyle name="40% - Accent1 176" xfId="11765"/>
    <cellStyle name="40% - Accent1 176 2" xfId="11766"/>
    <cellStyle name="40% - Accent1 176 2 2" xfId="11767"/>
    <cellStyle name="40% - Accent1 176 3" xfId="11768"/>
    <cellStyle name="40% - Accent1 176 3 2" xfId="11769"/>
    <cellStyle name="40% - Accent1 176 4" xfId="11770"/>
    <cellStyle name="40% - Accent1 177" xfId="11771"/>
    <cellStyle name="40% - Accent1 177 2" xfId="11772"/>
    <cellStyle name="40% - Accent1 177 2 2" xfId="11773"/>
    <cellStyle name="40% - Accent1 177 3" xfId="11774"/>
    <cellStyle name="40% - Accent1 177 3 2" xfId="11775"/>
    <cellStyle name="40% - Accent1 177 4" xfId="11776"/>
    <cellStyle name="40% - Accent1 178" xfId="11777"/>
    <cellStyle name="40% - Accent1 178 2" xfId="11778"/>
    <cellStyle name="40% - Accent1 178 2 2" xfId="11779"/>
    <cellStyle name="40% - Accent1 178 3" xfId="11780"/>
    <cellStyle name="40% - Accent1 178 3 2" xfId="11781"/>
    <cellStyle name="40% - Accent1 178 4" xfId="11782"/>
    <cellStyle name="40% - Accent1 179" xfId="11783"/>
    <cellStyle name="40% - Accent1 179 2" xfId="11784"/>
    <cellStyle name="40% - Accent1 179 2 2" xfId="11785"/>
    <cellStyle name="40% - Accent1 179 3" xfId="11786"/>
    <cellStyle name="40% - Accent1 179 3 2" xfId="11787"/>
    <cellStyle name="40% - Accent1 179 4" xfId="11788"/>
    <cellStyle name="40% - Accent1 18" xfId="11789"/>
    <cellStyle name="40% - Accent1 18 2" xfId="11790"/>
    <cellStyle name="40% - Accent1 18 2 2" xfId="11791"/>
    <cellStyle name="40% - Accent1 18 2 2 2" xfId="11792"/>
    <cellStyle name="40% - Accent1 18 2 3" xfId="11793"/>
    <cellStyle name="40% - Accent1 18 2 3 2" xfId="11794"/>
    <cellStyle name="40% - Accent1 18 2 4" xfId="11795"/>
    <cellStyle name="40% - Accent1 18 3" xfId="11796"/>
    <cellStyle name="40% - Accent1 18 3 2" xfId="11797"/>
    <cellStyle name="40% - Accent1 18 3 2 2" xfId="11798"/>
    <cellStyle name="40% - Accent1 18 3 3" xfId="11799"/>
    <cellStyle name="40% - Accent1 18 3 3 2" xfId="11800"/>
    <cellStyle name="40% - Accent1 18 3 4" xfId="11801"/>
    <cellStyle name="40% - Accent1 18 4" xfId="11802"/>
    <cellStyle name="40% - Accent1 18 4 2" xfId="11803"/>
    <cellStyle name="40% - Accent1 18 5" xfId="11804"/>
    <cellStyle name="40% - Accent1 18 5 2" xfId="11805"/>
    <cellStyle name="40% - Accent1 18 6" xfId="11806"/>
    <cellStyle name="40% - Accent1 180" xfId="11807"/>
    <cellStyle name="40% - Accent1 180 2" xfId="11808"/>
    <cellStyle name="40% - Accent1 180 2 2" xfId="11809"/>
    <cellStyle name="40% - Accent1 180 3" xfId="11810"/>
    <cellStyle name="40% - Accent1 180 3 2" xfId="11811"/>
    <cellStyle name="40% - Accent1 180 4" xfId="11812"/>
    <cellStyle name="40% - Accent1 181" xfId="11813"/>
    <cellStyle name="40% - Accent1 181 2" xfId="11814"/>
    <cellStyle name="40% - Accent1 181 2 2" xfId="11815"/>
    <cellStyle name="40% - Accent1 181 3" xfId="11816"/>
    <cellStyle name="40% - Accent1 181 3 2" xfId="11817"/>
    <cellStyle name="40% - Accent1 181 4" xfId="11818"/>
    <cellStyle name="40% - Accent1 182" xfId="11819"/>
    <cellStyle name="40% - Accent1 182 2" xfId="11820"/>
    <cellStyle name="40% - Accent1 182 2 2" xfId="11821"/>
    <cellStyle name="40% - Accent1 182 3" xfId="11822"/>
    <cellStyle name="40% - Accent1 182 3 2" xfId="11823"/>
    <cellStyle name="40% - Accent1 182 4" xfId="11824"/>
    <cellStyle name="40% - Accent1 183" xfId="11825"/>
    <cellStyle name="40% - Accent1 183 2" xfId="11826"/>
    <cellStyle name="40% - Accent1 183 2 2" xfId="11827"/>
    <cellStyle name="40% - Accent1 183 3" xfId="11828"/>
    <cellStyle name="40% - Accent1 183 3 2" xfId="11829"/>
    <cellStyle name="40% - Accent1 183 4" xfId="11830"/>
    <cellStyle name="40% - Accent1 184" xfId="11831"/>
    <cellStyle name="40% - Accent1 184 2" xfId="11832"/>
    <cellStyle name="40% - Accent1 184 2 2" xfId="11833"/>
    <cellStyle name="40% - Accent1 184 3" xfId="11834"/>
    <cellStyle name="40% - Accent1 184 3 2" xfId="11835"/>
    <cellStyle name="40% - Accent1 184 4" xfId="11836"/>
    <cellStyle name="40% - Accent1 185" xfId="11837"/>
    <cellStyle name="40% - Accent1 185 2" xfId="11838"/>
    <cellStyle name="40% - Accent1 185 2 2" xfId="11839"/>
    <cellStyle name="40% - Accent1 185 3" xfId="11840"/>
    <cellStyle name="40% - Accent1 185 3 2" xfId="11841"/>
    <cellStyle name="40% - Accent1 185 4" xfId="11842"/>
    <cellStyle name="40% - Accent1 186" xfId="11843"/>
    <cellStyle name="40% - Accent1 186 2" xfId="11844"/>
    <cellStyle name="40% - Accent1 186 2 2" xfId="11845"/>
    <cellStyle name="40% - Accent1 186 3" xfId="11846"/>
    <cellStyle name="40% - Accent1 186 3 2" xfId="11847"/>
    <cellStyle name="40% - Accent1 186 4" xfId="11848"/>
    <cellStyle name="40% - Accent1 187" xfId="11849"/>
    <cellStyle name="40% - Accent1 187 2" xfId="11850"/>
    <cellStyle name="40% - Accent1 187 2 2" xfId="11851"/>
    <cellStyle name="40% - Accent1 187 3" xfId="11852"/>
    <cellStyle name="40% - Accent1 187 3 2" xfId="11853"/>
    <cellStyle name="40% - Accent1 187 4" xfId="11854"/>
    <cellStyle name="40% - Accent1 188" xfId="11855"/>
    <cellStyle name="40% - Accent1 188 2" xfId="11856"/>
    <cellStyle name="40% - Accent1 188 2 2" xfId="11857"/>
    <cellStyle name="40% - Accent1 188 3" xfId="11858"/>
    <cellStyle name="40% - Accent1 188 3 2" xfId="11859"/>
    <cellStyle name="40% - Accent1 188 4" xfId="11860"/>
    <cellStyle name="40% - Accent1 189" xfId="11861"/>
    <cellStyle name="40% - Accent1 189 2" xfId="11862"/>
    <cellStyle name="40% - Accent1 189 2 2" xfId="11863"/>
    <cellStyle name="40% - Accent1 189 3" xfId="11864"/>
    <cellStyle name="40% - Accent1 189 3 2" xfId="11865"/>
    <cellStyle name="40% - Accent1 189 4" xfId="11866"/>
    <cellStyle name="40% - Accent1 19" xfId="11867"/>
    <cellStyle name="40% - Accent1 19 2" xfId="11868"/>
    <cellStyle name="40% - Accent1 19 2 2" xfId="11869"/>
    <cellStyle name="40% - Accent1 19 2 2 2" xfId="11870"/>
    <cellStyle name="40% - Accent1 19 2 3" xfId="11871"/>
    <cellStyle name="40% - Accent1 19 2 3 2" xfId="11872"/>
    <cellStyle name="40% - Accent1 19 2 4" xfId="11873"/>
    <cellStyle name="40% - Accent1 19 3" xfId="11874"/>
    <cellStyle name="40% - Accent1 19 3 2" xfId="11875"/>
    <cellStyle name="40% - Accent1 19 3 2 2" xfId="11876"/>
    <cellStyle name="40% - Accent1 19 3 3" xfId="11877"/>
    <cellStyle name="40% - Accent1 19 3 3 2" xfId="11878"/>
    <cellStyle name="40% - Accent1 19 3 4" xfId="11879"/>
    <cellStyle name="40% - Accent1 19 4" xfId="11880"/>
    <cellStyle name="40% - Accent1 19 4 2" xfId="11881"/>
    <cellStyle name="40% - Accent1 19 5" xfId="11882"/>
    <cellStyle name="40% - Accent1 19 5 2" xfId="11883"/>
    <cellStyle name="40% - Accent1 19 6" xfId="11884"/>
    <cellStyle name="40% - Accent1 190" xfId="11885"/>
    <cellStyle name="40% - Accent1 190 2" xfId="11886"/>
    <cellStyle name="40% - Accent1 190 2 2" xfId="11887"/>
    <cellStyle name="40% - Accent1 190 3" xfId="11888"/>
    <cellStyle name="40% - Accent1 190 3 2" xfId="11889"/>
    <cellStyle name="40% - Accent1 190 4" xfId="11890"/>
    <cellStyle name="40% - Accent1 191" xfId="11891"/>
    <cellStyle name="40% - Accent1 191 2" xfId="11892"/>
    <cellStyle name="40% - Accent1 191 2 2" xfId="11893"/>
    <cellStyle name="40% - Accent1 191 3" xfId="11894"/>
    <cellStyle name="40% - Accent1 191 3 2" xfId="11895"/>
    <cellStyle name="40% - Accent1 191 4" xfId="11896"/>
    <cellStyle name="40% - Accent1 192" xfId="11897"/>
    <cellStyle name="40% - Accent1 192 2" xfId="11898"/>
    <cellStyle name="40% - Accent1 192 2 2" xfId="11899"/>
    <cellStyle name="40% - Accent1 192 3" xfId="11900"/>
    <cellStyle name="40% - Accent1 192 3 2" xfId="11901"/>
    <cellStyle name="40% - Accent1 192 4" xfId="11902"/>
    <cellStyle name="40% - Accent1 193" xfId="11903"/>
    <cellStyle name="40% - Accent1 193 2" xfId="11904"/>
    <cellStyle name="40% - Accent1 193 2 2" xfId="11905"/>
    <cellStyle name="40% - Accent1 193 3" xfId="11906"/>
    <cellStyle name="40% - Accent1 193 3 2" xfId="11907"/>
    <cellStyle name="40% - Accent1 193 4" xfId="11908"/>
    <cellStyle name="40% - Accent1 194" xfId="11909"/>
    <cellStyle name="40% - Accent1 194 2" xfId="11910"/>
    <cellStyle name="40% - Accent1 194 2 2" xfId="11911"/>
    <cellStyle name="40% - Accent1 194 3" xfId="11912"/>
    <cellStyle name="40% - Accent1 194 3 2" xfId="11913"/>
    <cellStyle name="40% - Accent1 194 4" xfId="11914"/>
    <cellStyle name="40% - Accent1 195" xfId="11915"/>
    <cellStyle name="40% - Accent1 195 2" xfId="11916"/>
    <cellStyle name="40% - Accent1 195 2 2" xfId="11917"/>
    <cellStyle name="40% - Accent1 195 3" xfId="11918"/>
    <cellStyle name="40% - Accent1 195 3 2" xfId="11919"/>
    <cellStyle name="40% - Accent1 195 4" xfId="11920"/>
    <cellStyle name="40% - Accent1 196" xfId="11921"/>
    <cellStyle name="40% - Accent1 196 2" xfId="11922"/>
    <cellStyle name="40% - Accent1 196 2 2" xfId="11923"/>
    <cellStyle name="40% - Accent1 196 3" xfId="11924"/>
    <cellStyle name="40% - Accent1 196 3 2" xfId="11925"/>
    <cellStyle name="40% - Accent1 196 4" xfId="11926"/>
    <cellStyle name="40% - Accent1 197" xfId="11927"/>
    <cellStyle name="40% - Accent1 197 2" xfId="11928"/>
    <cellStyle name="40% - Accent1 197 2 2" xfId="11929"/>
    <cellStyle name="40% - Accent1 197 3" xfId="11930"/>
    <cellStyle name="40% - Accent1 197 3 2" xfId="11931"/>
    <cellStyle name="40% - Accent1 197 4" xfId="11932"/>
    <cellStyle name="40% - Accent1 198" xfId="11933"/>
    <cellStyle name="40% - Accent1 198 2" xfId="11934"/>
    <cellStyle name="40% - Accent1 198 2 2" xfId="11935"/>
    <cellStyle name="40% - Accent1 198 3" xfId="11936"/>
    <cellStyle name="40% - Accent1 198 3 2" xfId="11937"/>
    <cellStyle name="40% - Accent1 198 4" xfId="11938"/>
    <cellStyle name="40% - Accent1 199" xfId="11939"/>
    <cellStyle name="40% - Accent1 199 2" xfId="11940"/>
    <cellStyle name="40% - Accent1 199 2 2" xfId="11941"/>
    <cellStyle name="40% - Accent1 199 3" xfId="11942"/>
    <cellStyle name="40% - Accent1 199 3 2" xfId="11943"/>
    <cellStyle name="40% - Accent1 199 4" xfId="11944"/>
    <cellStyle name="40% - Accent1 2" xfId="11945"/>
    <cellStyle name="40% - Accent1 2 2" xfId="11946"/>
    <cellStyle name="40% - Accent1 2 2 2" xfId="11947"/>
    <cellStyle name="40% - Accent1 2 2 2 2" xfId="11948"/>
    <cellStyle name="40% - Accent1 2 2 3" xfId="11949"/>
    <cellStyle name="40% - Accent1 2 2 3 2" xfId="11950"/>
    <cellStyle name="40% - Accent1 2 2 4" xfId="11951"/>
    <cellStyle name="40% - Accent1 2 3" xfId="11952"/>
    <cellStyle name="40% - Accent1 2 3 2" xfId="11953"/>
    <cellStyle name="40% - Accent1 2 3 2 2" xfId="11954"/>
    <cellStyle name="40% - Accent1 2 3 3" xfId="11955"/>
    <cellStyle name="40% - Accent1 2 3 3 2" xfId="11956"/>
    <cellStyle name="40% - Accent1 2 3 4" xfId="11957"/>
    <cellStyle name="40% - Accent1 2 4" xfId="11958"/>
    <cellStyle name="40% - Accent1 2 4 2" xfId="11959"/>
    <cellStyle name="40% - Accent1 2 5" xfId="11960"/>
    <cellStyle name="40% - Accent1 2 5 2" xfId="11961"/>
    <cellStyle name="40% - Accent1 2 6" xfId="11962"/>
    <cellStyle name="40% - Accent1 20" xfId="11963"/>
    <cellStyle name="40% - Accent1 20 2" xfId="11964"/>
    <cellStyle name="40% - Accent1 20 2 2" xfId="11965"/>
    <cellStyle name="40% - Accent1 20 2 2 2" xfId="11966"/>
    <cellStyle name="40% - Accent1 20 2 3" xfId="11967"/>
    <cellStyle name="40% - Accent1 20 2 3 2" xfId="11968"/>
    <cellStyle name="40% - Accent1 20 2 4" xfId="11969"/>
    <cellStyle name="40% - Accent1 20 3" xfId="11970"/>
    <cellStyle name="40% - Accent1 20 3 2" xfId="11971"/>
    <cellStyle name="40% - Accent1 20 3 2 2" xfId="11972"/>
    <cellStyle name="40% - Accent1 20 3 3" xfId="11973"/>
    <cellStyle name="40% - Accent1 20 3 3 2" xfId="11974"/>
    <cellStyle name="40% - Accent1 20 3 4" xfId="11975"/>
    <cellStyle name="40% - Accent1 20 4" xfId="11976"/>
    <cellStyle name="40% - Accent1 20 4 2" xfId="11977"/>
    <cellStyle name="40% - Accent1 20 5" xfId="11978"/>
    <cellStyle name="40% - Accent1 20 5 2" xfId="11979"/>
    <cellStyle name="40% - Accent1 20 6" xfId="11980"/>
    <cellStyle name="40% - Accent1 200" xfId="11981"/>
    <cellStyle name="40% - Accent1 200 2" xfId="11982"/>
    <cellStyle name="40% - Accent1 200 2 2" xfId="11983"/>
    <cellStyle name="40% - Accent1 200 3" xfId="11984"/>
    <cellStyle name="40% - Accent1 200 3 2" xfId="11985"/>
    <cellStyle name="40% - Accent1 200 4" xfId="11986"/>
    <cellStyle name="40% - Accent1 201" xfId="11987"/>
    <cellStyle name="40% - Accent1 201 2" xfId="11988"/>
    <cellStyle name="40% - Accent1 201 2 2" xfId="11989"/>
    <cellStyle name="40% - Accent1 201 3" xfId="11990"/>
    <cellStyle name="40% - Accent1 201 3 2" xfId="11991"/>
    <cellStyle name="40% - Accent1 201 4" xfId="11992"/>
    <cellStyle name="40% - Accent1 202" xfId="11993"/>
    <cellStyle name="40% - Accent1 202 2" xfId="11994"/>
    <cellStyle name="40% - Accent1 202 2 2" xfId="11995"/>
    <cellStyle name="40% - Accent1 202 3" xfId="11996"/>
    <cellStyle name="40% - Accent1 202 3 2" xfId="11997"/>
    <cellStyle name="40% - Accent1 202 4" xfId="11998"/>
    <cellStyle name="40% - Accent1 203" xfId="11999"/>
    <cellStyle name="40% - Accent1 203 2" xfId="12000"/>
    <cellStyle name="40% - Accent1 203 2 2" xfId="12001"/>
    <cellStyle name="40% - Accent1 203 3" xfId="12002"/>
    <cellStyle name="40% - Accent1 203 3 2" xfId="12003"/>
    <cellStyle name="40% - Accent1 203 4" xfId="12004"/>
    <cellStyle name="40% - Accent1 204" xfId="12005"/>
    <cellStyle name="40% - Accent1 204 2" xfId="12006"/>
    <cellStyle name="40% - Accent1 204 2 2" xfId="12007"/>
    <cellStyle name="40% - Accent1 204 3" xfId="12008"/>
    <cellStyle name="40% - Accent1 204 3 2" xfId="12009"/>
    <cellStyle name="40% - Accent1 204 4" xfId="12010"/>
    <cellStyle name="40% - Accent1 205" xfId="12011"/>
    <cellStyle name="40% - Accent1 205 2" xfId="12012"/>
    <cellStyle name="40% - Accent1 205 2 2" xfId="12013"/>
    <cellStyle name="40% - Accent1 205 3" xfId="12014"/>
    <cellStyle name="40% - Accent1 205 3 2" xfId="12015"/>
    <cellStyle name="40% - Accent1 205 4" xfId="12016"/>
    <cellStyle name="40% - Accent1 206" xfId="12017"/>
    <cellStyle name="40% - Accent1 206 2" xfId="12018"/>
    <cellStyle name="40% - Accent1 206 2 2" xfId="12019"/>
    <cellStyle name="40% - Accent1 206 3" xfId="12020"/>
    <cellStyle name="40% - Accent1 206 3 2" xfId="12021"/>
    <cellStyle name="40% - Accent1 206 4" xfId="12022"/>
    <cellStyle name="40% - Accent1 207" xfId="12023"/>
    <cellStyle name="40% - Accent1 207 2" xfId="12024"/>
    <cellStyle name="40% - Accent1 207 2 2" xfId="12025"/>
    <cellStyle name="40% - Accent1 207 3" xfId="12026"/>
    <cellStyle name="40% - Accent1 207 3 2" xfId="12027"/>
    <cellStyle name="40% - Accent1 207 4" xfId="12028"/>
    <cellStyle name="40% - Accent1 208" xfId="12029"/>
    <cellStyle name="40% - Accent1 208 2" xfId="12030"/>
    <cellStyle name="40% - Accent1 208 2 2" xfId="12031"/>
    <cellStyle name="40% - Accent1 208 3" xfId="12032"/>
    <cellStyle name="40% - Accent1 208 3 2" xfId="12033"/>
    <cellStyle name="40% - Accent1 208 4" xfId="12034"/>
    <cellStyle name="40% - Accent1 209" xfId="12035"/>
    <cellStyle name="40% - Accent1 209 2" xfId="12036"/>
    <cellStyle name="40% - Accent1 209 2 2" xfId="12037"/>
    <cellStyle name="40% - Accent1 209 3" xfId="12038"/>
    <cellStyle name="40% - Accent1 209 3 2" xfId="12039"/>
    <cellStyle name="40% - Accent1 209 4" xfId="12040"/>
    <cellStyle name="40% - Accent1 21" xfId="12041"/>
    <cellStyle name="40% - Accent1 21 2" xfId="12042"/>
    <cellStyle name="40% - Accent1 21 2 2" xfId="12043"/>
    <cellStyle name="40% - Accent1 21 2 2 2" xfId="12044"/>
    <cellStyle name="40% - Accent1 21 2 3" xfId="12045"/>
    <cellStyle name="40% - Accent1 21 2 3 2" xfId="12046"/>
    <cellStyle name="40% - Accent1 21 2 4" xfId="12047"/>
    <cellStyle name="40% - Accent1 21 3" xfId="12048"/>
    <cellStyle name="40% - Accent1 21 3 2" xfId="12049"/>
    <cellStyle name="40% - Accent1 21 3 2 2" xfId="12050"/>
    <cellStyle name="40% - Accent1 21 3 3" xfId="12051"/>
    <cellStyle name="40% - Accent1 21 3 3 2" xfId="12052"/>
    <cellStyle name="40% - Accent1 21 3 4" xfId="12053"/>
    <cellStyle name="40% - Accent1 21 4" xfId="12054"/>
    <cellStyle name="40% - Accent1 21 4 2" xfId="12055"/>
    <cellStyle name="40% - Accent1 21 5" xfId="12056"/>
    <cellStyle name="40% - Accent1 21 5 2" xfId="12057"/>
    <cellStyle name="40% - Accent1 21 6" xfId="12058"/>
    <cellStyle name="40% - Accent1 210" xfId="12059"/>
    <cellStyle name="40% - Accent1 210 2" xfId="12060"/>
    <cellStyle name="40% - Accent1 210 2 2" xfId="12061"/>
    <cellStyle name="40% - Accent1 210 3" xfId="12062"/>
    <cellStyle name="40% - Accent1 210 3 2" xfId="12063"/>
    <cellStyle name="40% - Accent1 210 4" xfId="12064"/>
    <cellStyle name="40% - Accent1 211" xfId="12065"/>
    <cellStyle name="40% - Accent1 211 2" xfId="12066"/>
    <cellStyle name="40% - Accent1 211 2 2" xfId="12067"/>
    <cellStyle name="40% - Accent1 211 3" xfId="12068"/>
    <cellStyle name="40% - Accent1 211 3 2" xfId="12069"/>
    <cellStyle name="40% - Accent1 211 4" xfId="12070"/>
    <cellStyle name="40% - Accent1 212" xfId="12071"/>
    <cellStyle name="40% - Accent1 212 2" xfId="12072"/>
    <cellStyle name="40% - Accent1 212 2 2" xfId="12073"/>
    <cellStyle name="40% - Accent1 212 3" xfId="12074"/>
    <cellStyle name="40% - Accent1 212 3 2" xfId="12075"/>
    <cellStyle name="40% - Accent1 212 4" xfId="12076"/>
    <cellStyle name="40% - Accent1 213" xfId="12077"/>
    <cellStyle name="40% - Accent1 213 2" xfId="12078"/>
    <cellStyle name="40% - Accent1 213 2 2" xfId="12079"/>
    <cellStyle name="40% - Accent1 213 3" xfId="12080"/>
    <cellStyle name="40% - Accent1 213 3 2" xfId="12081"/>
    <cellStyle name="40% - Accent1 213 4" xfId="12082"/>
    <cellStyle name="40% - Accent1 214" xfId="12083"/>
    <cellStyle name="40% - Accent1 214 2" xfId="12084"/>
    <cellStyle name="40% - Accent1 214 2 2" xfId="12085"/>
    <cellStyle name="40% - Accent1 214 3" xfId="12086"/>
    <cellStyle name="40% - Accent1 214 3 2" xfId="12087"/>
    <cellStyle name="40% - Accent1 214 4" xfId="12088"/>
    <cellStyle name="40% - Accent1 215" xfId="12089"/>
    <cellStyle name="40% - Accent1 215 2" xfId="12090"/>
    <cellStyle name="40% - Accent1 215 2 2" xfId="12091"/>
    <cellStyle name="40% - Accent1 215 3" xfId="12092"/>
    <cellStyle name="40% - Accent1 215 3 2" xfId="12093"/>
    <cellStyle name="40% - Accent1 215 4" xfId="12094"/>
    <cellStyle name="40% - Accent1 216" xfId="12095"/>
    <cellStyle name="40% - Accent1 216 2" xfId="12096"/>
    <cellStyle name="40% - Accent1 216 2 2" xfId="12097"/>
    <cellStyle name="40% - Accent1 216 3" xfId="12098"/>
    <cellStyle name="40% - Accent1 216 3 2" xfId="12099"/>
    <cellStyle name="40% - Accent1 216 4" xfId="12100"/>
    <cellStyle name="40% - Accent1 217" xfId="12101"/>
    <cellStyle name="40% - Accent1 217 2" xfId="12102"/>
    <cellStyle name="40% - Accent1 217 2 2" xfId="12103"/>
    <cellStyle name="40% - Accent1 217 3" xfId="12104"/>
    <cellStyle name="40% - Accent1 217 3 2" xfId="12105"/>
    <cellStyle name="40% - Accent1 217 4" xfId="12106"/>
    <cellStyle name="40% - Accent1 218" xfId="12107"/>
    <cellStyle name="40% - Accent1 218 2" xfId="12108"/>
    <cellStyle name="40% - Accent1 218 2 2" xfId="12109"/>
    <cellStyle name="40% - Accent1 218 3" xfId="12110"/>
    <cellStyle name="40% - Accent1 218 3 2" xfId="12111"/>
    <cellStyle name="40% - Accent1 218 4" xfId="12112"/>
    <cellStyle name="40% - Accent1 219" xfId="12113"/>
    <cellStyle name="40% - Accent1 219 2" xfId="12114"/>
    <cellStyle name="40% - Accent1 219 2 2" xfId="12115"/>
    <cellStyle name="40% - Accent1 219 3" xfId="12116"/>
    <cellStyle name="40% - Accent1 219 3 2" xfId="12117"/>
    <cellStyle name="40% - Accent1 219 4" xfId="12118"/>
    <cellStyle name="40% - Accent1 22" xfId="12119"/>
    <cellStyle name="40% - Accent1 22 2" xfId="12120"/>
    <cellStyle name="40% - Accent1 22 2 2" xfId="12121"/>
    <cellStyle name="40% - Accent1 22 2 2 2" xfId="12122"/>
    <cellStyle name="40% - Accent1 22 2 3" xfId="12123"/>
    <cellStyle name="40% - Accent1 22 2 3 2" xfId="12124"/>
    <cellStyle name="40% - Accent1 22 2 4" xfId="12125"/>
    <cellStyle name="40% - Accent1 22 3" xfId="12126"/>
    <cellStyle name="40% - Accent1 22 3 2" xfId="12127"/>
    <cellStyle name="40% - Accent1 22 3 2 2" xfId="12128"/>
    <cellStyle name="40% - Accent1 22 3 3" xfId="12129"/>
    <cellStyle name="40% - Accent1 22 3 3 2" xfId="12130"/>
    <cellStyle name="40% - Accent1 22 3 4" xfId="12131"/>
    <cellStyle name="40% - Accent1 22 4" xfId="12132"/>
    <cellStyle name="40% - Accent1 22 4 2" xfId="12133"/>
    <cellStyle name="40% - Accent1 22 5" xfId="12134"/>
    <cellStyle name="40% - Accent1 22 5 2" xfId="12135"/>
    <cellStyle name="40% - Accent1 22 6" xfId="12136"/>
    <cellStyle name="40% - Accent1 220" xfId="12137"/>
    <cellStyle name="40% - Accent1 220 2" xfId="12138"/>
    <cellStyle name="40% - Accent1 220 2 2" xfId="12139"/>
    <cellStyle name="40% - Accent1 220 3" xfId="12140"/>
    <cellStyle name="40% - Accent1 220 3 2" xfId="12141"/>
    <cellStyle name="40% - Accent1 220 4" xfId="12142"/>
    <cellStyle name="40% - Accent1 221" xfId="12143"/>
    <cellStyle name="40% - Accent1 221 2" xfId="12144"/>
    <cellStyle name="40% - Accent1 221 2 2" xfId="12145"/>
    <cellStyle name="40% - Accent1 221 3" xfId="12146"/>
    <cellStyle name="40% - Accent1 221 3 2" xfId="12147"/>
    <cellStyle name="40% - Accent1 221 4" xfId="12148"/>
    <cellStyle name="40% - Accent1 222" xfId="12149"/>
    <cellStyle name="40% - Accent1 222 2" xfId="12150"/>
    <cellStyle name="40% - Accent1 223" xfId="12151"/>
    <cellStyle name="40% - Accent1 223 2" xfId="12152"/>
    <cellStyle name="40% - Accent1 224" xfId="12153"/>
    <cellStyle name="40% - Accent1 23" xfId="12154"/>
    <cellStyle name="40% - Accent1 23 2" xfId="12155"/>
    <cellStyle name="40% - Accent1 23 2 2" xfId="12156"/>
    <cellStyle name="40% - Accent1 23 2 2 2" xfId="12157"/>
    <cellStyle name="40% - Accent1 23 2 3" xfId="12158"/>
    <cellStyle name="40% - Accent1 23 2 3 2" xfId="12159"/>
    <cellStyle name="40% - Accent1 23 2 4" xfId="12160"/>
    <cellStyle name="40% - Accent1 23 3" xfId="12161"/>
    <cellStyle name="40% - Accent1 23 3 2" xfId="12162"/>
    <cellStyle name="40% - Accent1 23 3 2 2" xfId="12163"/>
    <cellStyle name="40% - Accent1 23 3 3" xfId="12164"/>
    <cellStyle name="40% - Accent1 23 3 3 2" xfId="12165"/>
    <cellStyle name="40% - Accent1 23 3 4" xfId="12166"/>
    <cellStyle name="40% - Accent1 23 4" xfId="12167"/>
    <cellStyle name="40% - Accent1 23 4 2" xfId="12168"/>
    <cellStyle name="40% - Accent1 23 5" xfId="12169"/>
    <cellStyle name="40% - Accent1 23 5 2" xfId="12170"/>
    <cellStyle name="40% - Accent1 23 6" xfId="12171"/>
    <cellStyle name="40% - Accent1 24" xfId="12172"/>
    <cellStyle name="40% - Accent1 24 2" xfId="12173"/>
    <cellStyle name="40% - Accent1 24 2 2" xfId="12174"/>
    <cellStyle name="40% - Accent1 24 2 2 2" xfId="12175"/>
    <cellStyle name="40% - Accent1 24 2 3" xfId="12176"/>
    <cellStyle name="40% - Accent1 24 2 3 2" xfId="12177"/>
    <cellStyle name="40% - Accent1 24 2 4" xfId="12178"/>
    <cellStyle name="40% - Accent1 24 3" xfId="12179"/>
    <cellStyle name="40% - Accent1 24 3 2" xfId="12180"/>
    <cellStyle name="40% - Accent1 24 3 2 2" xfId="12181"/>
    <cellStyle name="40% - Accent1 24 3 3" xfId="12182"/>
    <cellStyle name="40% - Accent1 24 3 3 2" xfId="12183"/>
    <cellStyle name="40% - Accent1 24 3 4" xfId="12184"/>
    <cellStyle name="40% - Accent1 24 4" xfId="12185"/>
    <cellStyle name="40% - Accent1 24 4 2" xfId="12186"/>
    <cellStyle name="40% - Accent1 24 5" xfId="12187"/>
    <cellStyle name="40% - Accent1 24 5 2" xfId="12188"/>
    <cellStyle name="40% - Accent1 24 6" xfId="12189"/>
    <cellStyle name="40% - Accent1 24 7" xfId="12190"/>
    <cellStyle name="40% - Accent1 25" xfId="12191"/>
    <cellStyle name="40% - Accent1 25 2" xfId="12192"/>
    <cellStyle name="40% - Accent1 25 2 2" xfId="12193"/>
    <cellStyle name="40% - Accent1 25 2 2 2" xfId="12194"/>
    <cellStyle name="40% - Accent1 25 2 3" xfId="12195"/>
    <cellStyle name="40% - Accent1 25 2 3 2" xfId="12196"/>
    <cellStyle name="40% - Accent1 25 2 4" xfId="12197"/>
    <cellStyle name="40% - Accent1 25 3" xfId="12198"/>
    <cellStyle name="40% - Accent1 25 3 2" xfId="12199"/>
    <cellStyle name="40% - Accent1 25 3 2 2" xfId="12200"/>
    <cellStyle name="40% - Accent1 25 3 3" xfId="12201"/>
    <cellStyle name="40% - Accent1 25 3 3 2" xfId="12202"/>
    <cellStyle name="40% - Accent1 25 3 4" xfId="12203"/>
    <cellStyle name="40% - Accent1 25 4" xfId="12204"/>
    <cellStyle name="40% - Accent1 25 4 2" xfId="12205"/>
    <cellStyle name="40% - Accent1 25 5" xfId="12206"/>
    <cellStyle name="40% - Accent1 25 5 2" xfId="12207"/>
    <cellStyle name="40% - Accent1 25 6" xfId="12208"/>
    <cellStyle name="40% - Accent1 25 7" xfId="12209"/>
    <cellStyle name="40% - Accent1 26" xfId="12210"/>
    <cellStyle name="40% - Accent1 26 2" xfId="12211"/>
    <cellStyle name="40% - Accent1 26 2 2" xfId="12212"/>
    <cellStyle name="40% - Accent1 26 2 2 2" xfId="12213"/>
    <cellStyle name="40% - Accent1 26 2 3" xfId="12214"/>
    <cellStyle name="40% - Accent1 26 2 3 2" xfId="12215"/>
    <cellStyle name="40% - Accent1 26 2 4" xfId="12216"/>
    <cellStyle name="40% - Accent1 26 3" xfId="12217"/>
    <cellStyle name="40% - Accent1 26 3 2" xfId="12218"/>
    <cellStyle name="40% - Accent1 26 3 2 2" xfId="12219"/>
    <cellStyle name="40% - Accent1 26 3 3" xfId="12220"/>
    <cellStyle name="40% - Accent1 26 3 3 2" xfId="12221"/>
    <cellStyle name="40% - Accent1 26 3 4" xfId="12222"/>
    <cellStyle name="40% - Accent1 26 4" xfId="12223"/>
    <cellStyle name="40% - Accent1 26 4 2" xfId="12224"/>
    <cellStyle name="40% - Accent1 26 5" xfId="12225"/>
    <cellStyle name="40% - Accent1 26 5 2" xfId="12226"/>
    <cellStyle name="40% - Accent1 26 6" xfId="12227"/>
    <cellStyle name="40% - Accent1 26 7" xfId="12228"/>
    <cellStyle name="40% - Accent1 27" xfId="12229"/>
    <cellStyle name="40% - Accent1 27 2" xfId="12230"/>
    <cellStyle name="40% - Accent1 27 2 2" xfId="12231"/>
    <cellStyle name="40% - Accent1 27 2 2 2" xfId="12232"/>
    <cellStyle name="40% - Accent1 27 2 3" xfId="12233"/>
    <cellStyle name="40% - Accent1 27 2 3 2" xfId="12234"/>
    <cellStyle name="40% - Accent1 27 2 4" xfId="12235"/>
    <cellStyle name="40% - Accent1 27 3" xfId="12236"/>
    <cellStyle name="40% - Accent1 27 3 2" xfId="12237"/>
    <cellStyle name="40% - Accent1 27 3 2 2" xfId="12238"/>
    <cellStyle name="40% - Accent1 27 3 3" xfId="12239"/>
    <cellStyle name="40% - Accent1 27 3 3 2" xfId="12240"/>
    <cellStyle name="40% - Accent1 27 3 4" xfId="12241"/>
    <cellStyle name="40% - Accent1 27 4" xfId="12242"/>
    <cellStyle name="40% - Accent1 27 4 2" xfId="12243"/>
    <cellStyle name="40% - Accent1 27 5" xfId="12244"/>
    <cellStyle name="40% - Accent1 27 5 2" xfId="12245"/>
    <cellStyle name="40% - Accent1 27 6" xfId="12246"/>
    <cellStyle name="40% - Accent1 27 7" xfId="12247"/>
    <cellStyle name="40% - Accent1 28" xfId="12248"/>
    <cellStyle name="40% - Accent1 28 2" xfId="12249"/>
    <cellStyle name="40% - Accent1 28 2 2" xfId="12250"/>
    <cellStyle name="40% - Accent1 28 2 2 2" xfId="12251"/>
    <cellStyle name="40% - Accent1 28 2 3" xfId="12252"/>
    <cellStyle name="40% - Accent1 28 2 3 2" xfId="12253"/>
    <cellStyle name="40% - Accent1 28 2 4" xfId="12254"/>
    <cellStyle name="40% - Accent1 28 3" xfId="12255"/>
    <cellStyle name="40% - Accent1 28 3 2" xfId="12256"/>
    <cellStyle name="40% - Accent1 28 3 2 2" xfId="12257"/>
    <cellStyle name="40% - Accent1 28 3 3" xfId="12258"/>
    <cellStyle name="40% - Accent1 28 3 3 2" xfId="12259"/>
    <cellStyle name="40% - Accent1 28 3 4" xfId="12260"/>
    <cellStyle name="40% - Accent1 28 4" xfId="12261"/>
    <cellStyle name="40% - Accent1 28 4 2" xfId="12262"/>
    <cellStyle name="40% - Accent1 28 5" xfId="12263"/>
    <cellStyle name="40% - Accent1 28 5 2" xfId="12264"/>
    <cellStyle name="40% - Accent1 28 6" xfId="12265"/>
    <cellStyle name="40% - Accent1 28 7" xfId="12266"/>
    <cellStyle name="40% - Accent1 29" xfId="12267"/>
    <cellStyle name="40% - Accent1 29 2" xfId="12268"/>
    <cellStyle name="40% - Accent1 29 2 2" xfId="12269"/>
    <cellStyle name="40% - Accent1 29 2 2 2" xfId="12270"/>
    <cellStyle name="40% - Accent1 29 2 3" xfId="12271"/>
    <cellStyle name="40% - Accent1 29 2 3 2" xfId="12272"/>
    <cellStyle name="40% - Accent1 29 2 4" xfId="12273"/>
    <cellStyle name="40% - Accent1 29 3" xfId="12274"/>
    <cellStyle name="40% - Accent1 29 3 2" xfId="12275"/>
    <cellStyle name="40% - Accent1 29 3 2 2" xfId="12276"/>
    <cellStyle name="40% - Accent1 29 3 3" xfId="12277"/>
    <cellStyle name="40% - Accent1 29 3 3 2" xfId="12278"/>
    <cellStyle name="40% - Accent1 29 3 4" xfId="12279"/>
    <cellStyle name="40% - Accent1 29 4" xfId="12280"/>
    <cellStyle name="40% - Accent1 29 4 2" xfId="12281"/>
    <cellStyle name="40% - Accent1 29 5" xfId="12282"/>
    <cellStyle name="40% - Accent1 29 5 2" xfId="12283"/>
    <cellStyle name="40% - Accent1 29 6" xfId="12284"/>
    <cellStyle name="40% - Accent1 29 7" xfId="12285"/>
    <cellStyle name="40% - Accent1 3" xfId="12286"/>
    <cellStyle name="40% - Accent1 3 2" xfId="12287"/>
    <cellStyle name="40% - Accent1 3 2 2" xfId="12288"/>
    <cellStyle name="40% - Accent1 3 2 2 2" xfId="12289"/>
    <cellStyle name="40% - Accent1 3 2 3" xfId="12290"/>
    <cellStyle name="40% - Accent1 3 2 3 2" xfId="12291"/>
    <cellStyle name="40% - Accent1 3 2 4" xfId="12292"/>
    <cellStyle name="40% - Accent1 3 3" xfId="12293"/>
    <cellStyle name="40% - Accent1 3 3 2" xfId="12294"/>
    <cellStyle name="40% - Accent1 3 3 2 2" xfId="12295"/>
    <cellStyle name="40% - Accent1 3 3 3" xfId="12296"/>
    <cellStyle name="40% - Accent1 3 3 3 2" xfId="12297"/>
    <cellStyle name="40% - Accent1 3 3 4" xfId="12298"/>
    <cellStyle name="40% - Accent1 3 4" xfId="12299"/>
    <cellStyle name="40% - Accent1 3 4 2" xfId="12300"/>
    <cellStyle name="40% - Accent1 3 5" xfId="12301"/>
    <cellStyle name="40% - Accent1 3 5 2" xfId="12302"/>
    <cellStyle name="40% - Accent1 3 6" xfId="12303"/>
    <cellStyle name="40% - Accent1 30" xfId="12304"/>
    <cellStyle name="40% - Accent1 30 2" xfId="12305"/>
    <cellStyle name="40% - Accent1 30 2 2" xfId="12306"/>
    <cellStyle name="40% - Accent1 30 2 2 2" xfId="12307"/>
    <cellStyle name="40% - Accent1 30 2 3" xfId="12308"/>
    <cellStyle name="40% - Accent1 30 2 3 2" xfId="12309"/>
    <cellStyle name="40% - Accent1 30 2 4" xfId="12310"/>
    <cellStyle name="40% - Accent1 30 3" xfId="12311"/>
    <cellStyle name="40% - Accent1 30 3 2" xfId="12312"/>
    <cellStyle name="40% - Accent1 30 3 2 2" xfId="12313"/>
    <cellStyle name="40% - Accent1 30 3 3" xfId="12314"/>
    <cellStyle name="40% - Accent1 30 3 3 2" xfId="12315"/>
    <cellStyle name="40% - Accent1 30 3 4" xfId="12316"/>
    <cellStyle name="40% - Accent1 30 4" xfId="12317"/>
    <cellStyle name="40% - Accent1 30 4 2" xfId="12318"/>
    <cellStyle name="40% - Accent1 30 5" xfId="12319"/>
    <cellStyle name="40% - Accent1 30 5 2" xfId="12320"/>
    <cellStyle name="40% - Accent1 30 6" xfId="12321"/>
    <cellStyle name="40% - Accent1 30 7" xfId="12322"/>
    <cellStyle name="40% - Accent1 31" xfId="12323"/>
    <cellStyle name="40% - Accent1 31 2" xfId="12324"/>
    <cellStyle name="40% - Accent1 31 2 2" xfId="12325"/>
    <cellStyle name="40% - Accent1 31 2 2 2" xfId="12326"/>
    <cellStyle name="40% - Accent1 31 2 3" xfId="12327"/>
    <cellStyle name="40% - Accent1 31 2 3 2" xfId="12328"/>
    <cellStyle name="40% - Accent1 31 2 4" xfId="12329"/>
    <cellStyle name="40% - Accent1 31 3" xfId="12330"/>
    <cellStyle name="40% - Accent1 31 3 2" xfId="12331"/>
    <cellStyle name="40% - Accent1 31 3 2 2" xfId="12332"/>
    <cellStyle name="40% - Accent1 31 3 3" xfId="12333"/>
    <cellStyle name="40% - Accent1 31 3 3 2" xfId="12334"/>
    <cellStyle name="40% - Accent1 31 3 4" xfId="12335"/>
    <cellStyle name="40% - Accent1 31 4" xfId="12336"/>
    <cellStyle name="40% - Accent1 31 4 2" xfId="12337"/>
    <cellStyle name="40% - Accent1 31 5" xfId="12338"/>
    <cellStyle name="40% - Accent1 31 5 2" xfId="12339"/>
    <cellStyle name="40% - Accent1 31 6" xfId="12340"/>
    <cellStyle name="40% - Accent1 31 7" xfId="12341"/>
    <cellStyle name="40% - Accent1 32" xfId="12342"/>
    <cellStyle name="40% - Accent1 32 2" xfId="12343"/>
    <cellStyle name="40% - Accent1 32 2 2" xfId="12344"/>
    <cellStyle name="40% - Accent1 32 2 2 2" xfId="12345"/>
    <cellStyle name="40% - Accent1 32 2 3" xfId="12346"/>
    <cellStyle name="40% - Accent1 32 2 3 2" xfId="12347"/>
    <cellStyle name="40% - Accent1 32 2 4" xfId="12348"/>
    <cellStyle name="40% - Accent1 32 3" xfId="12349"/>
    <cellStyle name="40% - Accent1 32 3 2" xfId="12350"/>
    <cellStyle name="40% - Accent1 32 3 2 2" xfId="12351"/>
    <cellStyle name="40% - Accent1 32 3 3" xfId="12352"/>
    <cellStyle name="40% - Accent1 32 3 3 2" xfId="12353"/>
    <cellStyle name="40% - Accent1 32 3 4" xfId="12354"/>
    <cellStyle name="40% - Accent1 32 4" xfId="12355"/>
    <cellStyle name="40% - Accent1 32 4 2" xfId="12356"/>
    <cellStyle name="40% - Accent1 32 5" xfId="12357"/>
    <cellStyle name="40% - Accent1 32 5 2" xfId="12358"/>
    <cellStyle name="40% - Accent1 32 6" xfId="12359"/>
    <cellStyle name="40% - Accent1 32 7" xfId="12360"/>
    <cellStyle name="40% - Accent1 33" xfId="12361"/>
    <cellStyle name="40% - Accent1 33 2" xfId="12362"/>
    <cellStyle name="40% - Accent1 33 2 2" xfId="12363"/>
    <cellStyle name="40% - Accent1 33 2 2 2" xfId="12364"/>
    <cellStyle name="40% - Accent1 33 2 3" xfId="12365"/>
    <cellStyle name="40% - Accent1 33 2 3 2" xfId="12366"/>
    <cellStyle name="40% - Accent1 33 2 4" xfId="12367"/>
    <cellStyle name="40% - Accent1 33 3" xfId="12368"/>
    <cellStyle name="40% - Accent1 33 3 2" xfId="12369"/>
    <cellStyle name="40% - Accent1 33 3 2 2" xfId="12370"/>
    <cellStyle name="40% - Accent1 33 3 3" xfId="12371"/>
    <cellStyle name="40% - Accent1 33 3 3 2" xfId="12372"/>
    <cellStyle name="40% - Accent1 33 3 4" xfId="12373"/>
    <cellStyle name="40% - Accent1 33 4" xfId="12374"/>
    <cellStyle name="40% - Accent1 33 4 2" xfId="12375"/>
    <cellStyle name="40% - Accent1 33 5" xfId="12376"/>
    <cellStyle name="40% - Accent1 33 5 2" xfId="12377"/>
    <cellStyle name="40% - Accent1 33 6" xfId="12378"/>
    <cellStyle name="40% - Accent1 33 7" xfId="12379"/>
    <cellStyle name="40% - Accent1 34" xfId="12380"/>
    <cellStyle name="40% - Accent1 34 2" xfId="12381"/>
    <cellStyle name="40% - Accent1 34 2 2" xfId="12382"/>
    <cellStyle name="40% - Accent1 34 2 2 2" xfId="12383"/>
    <cellStyle name="40% - Accent1 34 2 3" xfId="12384"/>
    <cellStyle name="40% - Accent1 34 2 3 2" xfId="12385"/>
    <cellStyle name="40% - Accent1 34 2 4" xfId="12386"/>
    <cellStyle name="40% - Accent1 34 3" xfId="12387"/>
    <cellStyle name="40% - Accent1 34 3 2" xfId="12388"/>
    <cellStyle name="40% - Accent1 34 3 2 2" xfId="12389"/>
    <cellStyle name="40% - Accent1 34 3 3" xfId="12390"/>
    <cellStyle name="40% - Accent1 34 3 3 2" xfId="12391"/>
    <cellStyle name="40% - Accent1 34 3 4" xfId="12392"/>
    <cellStyle name="40% - Accent1 34 4" xfId="12393"/>
    <cellStyle name="40% - Accent1 34 4 2" xfId="12394"/>
    <cellStyle name="40% - Accent1 34 5" xfId="12395"/>
    <cellStyle name="40% - Accent1 34 5 2" xfId="12396"/>
    <cellStyle name="40% - Accent1 34 6" xfId="12397"/>
    <cellStyle name="40% - Accent1 34 7" xfId="12398"/>
    <cellStyle name="40% - Accent1 35" xfId="12399"/>
    <cellStyle name="40% - Accent1 35 2" xfId="12400"/>
    <cellStyle name="40% - Accent1 35 2 2" xfId="12401"/>
    <cellStyle name="40% - Accent1 35 2 2 2" xfId="12402"/>
    <cellStyle name="40% - Accent1 35 2 3" xfId="12403"/>
    <cellStyle name="40% - Accent1 35 2 3 2" xfId="12404"/>
    <cellStyle name="40% - Accent1 35 2 4" xfId="12405"/>
    <cellStyle name="40% - Accent1 35 3" xfId="12406"/>
    <cellStyle name="40% - Accent1 35 3 2" xfId="12407"/>
    <cellStyle name="40% - Accent1 35 3 2 2" xfId="12408"/>
    <cellStyle name="40% - Accent1 35 3 3" xfId="12409"/>
    <cellStyle name="40% - Accent1 35 3 3 2" xfId="12410"/>
    <cellStyle name="40% - Accent1 35 3 4" xfId="12411"/>
    <cellStyle name="40% - Accent1 35 4" xfId="12412"/>
    <cellStyle name="40% - Accent1 35 4 2" xfId="12413"/>
    <cellStyle name="40% - Accent1 35 5" xfId="12414"/>
    <cellStyle name="40% - Accent1 35 5 2" xfId="12415"/>
    <cellStyle name="40% - Accent1 35 6" xfId="12416"/>
    <cellStyle name="40% - Accent1 35 7" xfId="12417"/>
    <cellStyle name="40% - Accent1 36" xfId="12418"/>
    <cellStyle name="40% - Accent1 36 2" xfId="12419"/>
    <cellStyle name="40% - Accent1 36 2 2" xfId="12420"/>
    <cellStyle name="40% - Accent1 36 2 2 2" xfId="12421"/>
    <cellStyle name="40% - Accent1 36 2 3" xfId="12422"/>
    <cellStyle name="40% - Accent1 36 2 3 2" xfId="12423"/>
    <cellStyle name="40% - Accent1 36 2 4" xfId="12424"/>
    <cellStyle name="40% - Accent1 36 3" xfId="12425"/>
    <cellStyle name="40% - Accent1 36 3 2" xfId="12426"/>
    <cellStyle name="40% - Accent1 36 3 2 2" xfId="12427"/>
    <cellStyle name="40% - Accent1 36 3 3" xfId="12428"/>
    <cellStyle name="40% - Accent1 36 3 3 2" xfId="12429"/>
    <cellStyle name="40% - Accent1 36 3 4" xfId="12430"/>
    <cellStyle name="40% - Accent1 36 4" xfId="12431"/>
    <cellStyle name="40% - Accent1 36 4 2" xfId="12432"/>
    <cellStyle name="40% - Accent1 36 5" xfId="12433"/>
    <cellStyle name="40% - Accent1 36 5 2" xfId="12434"/>
    <cellStyle name="40% - Accent1 36 6" xfId="12435"/>
    <cellStyle name="40% - Accent1 36 7" xfId="12436"/>
    <cellStyle name="40% - Accent1 37" xfId="12437"/>
    <cellStyle name="40% - Accent1 37 2" xfId="12438"/>
    <cellStyle name="40% - Accent1 37 2 2" xfId="12439"/>
    <cellStyle name="40% - Accent1 37 2 2 2" xfId="12440"/>
    <cellStyle name="40% - Accent1 37 2 3" xfId="12441"/>
    <cellStyle name="40% - Accent1 37 2 3 2" xfId="12442"/>
    <cellStyle name="40% - Accent1 37 2 4" xfId="12443"/>
    <cellStyle name="40% - Accent1 37 3" xfId="12444"/>
    <cellStyle name="40% - Accent1 37 3 2" xfId="12445"/>
    <cellStyle name="40% - Accent1 37 3 2 2" xfId="12446"/>
    <cellStyle name="40% - Accent1 37 3 3" xfId="12447"/>
    <cellStyle name="40% - Accent1 37 3 3 2" xfId="12448"/>
    <cellStyle name="40% - Accent1 37 3 4" xfId="12449"/>
    <cellStyle name="40% - Accent1 37 4" xfId="12450"/>
    <cellStyle name="40% - Accent1 37 4 2" xfId="12451"/>
    <cellStyle name="40% - Accent1 37 5" xfId="12452"/>
    <cellStyle name="40% - Accent1 37 5 2" xfId="12453"/>
    <cellStyle name="40% - Accent1 37 6" xfId="12454"/>
    <cellStyle name="40% - Accent1 37 7" xfId="12455"/>
    <cellStyle name="40% - Accent1 38" xfId="12456"/>
    <cellStyle name="40% - Accent1 38 2" xfId="12457"/>
    <cellStyle name="40% - Accent1 38 2 2" xfId="12458"/>
    <cellStyle name="40% - Accent1 38 2 2 2" xfId="12459"/>
    <cellStyle name="40% - Accent1 38 2 3" xfId="12460"/>
    <cellStyle name="40% - Accent1 38 2 3 2" xfId="12461"/>
    <cellStyle name="40% - Accent1 38 2 4" xfId="12462"/>
    <cellStyle name="40% - Accent1 38 3" xfId="12463"/>
    <cellStyle name="40% - Accent1 38 3 2" xfId="12464"/>
    <cellStyle name="40% - Accent1 38 3 2 2" xfId="12465"/>
    <cellStyle name="40% - Accent1 38 3 3" xfId="12466"/>
    <cellStyle name="40% - Accent1 38 3 3 2" xfId="12467"/>
    <cellStyle name="40% - Accent1 38 3 4" xfId="12468"/>
    <cellStyle name="40% - Accent1 38 4" xfId="12469"/>
    <cellStyle name="40% - Accent1 38 4 2" xfId="12470"/>
    <cellStyle name="40% - Accent1 38 5" xfId="12471"/>
    <cellStyle name="40% - Accent1 38 5 2" xfId="12472"/>
    <cellStyle name="40% - Accent1 38 6" xfId="12473"/>
    <cellStyle name="40% - Accent1 38 7" xfId="12474"/>
    <cellStyle name="40% - Accent1 39" xfId="12475"/>
    <cellStyle name="40% - Accent1 39 2" xfId="12476"/>
    <cellStyle name="40% - Accent1 39 2 2" xfId="12477"/>
    <cellStyle name="40% - Accent1 39 2 2 2" xfId="12478"/>
    <cellStyle name="40% - Accent1 39 2 3" xfId="12479"/>
    <cellStyle name="40% - Accent1 39 2 3 2" xfId="12480"/>
    <cellStyle name="40% - Accent1 39 2 4" xfId="12481"/>
    <cellStyle name="40% - Accent1 39 3" xfId="12482"/>
    <cellStyle name="40% - Accent1 39 3 2" xfId="12483"/>
    <cellStyle name="40% - Accent1 39 3 2 2" xfId="12484"/>
    <cellStyle name="40% - Accent1 39 3 3" xfId="12485"/>
    <cellStyle name="40% - Accent1 39 3 3 2" xfId="12486"/>
    <cellStyle name="40% - Accent1 39 3 4" xfId="12487"/>
    <cellStyle name="40% - Accent1 39 4" xfId="12488"/>
    <cellStyle name="40% - Accent1 39 4 2" xfId="12489"/>
    <cellStyle name="40% - Accent1 39 5" xfId="12490"/>
    <cellStyle name="40% - Accent1 39 5 2" xfId="12491"/>
    <cellStyle name="40% - Accent1 39 6" xfId="12492"/>
    <cellStyle name="40% - Accent1 39 7" xfId="12493"/>
    <cellStyle name="40% - Accent1 4" xfId="12494"/>
    <cellStyle name="40% - Accent1 4 2" xfId="12495"/>
    <cellStyle name="40% - Accent1 4 2 2" xfId="12496"/>
    <cellStyle name="40% - Accent1 4 2 2 2" xfId="12497"/>
    <cellStyle name="40% - Accent1 4 2 3" xfId="12498"/>
    <cellStyle name="40% - Accent1 4 2 3 2" xfId="12499"/>
    <cellStyle name="40% - Accent1 4 2 4" xfId="12500"/>
    <cellStyle name="40% - Accent1 4 3" xfId="12501"/>
    <cellStyle name="40% - Accent1 4 3 2" xfId="12502"/>
    <cellStyle name="40% - Accent1 4 3 2 2" xfId="12503"/>
    <cellStyle name="40% - Accent1 4 3 3" xfId="12504"/>
    <cellStyle name="40% - Accent1 4 3 3 2" xfId="12505"/>
    <cellStyle name="40% - Accent1 4 3 4" xfId="12506"/>
    <cellStyle name="40% - Accent1 4 4" xfId="12507"/>
    <cellStyle name="40% - Accent1 4 4 2" xfId="12508"/>
    <cellStyle name="40% - Accent1 4 5" xfId="12509"/>
    <cellStyle name="40% - Accent1 4 5 2" xfId="12510"/>
    <cellStyle name="40% - Accent1 4 6" xfId="12511"/>
    <cellStyle name="40% - Accent1 40" xfId="12512"/>
    <cellStyle name="40% - Accent1 40 2" xfId="12513"/>
    <cellStyle name="40% - Accent1 40 2 2" xfId="12514"/>
    <cellStyle name="40% - Accent1 40 2 2 2" xfId="12515"/>
    <cellStyle name="40% - Accent1 40 2 3" xfId="12516"/>
    <cellStyle name="40% - Accent1 40 2 3 2" xfId="12517"/>
    <cellStyle name="40% - Accent1 40 2 4" xfId="12518"/>
    <cellStyle name="40% - Accent1 40 3" xfId="12519"/>
    <cellStyle name="40% - Accent1 40 3 2" xfId="12520"/>
    <cellStyle name="40% - Accent1 40 3 2 2" xfId="12521"/>
    <cellStyle name="40% - Accent1 40 3 3" xfId="12522"/>
    <cellStyle name="40% - Accent1 40 3 3 2" xfId="12523"/>
    <cellStyle name="40% - Accent1 40 3 4" xfId="12524"/>
    <cellStyle name="40% - Accent1 40 4" xfId="12525"/>
    <cellStyle name="40% - Accent1 40 4 2" xfId="12526"/>
    <cellStyle name="40% - Accent1 40 5" xfId="12527"/>
    <cellStyle name="40% - Accent1 40 5 2" xfId="12528"/>
    <cellStyle name="40% - Accent1 40 6" xfId="12529"/>
    <cellStyle name="40% - Accent1 40 7" xfId="12530"/>
    <cellStyle name="40% - Accent1 41" xfId="12531"/>
    <cellStyle name="40% - Accent1 41 2" xfId="12532"/>
    <cellStyle name="40% - Accent1 41 2 2" xfId="12533"/>
    <cellStyle name="40% - Accent1 41 2 2 2" xfId="12534"/>
    <cellStyle name="40% - Accent1 41 2 3" xfId="12535"/>
    <cellStyle name="40% - Accent1 41 2 3 2" xfId="12536"/>
    <cellStyle name="40% - Accent1 41 2 4" xfId="12537"/>
    <cellStyle name="40% - Accent1 41 3" xfId="12538"/>
    <cellStyle name="40% - Accent1 41 3 2" xfId="12539"/>
    <cellStyle name="40% - Accent1 41 3 2 2" xfId="12540"/>
    <cellStyle name="40% - Accent1 41 3 3" xfId="12541"/>
    <cellStyle name="40% - Accent1 41 3 3 2" xfId="12542"/>
    <cellStyle name="40% - Accent1 41 3 4" xfId="12543"/>
    <cellStyle name="40% - Accent1 41 4" xfId="12544"/>
    <cellStyle name="40% - Accent1 41 4 2" xfId="12545"/>
    <cellStyle name="40% - Accent1 41 5" xfId="12546"/>
    <cellStyle name="40% - Accent1 41 5 2" xfId="12547"/>
    <cellStyle name="40% - Accent1 41 6" xfId="12548"/>
    <cellStyle name="40% - Accent1 41 7" xfId="12549"/>
    <cellStyle name="40% - Accent1 42" xfId="12550"/>
    <cellStyle name="40% - Accent1 42 2" xfId="12551"/>
    <cellStyle name="40% - Accent1 42 2 2" xfId="12552"/>
    <cellStyle name="40% - Accent1 42 3" xfId="12553"/>
    <cellStyle name="40% - Accent1 42 3 2" xfId="12554"/>
    <cellStyle name="40% - Accent1 42 4" xfId="12555"/>
    <cellStyle name="40% - Accent1 42 5" xfId="12556"/>
    <cellStyle name="40% - Accent1 43" xfId="12557"/>
    <cellStyle name="40% - Accent1 43 2" xfId="12558"/>
    <cellStyle name="40% - Accent1 43 2 2" xfId="12559"/>
    <cellStyle name="40% - Accent1 43 3" xfId="12560"/>
    <cellStyle name="40% - Accent1 43 3 2" xfId="12561"/>
    <cellStyle name="40% - Accent1 43 4" xfId="12562"/>
    <cellStyle name="40% - Accent1 43 5" xfId="12563"/>
    <cellStyle name="40% - Accent1 44" xfId="12564"/>
    <cellStyle name="40% - Accent1 44 2" xfId="12565"/>
    <cellStyle name="40% - Accent1 44 2 2" xfId="12566"/>
    <cellStyle name="40% - Accent1 44 3" xfId="12567"/>
    <cellStyle name="40% - Accent1 44 3 2" xfId="12568"/>
    <cellStyle name="40% - Accent1 44 4" xfId="12569"/>
    <cellStyle name="40% - Accent1 44 5" xfId="12570"/>
    <cellStyle name="40% - Accent1 45" xfId="12571"/>
    <cellStyle name="40% - Accent1 45 2" xfId="12572"/>
    <cellStyle name="40% - Accent1 45 2 2" xfId="12573"/>
    <cellStyle name="40% - Accent1 45 3" xfId="12574"/>
    <cellStyle name="40% - Accent1 45 3 2" xfId="12575"/>
    <cellStyle name="40% - Accent1 45 4" xfId="12576"/>
    <cellStyle name="40% - Accent1 45 5" xfId="12577"/>
    <cellStyle name="40% - Accent1 46" xfId="12578"/>
    <cellStyle name="40% - Accent1 46 2" xfId="12579"/>
    <cellStyle name="40% - Accent1 46 2 2" xfId="12580"/>
    <cellStyle name="40% - Accent1 46 3" xfId="12581"/>
    <cellStyle name="40% - Accent1 46 3 2" xfId="12582"/>
    <cellStyle name="40% - Accent1 46 4" xfId="12583"/>
    <cellStyle name="40% - Accent1 46 5" xfId="12584"/>
    <cellStyle name="40% - Accent1 47" xfId="12585"/>
    <cellStyle name="40% - Accent1 47 2" xfId="12586"/>
    <cellStyle name="40% - Accent1 47 2 2" xfId="12587"/>
    <cellStyle name="40% - Accent1 47 3" xfId="12588"/>
    <cellStyle name="40% - Accent1 47 3 2" xfId="12589"/>
    <cellStyle name="40% - Accent1 47 4" xfId="12590"/>
    <cellStyle name="40% - Accent1 47 5" xfId="12591"/>
    <cellStyle name="40% - Accent1 48" xfId="12592"/>
    <cellStyle name="40% - Accent1 48 2" xfId="12593"/>
    <cellStyle name="40% - Accent1 48 2 2" xfId="12594"/>
    <cellStyle name="40% - Accent1 48 3" xfId="12595"/>
    <cellStyle name="40% - Accent1 48 3 2" xfId="12596"/>
    <cellStyle name="40% - Accent1 48 4" xfId="12597"/>
    <cellStyle name="40% - Accent1 48 5" xfId="12598"/>
    <cellStyle name="40% - Accent1 49" xfId="12599"/>
    <cellStyle name="40% - Accent1 49 2" xfId="12600"/>
    <cellStyle name="40% - Accent1 49 2 2" xfId="12601"/>
    <cellStyle name="40% - Accent1 49 3" xfId="12602"/>
    <cellStyle name="40% - Accent1 49 3 2" xfId="12603"/>
    <cellStyle name="40% - Accent1 49 4" xfId="12604"/>
    <cellStyle name="40% - Accent1 49 5" xfId="12605"/>
    <cellStyle name="40% - Accent1 5" xfId="12606"/>
    <cellStyle name="40% - Accent1 5 2" xfId="12607"/>
    <cellStyle name="40% - Accent1 5 2 2" xfId="12608"/>
    <cellStyle name="40% - Accent1 5 2 2 2" xfId="12609"/>
    <cellStyle name="40% - Accent1 5 2 3" xfId="12610"/>
    <cellStyle name="40% - Accent1 5 2 3 2" xfId="12611"/>
    <cellStyle name="40% - Accent1 5 2 4" xfId="12612"/>
    <cellStyle name="40% - Accent1 5 3" xfId="12613"/>
    <cellStyle name="40% - Accent1 5 3 2" xfId="12614"/>
    <cellStyle name="40% - Accent1 5 3 2 2" xfId="12615"/>
    <cellStyle name="40% - Accent1 5 3 3" xfId="12616"/>
    <cellStyle name="40% - Accent1 5 3 3 2" xfId="12617"/>
    <cellStyle name="40% - Accent1 5 3 4" xfId="12618"/>
    <cellStyle name="40% - Accent1 5 4" xfId="12619"/>
    <cellStyle name="40% - Accent1 5 4 2" xfId="12620"/>
    <cellStyle name="40% - Accent1 5 5" xfId="12621"/>
    <cellStyle name="40% - Accent1 5 5 2" xfId="12622"/>
    <cellStyle name="40% - Accent1 5 6" xfId="12623"/>
    <cellStyle name="40% - Accent1 50" xfId="12624"/>
    <cellStyle name="40% - Accent1 50 2" xfId="12625"/>
    <cellStyle name="40% - Accent1 50 2 2" xfId="12626"/>
    <cellStyle name="40% - Accent1 50 3" xfId="12627"/>
    <cellStyle name="40% - Accent1 50 3 2" xfId="12628"/>
    <cellStyle name="40% - Accent1 50 4" xfId="12629"/>
    <cellStyle name="40% - Accent1 50 5" xfId="12630"/>
    <cellStyle name="40% - Accent1 51" xfId="12631"/>
    <cellStyle name="40% - Accent1 51 2" xfId="12632"/>
    <cellStyle name="40% - Accent1 51 2 2" xfId="12633"/>
    <cellStyle name="40% - Accent1 51 3" xfId="12634"/>
    <cellStyle name="40% - Accent1 51 3 2" xfId="12635"/>
    <cellStyle name="40% - Accent1 51 4" xfId="12636"/>
    <cellStyle name="40% - Accent1 51 5" xfId="12637"/>
    <cellStyle name="40% - Accent1 52" xfId="12638"/>
    <cellStyle name="40% - Accent1 52 2" xfId="12639"/>
    <cellStyle name="40% - Accent1 52 2 2" xfId="12640"/>
    <cellStyle name="40% - Accent1 52 3" xfId="12641"/>
    <cellStyle name="40% - Accent1 52 3 2" xfId="12642"/>
    <cellStyle name="40% - Accent1 52 4" xfId="12643"/>
    <cellStyle name="40% - Accent1 52 5" xfId="12644"/>
    <cellStyle name="40% - Accent1 53" xfId="12645"/>
    <cellStyle name="40% - Accent1 53 2" xfId="12646"/>
    <cellStyle name="40% - Accent1 53 2 2" xfId="12647"/>
    <cellStyle name="40% - Accent1 53 3" xfId="12648"/>
    <cellStyle name="40% - Accent1 53 3 2" xfId="12649"/>
    <cellStyle name="40% - Accent1 53 4" xfId="12650"/>
    <cellStyle name="40% - Accent1 53 5" xfId="12651"/>
    <cellStyle name="40% - Accent1 54" xfId="12652"/>
    <cellStyle name="40% - Accent1 54 2" xfId="12653"/>
    <cellStyle name="40% - Accent1 54 2 2" xfId="12654"/>
    <cellStyle name="40% - Accent1 54 3" xfId="12655"/>
    <cellStyle name="40% - Accent1 54 3 2" xfId="12656"/>
    <cellStyle name="40% - Accent1 54 4" xfId="12657"/>
    <cellStyle name="40% - Accent1 54 5" xfId="12658"/>
    <cellStyle name="40% - Accent1 55" xfId="12659"/>
    <cellStyle name="40% - Accent1 55 2" xfId="12660"/>
    <cellStyle name="40% - Accent1 55 2 2" xfId="12661"/>
    <cellStyle name="40% - Accent1 55 3" xfId="12662"/>
    <cellStyle name="40% - Accent1 55 3 2" xfId="12663"/>
    <cellStyle name="40% - Accent1 55 4" xfId="12664"/>
    <cellStyle name="40% - Accent1 55 5" xfId="12665"/>
    <cellStyle name="40% - Accent1 56" xfId="12666"/>
    <cellStyle name="40% - Accent1 56 2" xfId="12667"/>
    <cellStyle name="40% - Accent1 56 2 2" xfId="12668"/>
    <cellStyle name="40% - Accent1 56 3" xfId="12669"/>
    <cellStyle name="40% - Accent1 56 3 2" xfId="12670"/>
    <cellStyle name="40% - Accent1 56 4" xfId="12671"/>
    <cellStyle name="40% - Accent1 56 5" xfId="12672"/>
    <cellStyle name="40% - Accent1 57" xfId="12673"/>
    <cellStyle name="40% - Accent1 57 2" xfId="12674"/>
    <cellStyle name="40% - Accent1 57 2 2" xfId="12675"/>
    <cellStyle name="40% - Accent1 57 3" xfId="12676"/>
    <cellStyle name="40% - Accent1 57 3 2" xfId="12677"/>
    <cellStyle name="40% - Accent1 57 4" xfId="12678"/>
    <cellStyle name="40% - Accent1 57 5" xfId="12679"/>
    <cellStyle name="40% - Accent1 58" xfId="12680"/>
    <cellStyle name="40% - Accent1 58 2" xfId="12681"/>
    <cellStyle name="40% - Accent1 58 2 2" xfId="12682"/>
    <cellStyle name="40% - Accent1 58 3" xfId="12683"/>
    <cellStyle name="40% - Accent1 58 3 2" xfId="12684"/>
    <cellStyle name="40% - Accent1 58 4" xfId="12685"/>
    <cellStyle name="40% - Accent1 58 5" xfId="12686"/>
    <cellStyle name="40% - Accent1 59" xfId="12687"/>
    <cellStyle name="40% - Accent1 59 2" xfId="12688"/>
    <cellStyle name="40% - Accent1 59 2 2" xfId="12689"/>
    <cellStyle name="40% - Accent1 59 3" xfId="12690"/>
    <cellStyle name="40% - Accent1 59 3 2" xfId="12691"/>
    <cellStyle name="40% - Accent1 59 4" xfId="12692"/>
    <cellStyle name="40% - Accent1 59 5" xfId="12693"/>
    <cellStyle name="40% - Accent1 6" xfId="12694"/>
    <cellStyle name="40% - Accent1 6 2" xfId="12695"/>
    <cellStyle name="40% - Accent1 6 2 2" xfId="12696"/>
    <cellStyle name="40% - Accent1 6 2 2 2" xfId="12697"/>
    <cellStyle name="40% - Accent1 6 2 3" xfId="12698"/>
    <cellStyle name="40% - Accent1 6 2 3 2" xfId="12699"/>
    <cellStyle name="40% - Accent1 6 2 4" xfId="12700"/>
    <cellStyle name="40% - Accent1 6 3" xfId="12701"/>
    <cellStyle name="40% - Accent1 6 3 2" xfId="12702"/>
    <cellStyle name="40% - Accent1 6 3 2 2" xfId="12703"/>
    <cellStyle name="40% - Accent1 6 3 3" xfId="12704"/>
    <cellStyle name="40% - Accent1 6 3 3 2" xfId="12705"/>
    <cellStyle name="40% - Accent1 6 3 4" xfId="12706"/>
    <cellStyle name="40% - Accent1 6 4" xfId="12707"/>
    <cellStyle name="40% - Accent1 6 4 2" xfId="12708"/>
    <cellStyle name="40% - Accent1 6 5" xfId="12709"/>
    <cellStyle name="40% - Accent1 6 5 2" xfId="12710"/>
    <cellStyle name="40% - Accent1 6 6" xfId="12711"/>
    <cellStyle name="40% - Accent1 60" xfId="12712"/>
    <cellStyle name="40% - Accent1 60 2" xfId="12713"/>
    <cellStyle name="40% - Accent1 60 2 2" xfId="12714"/>
    <cellStyle name="40% - Accent1 60 3" xfId="12715"/>
    <cellStyle name="40% - Accent1 60 3 2" xfId="12716"/>
    <cellStyle name="40% - Accent1 60 4" xfId="12717"/>
    <cellStyle name="40% - Accent1 60 5" xfId="12718"/>
    <cellStyle name="40% - Accent1 61" xfId="12719"/>
    <cellStyle name="40% - Accent1 61 2" xfId="12720"/>
    <cellStyle name="40% - Accent1 61 2 2" xfId="12721"/>
    <cellStyle name="40% - Accent1 61 3" xfId="12722"/>
    <cellStyle name="40% - Accent1 61 3 2" xfId="12723"/>
    <cellStyle name="40% - Accent1 61 4" xfId="12724"/>
    <cellStyle name="40% - Accent1 61 5" xfId="12725"/>
    <cellStyle name="40% - Accent1 62" xfId="12726"/>
    <cellStyle name="40% - Accent1 62 2" xfId="12727"/>
    <cellStyle name="40% - Accent1 62 2 2" xfId="12728"/>
    <cellStyle name="40% - Accent1 62 3" xfId="12729"/>
    <cellStyle name="40% - Accent1 62 3 2" xfId="12730"/>
    <cellStyle name="40% - Accent1 62 4" xfId="12731"/>
    <cellStyle name="40% - Accent1 62 5" xfId="12732"/>
    <cellStyle name="40% - Accent1 63" xfId="12733"/>
    <cellStyle name="40% - Accent1 63 2" xfId="12734"/>
    <cellStyle name="40% - Accent1 63 2 2" xfId="12735"/>
    <cellStyle name="40% - Accent1 63 3" xfId="12736"/>
    <cellStyle name="40% - Accent1 63 3 2" xfId="12737"/>
    <cellStyle name="40% - Accent1 63 4" xfId="12738"/>
    <cellStyle name="40% - Accent1 63 5" xfId="12739"/>
    <cellStyle name="40% - Accent1 64" xfId="12740"/>
    <cellStyle name="40% - Accent1 64 2" xfId="12741"/>
    <cellStyle name="40% - Accent1 64 2 2" xfId="12742"/>
    <cellStyle name="40% - Accent1 64 3" xfId="12743"/>
    <cellStyle name="40% - Accent1 64 3 2" xfId="12744"/>
    <cellStyle name="40% - Accent1 64 4" xfId="12745"/>
    <cellStyle name="40% - Accent1 64 5" xfId="12746"/>
    <cellStyle name="40% - Accent1 65" xfId="12747"/>
    <cellStyle name="40% - Accent1 65 2" xfId="12748"/>
    <cellStyle name="40% - Accent1 65 2 2" xfId="12749"/>
    <cellStyle name="40% - Accent1 65 3" xfId="12750"/>
    <cellStyle name="40% - Accent1 65 3 2" xfId="12751"/>
    <cellStyle name="40% - Accent1 65 4" xfId="12752"/>
    <cellStyle name="40% - Accent1 65 5" xfId="12753"/>
    <cellStyle name="40% - Accent1 66" xfId="12754"/>
    <cellStyle name="40% - Accent1 66 2" xfId="12755"/>
    <cellStyle name="40% - Accent1 66 2 2" xfId="12756"/>
    <cellStyle name="40% - Accent1 66 3" xfId="12757"/>
    <cellStyle name="40% - Accent1 66 3 2" xfId="12758"/>
    <cellStyle name="40% - Accent1 66 4" xfId="12759"/>
    <cellStyle name="40% - Accent1 66 5" xfId="12760"/>
    <cellStyle name="40% - Accent1 67" xfId="12761"/>
    <cellStyle name="40% - Accent1 67 2" xfId="12762"/>
    <cellStyle name="40% - Accent1 67 2 2" xfId="12763"/>
    <cellStyle name="40% - Accent1 67 3" xfId="12764"/>
    <cellStyle name="40% - Accent1 67 3 2" xfId="12765"/>
    <cellStyle name="40% - Accent1 67 4" xfId="12766"/>
    <cellStyle name="40% - Accent1 67 5" xfId="12767"/>
    <cellStyle name="40% - Accent1 68" xfId="12768"/>
    <cellStyle name="40% - Accent1 68 2" xfId="12769"/>
    <cellStyle name="40% - Accent1 68 2 2" xfId="12770"/>
    <cellStyle name="40% - Accent1 68 3" xfId="12771"/>
    <cellStyle name="40% - Accent1 68 3 2" xfId="12772"/>
    <cellStyle name="40% - Accent1 68 4" xfId="12773"/>
    <cellStyle name="40% - Accent1 68 5" xfId="12774"/>
    <cellStyle name="40% - Accent1 69" xfId="12775"/>
    <cellStyle name="40% - Accent1 69 2" xfId="12776"/>
    <cellStyle name="40% - Accent1 69 2 2" xfId="12777"/>
    <cellStyle name="40% - Accent1 69 3" xfId="12778"/>
    <cellStyle name="40% - Accent1 69 3 2" xfId="12779"/>
    <cellStyle name="40% - Accent1 69 4" xfId="12780"/>
    <cellStyle name="40% - Accent1 69 5" xfId="12781"/>
    <cellStyle name="40% - Accent1 7" xfId="12782"/>
    <cellStyle name="40% - Accent1 7 2" xfId="12783"/>
    <cellStyle name="40% - Accent1 7 2 2" xfId="12784"/>
    <cellStyle name="40% - Accent1 7 2 2 2" xfId="12785"/>
    <cellStyle name="40% - Accent1 7 2 3" xfId="12786"/>
    <cellStyle name="40% - Accent1 7 2 3 2" xfId="12787"/>
    <cellStyle name="40% - Accent1 7 2 4" xfId="12788"/>
    <cellStyle name="40% - Accent1 7 3" xfId="12789"/>
    <cellStyle name="40% - Accent1 7 3 2" xfId="12790"/>
    <cellStyle name="40% - Accent1 7 3 2 2" xfId="12791"/>
    <cellStyle name="40% - Accent1 7 3 3" xfId="12792"/>
    <cellStyle name="40% - Accent1 7 3 3 2" xfId="12793"/>
    <cellStyle name="40% - Accent1 7 3 4" xfId="12794"/>
    <cellStyle name="40% - Accent1 7 4" xfId="12795"/>
    <cellStyle name="40% - Accent1 7 4 2" xfId="12796"/>
    <cellStyle name="40% - Accent1 7 5" xfId="12797"/>
    <cellStyle name="40% - Accent1 7 5 2" xfId="12798"/>
    <cellStyle name="40% - Accent1 7 6" xfId="12799"/>
    <cellStyle name="40% - Accent1 70" xfId="12800"/>
    <cellStyle name="40% - Accent1 70 2" xfId="12801"/>
    <cellStyle name="40% - Accent1 70 2 2" xfId="12802"/>
    <cellStyle name="40% - Accent1 70 3" xfId="12803"/>
    <cellStyle name="40% - Accent1 70 3 2" xfId="12804"/>
    <cellStyle name="40% - Accent1 70 4" xfId="12805"/>
    <cellStyle name="40% - Accent1 71" xfId="12806"/>
    <cellStyle name="40% - Accent1 71 2" xfId="12807"/>
    <cellStyle name="40% - Accent1 71 2 2" xfId="12808"/>
    <cellStyle name="40% - Accent1 71 3" xfId="12809"/>
    <cellStyle name="40% - Accent1 71 3 2" xfId="12810"/>
    <cellStyle name="40% - Accent1 71 4" xfId="12811"/>
    <cellStyle name="40% - Accent1 72" xfId="12812"/>
    <cellStyle name="40% - Accent1 72 2" xfId="12813"/>
    <cellStyle name="40% - Accent1 72 2 2" xfId="12814"/>
    <cellStyle name="40% - Accent1 72 3" xfId="12815"/>
    <cellStyle name="40% - Accent1 72 3 2" xfId="12816"/>
    <cellStyle name="40% - Accent1 72 4" xfId="12817"/>
    <cellStyle name="40% - Accent1 73" xfId="12818"/>
    <cellStyle name="40% - Accent1 73 2" xfId="12819"/>
    <cellStyle name="40% - Accent1 73 2 2" xfId="12820"/>
    <cellStyle name="40% - Accent1 73 3" xfId="12821"/>
    <cellStyle name="40% - Accent1 73 3 2" xfId="12822"/>
    <cellStyle name="40% - Accent1 73 4" xfId="12823"/>
    <cellStyle name="40% - Accent1 74" xfId="12824"/>
    <cellStyle name="40% - Accent1 74 2" xfId="12825"/>
    <cellStyle name="40% - Accent1 74 2 2" xfId="12826"/>
    <cellStyle name="40% - Accent1 74 3" xfId="12827"/>
    <cellStyle name="40% - Accent1 74 3 2" xfId="12828"/>
    <cellStyle name="40% - Accent1 74 4" xfId="12829"/>
    <cellStyle name="40% - Accent1 75" xfId="12830"/>
    <cellStyle name="40% - Accent1 75 2" xfId="12831"/>
    <cellStyle name="40% - Accent1 75 2 2" xfId="12832"/>
    <cellStyle name="40% - Accent1 75 3" xfId="12833"/>
    <cellStyle name="40% - Accent1 75 3 2" xfId="12834"/>
    <cellStyle name="40% - Accent1 75 4" xfId="12835"/>
    <cellStyle name="40% - Accent1 76" xfId="12836"/>
    <cellStyle name="40% - Accent1 76 2" xfId="12837"/>
    <cellStyle name="40% - Accent1 76 2 2" xfId="12838"/>
    <cellStyle name="40% - Accent1 76 3" xfId="12839"/>
    <cellStyle name="40% - Accent1 76 3 2" xfId="12840"/>
    <cellStyle name="40% - Accent1 76 4" xfId="12841"/>
    <cellStyle name="40% - Accent1 77" xfId="12842"/>
    <cellStyle name="40% - Accent1 77 2" xfId="12843"/>
    <cellStyle name="40% - Accent1 77 2 2" xfId="12844"/>
    <cellStyle name="40% - Accent1 77 3" xfId="12845"/>
    <cellStyle name="40% - Accent1 77 3 2" xfId="12846"/>
    <cellStyle name="40% - Accent1 77 4" xfId="12847"/>
    <cellStyle name="40% - Accent1 78" xfId="12848"/>
    <cellStyle name="40% - Accent1 78 2" xfId="12849"/>
    <cellStyle name="40% - Accent1 78 2 2" xfId="12850"/>
    <cellStyle name="40% - Accent1 78 3" xfId="12851"/>
    <cellStyle name="40% - Accent1 78 3 2" xfId="12852"/>
    <cellStyle name="40% - Accent1 78 4" xfId="12853"/>
    <cellStyle name="40% - Accent1 79" xfId="12854"/>
    <cellStyle name="40% - Accent1 79 2" xfId="12855"/>
    <cellStyle name="40% - Accent1 79 2 2" xfId="12856"/>
    <cellStyle name="40% - Accent1 79 3" xfId="12857"/>
    <cellStyle name="40% - Accent1 79 3 2" xfId="12858"/>
    <cellStyle name="40% - Accent1 79 4" xfId="12859"/>
    <cellStyle name="40% - Accent1 8" xfId="12860"/>
    <cellStyle name="40% - Accent1 8 2" xfId="12861"/>
    <cellStyle name="40% - Accent1 8 2 2" xfId="12862"/>
    <cellStyle name="40% - Accent1 8 2 2 2" xfId="12863"/>
    <cellStyle name="40% - Accent1 8 2 3" xfId="12864"/>
    <cellStyle name="40% - Accent1 8 2 3 2" xfId="12865"/>
    <cellStyle name="40% - Accent1 8 2 4" xfId="12866"/>
    <cellStyle name="40% - Accent1 8 3" xfId="12867"/>
    <cellStyle name="40% - Accent1 8 3 2" xfId="12868"/>
    <cellStyle name="40% - Accent1 8 3 2 2" xfId="12869"/>
    <cellStyle name="40% - Accent1 8 3 3" xfId="12870"/>
    <cellStyle name="40% - Accent1 8 3 3 2" xfId="12871"/>
    <cellStyle name="40% - Accent1 8 3 4" xfId="12872"/>
    <cellStyle name="40% - Accent1 8 4" xfId="12873"/>
    <cellStyle name="40% - Accent1 8 4 2" xfId="12874"/>
    <cellStyle name="40% - Accent1 8 5" xfId="12875"/>
    <cellStyle name="40% - Accent1 8 5 2" xfId="12876"/>
    <cellStyle name="40% - Accent1 8 6" xfId="12877"/>
    <cellStyle name="40% - Accent1 80" xfId="12878"/>
    <cellStyle name="40% - Accent1 80 2" xfId="12879"/>
    <cellStyle name="40% - Accent1 80 2 2" xfId="12880"/>
    <cellStyle name="40% - Accent1 80 3" xfId="12881"/>
    <cellStyle name="40% - Accent1 80 3 2" xfId="12882"/>
    <cellStyle name="40% - Accent1 80 4" xfId="12883"/>
    <cellStyle name="40% - Accent1 81" xfId="12884"/>
    <cellStyle name="40% - Accent1 81 2" xfId="12885"/>
    <cellStyle name="40% - Accent1 81 2 2" xfId="12886"/>
    <cellStyle name="40% - Accent1 81 3" xfId="12887"/>
    <cellStyle name="40% - Accent1 81 3 2" xfId="12888"/>
    <cellStyle name="40% - Accent1 81 4" xfId="12889"/>
    <cellStyle name="40% - Accent1 82" xfId="12890"/>
    <cellStyle name="40% - Accent1 82 2" xfId="12891"/>
    <cellStyle name="40% - Accent1 82 2 2" xfId="12892"/>
    <cellStyle name="40% - Accent1 82 3" xfId="12893"/>
    <cellStyle name="40% - Accent1 82 3 2" xfId="12894"/>
    <cellStyle name="40% - Accent1 82 4" xfId="12895"/>
    <cellStyle name="40% - Accent1 83" xfId="12896"/>
    <cellStyle name="40% - Accent1 83 2" xfId="12897"/>
    <cellStyle name="40% - Accent1 83 2 2" xfId="12898"/>
    <cellStyle name="40% - Accent1 83 3" xfId="12899"/>
    <cellStyle name="40% - Accent1 83 3 2" xfId="12900"/>
    <cellStyle name="40% - Accent1 83 4" xfId="12901"/>
    <cellStyle name="40% - Accent1 84" xfId="12902"/>
    <cellStyle name="40% - Accent1 84 2" xfId="12903"/>
    <cellStyle name="40% - Accent1 84 2 2" xfId="12904"/>
    <cellStyle name="40% - Accent1 84 3" xfId="12905"/>
    <cellStyle name="40% - Accent1 84 3 2" xfId="12906"/>
    <cellStyle name="40% - Accent1 84 4" xfId="12907"/>
    <cellStyle name="40% - Accent1 85" xfId="12908"/>
    <cellStyle name="40% - Accent1 85 2" xfId="12909"/>
    <cellStyle name="40% - Accent1 85 2 2" xfId="12910"/>
    <cellStyle name="40% - Accent1 85 3" xfId="12911"/>
    <cellStyle name="40% - Accent1 85 3 2" xfId="12912"/>
    <cellStyle name="40% - Accent1 85 4" xfId="12913"/>
    <cellStyle name="40% - Accent1 86" xfId="12914"/>
    <cellStyle name="40% - Accent1 86 2" xfId="12915"/>
    <cellStyle name="40% - Accent1 86 2 2" xfId="12916"/>
    <cellStyle name="40% - Accent1 86 3" xfId="12917"/>
    <cellStyle name="40% - Accent1 86 3 2" xfId="12918"/>
    <cellStyle name="40% - Accent1 86 4" xfId="12919"/>
    <cellStyle name="40% - Accent1 87" xfId="12920"/>
    <cellStyle name="40% - Accent1 87 2" xfId="12921"/>
    <cellStyle name="40% - Accent1 87 2 2" xfId="12922"/>
    <cellStyle name="40% - Accent1 87 3" xfId="12923"/>
    <cellStyle name="40% - Accent1 87 3 2" xfId="12924"/>
    <cellStyle name="40% - Accent1 87 4" xfId="12925"/>
    <cellStyle name="40% - Accent1 88" xfId="12926"/>
    <cellStyle name="40% - Accent1 88 2" xfId="12927"/>
    <cellStyle name="40% - Accent1 88 2 2" xfId="12928"/>
    <cellStyle name="40% - Accent1 88 3" xfId="12929"/>
    <cellStyle name="40% - Accent1 88 3 2" xfId="12930"/>
    <cellStyle name="40% - Accent1 88 4" xfId="12931"/>
    <cellStyle name="40% - Accent1 89" xfId="12932"/>
    <cellStyle name="40% - Accent1 89 2" xfId="12933"/>
    <cellStyle name="40% - Accent1 89 2 2" xfId="12934"/>
    <cellStyle name="40% - Accent1 89 3" xfId="12935"/>
    <cellStyle name="40% - Accent1 89 3 2" xfId="12936"/>
    <cellStyle name="40% - Accent1 89 4" xfId="12937"/>
    <cellStyle name="40% - Accent1 9" xfId="12938"/>
    <cellStyle name="40% - Accent1 9 2" xfId="12939"/>
    <cellStyle name="40% - Accent1 9 2 2" xfId="12940"/>
    <cellStyle name="40% - Accent1 9 2 2 2" xfId="12941"/>
    <cellStyle name="40% - Accent1 9 2 3" xfId="12942"/>
    <cellStyle name="40% - Accent1 9 2 3 2" xfId="12943"/>
    <cellStyle name="40% - Accent1 9 2 4" xfId="12944"/>
    <cellStyle name="40% - Accent1 9 3" xfId="12945"/>
    <cellStyle name="40% - Accent1 9 3 2" xfId="12946"/>
    <cellStyle name="40% - Accent1 9 3 2 2" xfId="12947"/>
    <cellStyle name="40% - Accent1 9 3 3" xfId="12948"/>
    <cellStyle name="40% - Accent1 9 3 3 2" xfId="12949"/>
    <cellStyle name="40% - Accent1 9 3 4" xfId="12950"/>
    <cellStyle name="40% - Accent1 9 4" xfId="12951"/>
    <cellStyle name="40% - Accent1 9 4 2" xfId="12952"/>
    <cellStyle name="40% - Accent1 9 5" xfId="12953"/>
    <cellStyle name="40% - Accent1 9 5 2" xfId="12954"/>
    <cellStyle name="40% - Accent1 9 6" xfId="12955"/>
    <cellStyle name="40% - Accent1 90" xfId="12956"/>
    <cellStyle name="40% - Accent1 90 2" xfId="12957"/>
    <cellStyle name="40% - Accent1 90 2 2" xfId="12958"/>
    <cellStyle name="40% - Accent1 90 3" xfId="12959"/>
    <cellStyle name="40% - Accent1 90 3 2" xfId="12960"/>
    <cellStyle name="40% - Accent1 90 4" xfId="12961"/>
    <cellStyle name="40% - Accent1 91" xfId="12962"/>
    <cellStyle name="40% - Accent1 91 2" xfId="12963"/>
    <cellStyle name="40% - Accent1 91 2 2" xfId="12964"/>
    <cellStyle name="40% - Accent1 91 3" xfId="12965"/>
    <cellStyle name="40% - Accent1 91 3 2" xfId="12966"/>
    <cellStyle name="40% - Accent1 91 4" xfId="12967"/>
    <cellStyle name="40% - Accent1 92" xfId="12968"/>
    <cellStyle name="40% - Accent1 92 2" xfId="12969"/>
    <cellStyle name="40% - Accent1 92 2 2" xfId="12970"/>
    <cellStyle name="40% - Accent1 92 3" xfId="12971"/>
    <cellStyle name="40% - Accent1 92 3 2" xfId="12972"/>
    <cellStyle name="40% - Accent1 92 4" xfId="12973"/>
    <cellStyle name="40% - Accent1 93" xfId="12974"/>
    <cellStyle name="40% - Accent1 93 2" xfId="12975"/>
    <cellStyle name="40% - Accent1 93 2 2" xfId="12976"/>
    <cellStyle name="40% - Accent1 93 3" xfId="12977"/>
    <cellStyle name="40% - Accent1 93 3 2" xfId="12978"/>
    <cellStyle name="40% - Accent1 93 4" xfId="12979"/>
    <cellStyle name="40% - Accent1 94" xfId="12980"/>
    <cellStyle name="40% - Accent1 94 2" xfId="12981"/>
    <cellStyle name="40% - Accent1 94 2 2" xfId="12982"/>
    <cellStyle name="40% - Accent1 94 3" xfId="12983"/>
    <cellStyle name="40% - Accent1 94 3 2" xfId="12984"/>
    <cellStyle name="40% - Accent1 94 4" xfId="12985"/>
    <cellStyle name="40% - Accent1 95" xfId="12986"/>
    <cellStyle name="40% - Accent1 95 2" xfId="12987"/>
    <cellStyle name="40% - Accent1 95 2 2" xfId="12988"/>
    <cellStyle name="40% - Accent1 95 3" xfId="12989"/>
    <cellStyle name="40% - Accent1 95 3 2" xfId="12990"/>
    <cellStyle name="40% - Accent1 95 4" xfId="12991"/>
    <cellStyle name="40% - Accent1 96" xfId="12992"/>
    <cellStyle name="40% - Accent1 96 2" xfId="12993"/>
    <cellStyle name="40% - Accent1 96 2 2" xfId="12994"/>
    <cellStyle name="40% - Accent1 96 3" xfId="12995"/>
    <cellStyle name="40% - Accent1 96 3 2" xfId="12996"/>
    <cellStyle name="40% - Accent1 96 4" xfId="12997"/>
    <cellStyle name="40% - Accent1 97" xfId="12998"/>
    <cellStyle name="40% - Accent1 97 2" xfId="12999"/>
    <cellStyle name="40% - Accent1 97 2 2" xfId="13000"/>
    <cellStyle name="40% - Accent1 97 3" xfId="13001"/>
    <cellStyle name="40% - Accent1 97 3 2" xfId="13002"/>
    <cellStyle name="40% - Accent1 97 4" xfId="13003"/>
    <cellStyle name="40% - Accent1 98" xfId="13004"/>
    <cellStyle name="40% - Accent1 98 2" xfId="13005"/>
    <cellStyle name="40% - Accent1 98 2 2" xfId="13006"/>
    <cellStyle name="40% - Accent1 98 3" xfId="13007"/>
    <cellStyle name="40% - Accent1 98 3 2" xfId="13008"/>
    <cellStyle name="40% - Accent1 98 4" xfId="13009"/>
    <cellStyle name="40% - Accent1 99" xfId="13010"/>
    <cellStyle name="40% - Accent1 99 2" xfId="13011"/>
    <cellStyle name="40% - Accent1 99 2 2" xfId="13012"/>
    <cellStyle name="40% - Accent1 99 3" xfId="13013"/>
    <cellStyle name="40% - Accent1 99 3 2" xfId="13014"/>
    <cellStyle name="40% - Accent1 99 4" xfId="13015"/>
    <cellStyle name="40% - Accent2 10" xfId="13016"/>
    <cellStyle name="40% - Accent2 10 2" xfId="13017"/>
    <cellStyle name="40% - Accent2 10 2 2" xfId="13018"/>
    <cellStyle name="40% - Accent2 10 2 2 2" xfId="13019"/>
    <cellStyle name="40% - Accent2 10 2 3" xfId="13020"/>
    <cellStyle name="40% - Accent2 10 2 3 2" xfId="13021"/>
    <cellStyle name="40% - Accent2 10 2 4" xfId="13022"/>
    <cellStyle name="40% - Accent2 10 3" xfId="13023"/>
    <cellStyle name="40% - Accent2 10 3 2" xfId="13024"/>
    <cellStyle name="40% - Accent2 10 3 2 2" xfId="13025"/>
    <cellStyle name="40% - Accent2 10 3 3" xfId="13026"/>
    <cellStyle name="40% - Accent2 10 3 3 2" xfId="13027"/>
    <cellStyle name="40% - Accent2 10 3 4" xfId="13028"/>
    <cellStyle name="40% - Accent2 10 4" xfId="13029"/>
    <cellStyle name="40% - Accent2 10 4 2" xfId="13030"/>
    <cellStyle name="40% - Accent2 10 5" xfId="13031"/>
    <cellStyle name="40% - Accent2 10 5 2" xfId="13032"/>
    <cellStyle name="40% - Accent2 10 6" xfId="13033"/>
    <cellStyle name="40% - Accent2 100" xfId="13034"/>
    <cellStyle name="40% - Accent2 100 2" xfId="13035"/>
    <cellStyle name="40% - Accent2 100 2 2" xfId="13036"/>
    <cellStyle name="40% - Accent2 100 3" xfId="13037"/>
    <cellStyle name="40% - Accent2 100 3 2" xfId="13038"/>
    <cellStyle name="40% - Accent2 100 4" xfId="13039"/>
    <cellStyle name="40% - Accent2 101" xfId="13040"/>
    <cellStyle name="40% - Accent2 101 2" xfId="13041"/>
    <cellStyle name="40% - Accent2 101 2 2" xfId="13042"/>
    <cellStyle name="40% - Accent2 101 3" xfId="13043"/>
    <cellStyle name="40% - Accent2 101 3 2" xfId="13044"/>
    <cellStyle name="40% - Accent2 101 4" xfId="13045"/>
    <cellStyle name="40% - Accent2 102" xfId="13046"/>
    <cellStyle name="40% - Accent2 102 2" xfId="13047"/>
    <cellStyle name="40% - Accent2 102 2 2" xfId="13048"/>
    <cellStyle name="40% - Accent2 102 3" xfId="13049"/>
    <cellStyle name="40% - Accent2 102 3 2" xfId="13050"/>
    <cellStyle name="40% - Accent2 102 4" xfId="13051"/>
    <cellStyle name="40% - Accent2 103" xfId="13052"/>
    <cellStyle name="40% - Accent2 103 2" xfId="13053"/>
    <cellStyle name="40% - Accent2 103 2 2" xfId="13054"/>
    <cellStyle name="40% - Accent2 103 3" xfId="13055"/>
    <cellStyle name="40% - Accent2 103 3 2" xfId="13056"/>
    <cellStyle name="40% - Accent2 103 4" xfId="13057"/>
    <cellStyle name="40% - Accent2 104" xfId="13058"/>
    <cellStyle name="40% - Accent2 104 2" xfId="13059"/>
    <cellStyle name="40% - Accent2 104 2 2" xfId="13060"/>
    <cellStyle name="40% - Accent2 104 3" xfId="13061"/>
    <cellStyle name="40% - Accent2 104 3 2" xfId="13062"/>
    <cellStyle name="40% - Accent2 104 4" xfId="13063"/>
    <cellStyle name="40% - Accent2 105" xfId="13064"/>
    <cellStyle name="40% - Accent2 105 2" xfId="13065"/>
    <cellStyle name="40% - Accent2 105 2 2" xfId="13066"/>
    <cellStyle name="40% - Accent2 105 3" xfId="13067"/>
    <cellStyle name="40% - Accent2 105 3 2" xfId="13068"/>
    <cellStyle name="40% - Accent2 105 4" xfId="13069"/>
    <cellStyle name="40% - Accent2 106" xfId="13070"/>
    <cellStyle name="40% - Accent2 106 2" xfId="13071"/>
    <cellStyle name="40% - Accent2 106 2 2" xfId="13072"/>
    <cellStyle name="40% - Accent2 106 3" xfId="13073"/>
    <cellStyle name="40% - Accent2 106 3 2" xfId="13074"/>
    <cellStyle name="40% - Accent2 106 4" xfId="13075"/>
    <cellStyle name="40% - Accent2 107" xfId="13076"/>
    <cellStyle name="40% - Accent2 107 2" xfId="13077"/>
    <cellStyle name="40% - Accent2 107 2 2" xfId="13078"/>
    <cellStyle name="40% - Accent2 107 3" xfId="13079"/>
    <cellStyle name="40% - Accent2 107 3 2" xfId="13080"/>
    <cellStyle name="40% - Accent2 107 4" xfId="13081"/>
    <cellStyle name="40% - Accent2 108" xfId="13082"/>
    <cellStyle name="40% - Accent2 108 2" xfId="13083"/>
    <cellStyle name="40% - Accent2 108 2 2" xfId="13084"/>
    <cellStyle name="40% - Accent2 108 3" xfId="13085"/>
    <cellStyle name="40% - Accent2 108 3 2" xfId="13086"/>
    <cellStyle name="40% - Accent2 108 4" xfId="13087"/>
    <cellStyle name="40% - Accent2 109" xfId="13088"/>
    <cellStyle name="40% - Accent2 109 2" xfId="13089"/>
    <cellStyle name="40% - Accent2 109 2 2" xfId="13090"/>
    <cellStyle name="40% - Accent2 109 3" xfId="13091"/>
    <cellStyle name="40% - Accent2 109 3 2" xfId="13092"/>
    <cellStyle name="40% - Accent2 109 4" xfId="13093"/>
    <cellStyle name="40% - Accent2 11" xfId="13094"/>
    <cellStyle name="40% - Accent2 11 2" xfId="13095"/>
    <cellStyle name="40% - Accent2 11 2 2" xfId="13096"/>
    <cellStyle name="40% - Accent2 11 2 2 2" xfId="13097"/>
    <cellStyle name="40% - Accent2 11 2 3" xfId="13098"/>
    <cellStyle name="40% - Accent2 11 2 3 2" xfId="13099"/>
    <cellStyle name="40% - Accent2 11 2 4" xfId="13100"/>
    <cellStyle name="40% - Accent2 11 3" xfId="13101"/>
    <cellStyle name="40% - Accent2 11 3 2" xfId="13102"/>
    <cellStyle name="40% - Accent2 11 3 2 2" xfId="13103"/>
    <cellStyle name="40% - Accent2 11 3 3" xfId="13104"/>
    <cellStyle name="40% - Accent2 11 3 3 2" xfId="13105"/>
    <cellStyle name="40% - Accent2 11 3 4" xfId="13106"/>
    <cellStyle name="40% - Accent2 11 4" xfId="13107"/>
    <cellStyle name="40% - Accent2 11 4 2" xfId="13108"/>
    <cellStyle name="40% - Accent2 11 5" xfId="13109"/>
    <cellStyle name="40% - Accent2 11 5 2" xfId="13110"/>
    <cellStyle name="40% - Accent2 11 6" xfId="13111"/>
    <cellStyle name="40% - Accent2 110" xfId="13112"/>
    <cellStyle name="40% - Accent2 110 2" xfId="13113"/>
    <cellStyle name="40% - Accent2 110 2 2" xfId="13114"/>
    <cellStyle name="40% - Accent2 110 3" xfId="13115"/>
    <cellStyle name="40% - Accent2 110 3 2" xfId="13116"/>
    <cellStyle name="40% - Accent2 110 4" xfId="13117"/>
    <cellStyle name="40% - Accent2 111" xfId="13118"/>
    <cellStyle name="40% - Accent2 111 2" xfId="13119"/>
    <cellStyle name="40% - Accent2 111 2 2" xfId="13120"/>
    <cellStyle name="40% - Accent2 111 3" xfId="13121"/>
    <cellStyle name="40% - Accent2 111 3 2" xfId="13122"/>
    <cellStyle name="40% - Accent2 111 4" xfId="13123"/>
    <cellStyle name="40% - Accent2 112" xfId="13124"/>
    <cellStyle name="40% - Accent2 112 2" xfId="13125"/>
    <cellStyle name="40% - Accent2 112 2 2" xfId="13126"/>
    <cellStyle name="40% - Accent2 112 3" xfId="13127"/>
    <cellStyle name="40% - Accent2 112 3 2" xfId="13128"/>
    <cellStyle name="40% - Accent2 112 4" xfId="13129"/>
    <cellStyle name="40% - Accent2 113" xfId="13130"/>
    <cellStyle name="40% - Accent2 113 2" xfId="13131"/>
    <cellStyle name="40% - Accent2 113 2 2" xfId="13132"/>
    <cellStyle name="40% - Accent2 113 3" xfId="13133"/>
    <cellStyle name="40% - Accent2 113 3 2" xfId="13134"/>
    <cellStyle name="40% - Accent2 113 4" xfId="13135"/>
    <cellStyle name="40% - Accent2 114" xfId="13136"/>
    <cellStyle name="40% - Accent2 114 2" xfId="13137"/>
    <cellStyle name="40% - Accent2 114 2 2" xfId="13138"/>
    <cellStyle name="40% - Accent2 114 3" xfId="13139"/>
    <cellStyle name="40% - Accent2 114 3 2" xfId="13140"/>
    <cellStyle name="40% - Accent2 114 4" xfId="13141"/>
    <cellStyle name="40% - Accent2 115" xfId="13142"/>
    <cellStyle name="40% - Accent2 115 2" xfId="13143"/>
    <cellStyle name="40% - Accent2 115 2 2" xfId="13144"/>
    <cellStyle name="40% - Accent2 115 3" xfId="13145"/>
    <cellStyle name="40% - Accent2 115 3 2" xfId="13146"/>
    <cellStyle name="40% - Accent2 115 4" xfId="13147"/>
    <cellStyle name="40% - Accent2 116" xfId="13148"/>
    <cellStyle name="40% - Accent2 116 2" xfId="13149"/>
    <cellStyle name="40% - Accent2 116 2 2" xfId="13150"/>
    <cellStyle name="40% - Accent2 116 3" xfId="13151"/>
    <cellStyle name="40% - Accent2 116 3 2" xfId="13152"/>
    <cellStyle name="40% - Accent2 116 4" xfId="13153"/>
    <cellStyle name="40% - Accent2 117" xfId="13154"/>
    <cellStyle name="40% - Accent2 117 2" xfId="13155"/>
    <cellStyle name="40% - Accent2 117 2 2" xfId="13156"/>
    <cellStyle name="40% - Accent2 117 3" xfId="13157"/>
    <cellStyle name="40% - Accent2 117 3 2" xfId="13158"/>
    <cellStyle name="40% - Accent2 117 4" xfId="13159"/>
    <cellStyle name="40% - Accent2 118" xfId="13160"/>
    <cellStyle name="40% - Accent2 118 2" xfId="13161"/>
    <cellStyle name="40% - Accent2 118 2 2" xfId="13162"/>
    <cellStyle name="40% - Accent2 118 3" xfId="13163"/>
    <cellStyle name="40% - Accent2 118 3 2" xfId="13164"/>
    <cellStyle name="40% - Accent2 118 4" xfId="13165"/>
    <cellStyle name="40% - Accent2 119" xfId="13166"/>
    <cellStyle name="40% - Accent2 119 2" xfId="13167"/>
    <cellStyle name="40% - Accent2 119 2 2" xfId="13168"/>
    <cellStyle name="40% - Accent2 119 3" xfId="13169"/>
    <cellStyle name="40% - Accent2 119 3 2" xfId="13170"/>
    <cellStyle name="40% - Accent2 119 4" xfId="13171"/>
    <cellStyle name="40% - Accent2 12" xfId="13172"/>
    <cellStyle name="40% - Accent2 12 2" xfId="13173"/>
    <cellStyle name="40% - Accent2 12 2 2" xfId="13174"/>
    <cellStyle name="40% - Accent2 12 2 2 2" xfId="13175"/>
    <cellStyle name="40% - Accent2 12 2 3" xfId="13176"/>
    <cellStyle name="40% - Accent2 12 2 3 2" xfId="13177"/>
    <cellStyle name="40% - Accent2 12 2 4" xfId="13178"/>
    <cellStyle name="40% - Accent2 12 3" xfId="13179"/>
    <cellStyle name="40% - Accent2 12 3 2" xfId="13180"/>
    <cellStyle name="40% - Accent2 12 3 2 2" xfId="13181"/>
    <cellStyle name="40% - Accent2 12 3 3" xfId="13182"/>
    <cellStyle name="40% - Accent2 12 3 3 2" xfId="13183"/>
    <cellStyle name="40% - Accent2 12 3 4" xfId="13184"/>
    <cellStyle name="40% - Accent2 12 4" xfId="13185"/>
    <cellStyle name="40% - Accent2 12 4 2" xfId="13186"/>
    <cellStyle name="40% - Accent2 12 5" xfId="13187"/>
    <cellStyle name="40% - Accent2 12 5 2" xfId="13188"/>
    <cellStyle name="40% - Accent2 12 6" xfId="13189"/>
    <cellStyle name="40% - Accent2 120" xfId="13190"/>
    <cellStyle name="40% - Accent2 120 2" xfId="13191"/>
    <cellStyle name="40% - Accent2 120 2 2" xfId="13192"/>
    <cellStyle name="40% - Accent2 120 3" xfId="13193"/>
    <cellStyle name="40% - Accent2 120 3 2" xfId="13194"/>
    <cellStyle name="40% - Accent2 120 4" xfId="13195"/>
    <cellStyle name="40% - Accent2 121" xfId="13196"/>
    <cellStyle name="40% - Accent2 121 2" xfId="13197"/>
    <cellStyle name="40% - Accent2 121 2 2" xfId="13198"/>
    <cellStyle name="40% - Accent2 121 3" xfId="13199"/>
    <cellStyle name="40% - Accent2 121 3 2" xfId="13200"/>
    <cellStyle name="40% - Accent2 121 4" xfId="13201"/>
    <cellStyle name="40% - Accent2 122" xfId="13202"/>
    <cellStyle name="40% - Accent2 122 2" xfId="13203"/>
    <cellStyle name="40% - Accent2 122 2 2" xfId="13204"/>
    <cellStyle name="40% - Accent2 122 3" xfId="13205"/>
    <cellStyle name="40% - Accent2 122 3 2" xfId="13206"/>
    <cellStyle name="40% - Accent2 122 4" xfId="13207"/>
    <cellStyle name="40% - Accent2 123" xfId="13208"/>
    <cellStyle name="40% - Accent2 123 2" xfId="13209"/>
    <cellStyle name="40% - Accent2 123 2 2" xfId="13210"/>
    <cellStyle name="40% - Accent2 123 3" xfId="13211"/>
    <cellStyle name="40% - Accent2 123 3 2" xfId="13212"/>
    <cellStyle name="40% - Accent2 123 4" xfId="13213"/>
    <cellStyle name="40% - Accent2 124" xfId="13214"/>
    <cellStyle name="40% - Accent2 124 2" xfId="13215"/>
    <cellStyle name="40% - Accent2 124 2 2" xfId="13216"/>
    <cellStyle name="40% - Accent2 124 3" xfId="13217"/>
    <cellStyle name="40% - Accent2 124 3 2" xfId="13218"/>
    <cellStyle name="40% - Accent2 124 4" xfId="13219"/>
    <cellStyle name="40% - Accent2 125" xfId="13220"/>
    <cellStyle name="40% - Accent2 125 2" xfId="13221"/>
    <cellStyle name="40% - Accent2 125 2 2" xfId="13222"/>
    <cellStyle name="40% - Accent2 125 3" xfId="13223"/>
    <cellStyle name="40% - Accent2 125 3 2" xfId="13224"/>
    <cellStyle name="40% - Accent2 125 4" xfId="13225"/>
    <cellStyle name="40% - Accent2 126" xfId="13226"/>
    <cellStyle name="40% - Accent2 126 2" xfId="13227"/>
    <cellStyle name="40% - Accent2 126 2 2" xfId="13228"/>
    <cellStyle name="40% - Accent2 126 3" xfId="13229"/>
    <cellStyle name="40% - Accent2 126 3 2" xfId="13230"/>
    <cellStyle name="40% - Accent2 126 4" xfId="13231"/>
    <cellStyle name="40% - Accent2 127" xfId="13232"/>
    <cellStyle name="40% - Accent2 127 2" xfId="13233"/>
    <cellStyle name="40% - Accent2 127 2 2" xfId="13234"/>
    <cellStyle name="40% - Accent2 127 3" xfId="13235"/>
    <cellStyle name="40% - Accent2 127 3 2" xfId="13236"/>
    <cellStyle name="40% - Accent2 127 4" xfId="13237"/>
    <cellStyle name="40% - Accent2 128" xfId="13238"/>
    <cellStyle name="40% - Accent2 128 2" xfId="13239"/>
    <cellStyle name="40% - Accent2 128 2 2" xfId="13240"/>
    <cellStyle name="40% - Accent2 128 3" xfId="13241"/>
    <cellStyle name="40% - Accent2 128 3 2" xfId="13242"/>
    <cellStyle name="40% - Accent2 128 4" xfId="13243"/>
    <cellStyle name="40% - Accent2 129" xfId="13244"/>
    <cellStyle name="40% - Accent2 129 2" xfId="13245"/>
    <cellStyle name="40% - Accent2 129 2 2" xfId="13246"/>
    <cellStyle name="40% - Accent2 129 3" xfId="13247"/>
    <cellStyle name="40% - Accent2 129 3 2" xfId="13248"/>
    <cellStyle name="40% - Accent2 129 4" xfId="13249"/>
    <cellStyle name="40% - Accent2 13" xfId="13250"/>
    <cellStyle name="40% - Accent2 13 2" xfId="13251"/>
    <cellStyle name="40% - Accent2 13 2 2" xfId="13252"/>
    <cellStyle name="40% - Accent2 13 2 2 2" xfId="13253"/>
    <cellStyle name="40% - Accent2 13 2 3" xfId="13254"/>
    <cellStyle name="40% - Accent2 13 2 3 2" xfId="13255"/>
    <cellStyle name="40% - Accent2 13 2 4" xfId="13256"/>
    <cellStyle name="40% - Accent2 13 3" xfId="13257"/>
    <cellStyle name="40% - Accent2 13 3 2" xfId="13258"/>
    <cellStyle name="40% - Accent2 13 3 2 2" xfId="13259"/>
    <cellStyle name="40% - Accent2 13 3 3" xfId="13260"/>
    <cellStyle name="40% - Accent2 13 3 3 2" xfId="13261"/>
    <cellStyle name="40% - Accent2 13 3 4" xfId="13262"/>
    <cellStyle name="40% - Accent2 13 4" xfId="13263"/>
    <cellStyle name="40% - Accent2 13 4 2" xfId="13264"/>
    <cellStyle name="40% - Accent2 13 5" xfId="13265"/>
    <cellStyle name="40% - Accent2 13 5 2" xfId="13266"/>
    <cellStyle name="40% - Accent2 13 6" xfId="13267"/>
    <cellStyle name="40% - Accent2 130" xfId="13268"/>
    <cellStyle name="40% - Accent2 130 2" xfId="13269"/>
    <cellStyle name="40% - Accent2 130 2 2" xfId="13270"/>
    <cellStyle name="40% - Accent2 130 3" xfId="13271"/>
    <cellStyle name="40% - Accent2 130 3 2" xfId="13272"/>
    <cellStyle name="40% - Accent2 130 4" xfId="13273"/>
    <cellStyle name="40% - Accent2 131" xfId="13274"/>
    <cellStyle name="40% - Accent2 131 2" xfId="13275"/>
    <cellStyle name="40% - Accent2 131 2 2" xfId="13276"/>
    <cellStyle name="40% - Accent2 131 3" xfId="13277"/>
    <cellStyle name="40% - Accent2 131 3 2" xfId="13278"/>
    <cellStyle name="40% - Accent2 131 4" xfId="13279"/>
    <cellStyle name="40% - Accent2 132" xfId="13280"/>
    <cellStyle name="40% - Accent2 132 2" xfId="13281"/>
    <cellStyle name="40% - Accent2 132 2 2" xfId="13282"/>
    <cellStyle name="40% - Accent2 132 3" xfId="13283"/>
    <cellStyle name="40% - Accent2 132 3 2" xfId="13284"/>
    <cellStyle name="40% - Accent2 132 4" xfId="13285"/>
    <cellStyle name="40% - Accent2 133" xfId="13286"/>
    <cellStyle name="40% - Accent2 133 2" xfId="13287"/>
    <cellStyle name="40% - Accent2 133 2 2" xfId="13288"/>
    <cellStyle name="40% - Accent2 133 3" xfId="13289"/>
    <cellStyle name="40% - Accent2 133 3 2" xfId="13290"/>
    <cellStyle name="40% - Accent2 133 4" xfId="13291"/>
    <cellStyle name="40% - Accent2 134" xfId="13292"/>
    <cellStyle name="40% - Accent2 134 2" xfId="13293"/>
    <cellStyle name="40% - Accent2 134 2 2" xfId="13294"/>
    <cellStyle name="40% - Accent2 134 3" xfId="13295"/>
    <cellStyle name="40% - Accent2 134 3 2" xfId="13296"/>
    <cellStyle name="40% - Accent2 134 4" xfId="13297"/>
    <cellStyle name="40% - Accent2 135" xfId="13298"/>
    <cellStyle name="40% - Accent2 135 2" xfId="13299"/>
    <cellStyle name="40% - Accent2 135 2 2" xfId="13300"/>
    <cellStyle name="40% - Accent2 135 3" xfId="13301"/>
    <cellStyle name="40% - Accent2 135 3 2" xfId="13302"/>
    <cellStyle name="40% - Accent2 135 4" xfId="13303"/>
    <cellStyle name="40% - Accent2 136" xfId="13304"/>
    <cellStyle name="40% - Accent2 136 2" xfId="13305"/>
    <cellStyle name="40% - Accent2 136 2 2" xfId="13306"/>
    <cellStyle name="40% - Accent2 136 3" xfId="13307"/>
    <cellStyle name="40% - Accent2 136 3 2" xfId="13308"/>
    <cellStyle name="40% - Accent2 136 4" xfId="13309"/>
    <cellStyle name="40% - Accent2 137" xfId="13310"/>
    <cellStyle name="40% - Accent2 137 2" xfId="13311"/>
    <cellStyle name="40% - Accent2 137 2 2" xfId="13312"/>
    <cellStyle name="40% - Accent2 137 3" xfId="13313"/>
    <cellStyle name="40% - Accent2 137 3 2" xfId="13314"/>
    <cellStyle name="40% - Accent2 137 4" xfId="13315"/>
    <cellStyle name="40% - Accent2 138" xfId="13316"/>
    <cellStyle name="40% - Accent2 138 2" xfId="13317"/>
    <cellStyle name="40% - Accent2 138 2 2" xfId="13318"/>
    <cellStyle name="40% - Accent2 138 3" xfId="13319"/>
    <cellStyle name="40% - Accent2 138 3 2" xfId="13320"/>
    <cellStyle name="40% - Accent2 138 4" xfId="13321"/>
    <cellStyle name="40% - Accent2 139" xfId="13322"/>
    <cellStyle name="40% - Accent2 139 2" xfId="13323"/>
    <cellStyle name="40% - Accent2 139 2 2" xfId="13324"/>
    <cellStyle name="40% - Accent2 139 3" xfId="13325"/>
    <cellStyle name="40% - Accent2 139 3 2" xfId="13326"/>
    <cellStyle name="40% - Accent2 139 4" xfId="13327"/>
    <cellStyle name="40% - Accent2 14" xfId="13328"/>
    <cellStyle name="40% - Accent2 14 2" xfId="13329"/>
    <cellStyle name="40% - Accent2 14 2 2" xfId="13330"/>
    <cellStyle name="40% - Accent2 14 2 2 2" xfId="13331"/>
    <cellStyle name="40% - Accent2 14 2 3" xfId="13332"/>
    <cellStyle name="40% - Accent2 14 2 3 2" xfId="13333"/>
    <cellStyle name="40% - Accent2 14 2 4" xfId="13334"/>
    <cellStyle name="40% - Accent2 14 3" xfId="13335"/>
    <cellStyle name="40% - Accent2 14 3 2" xfId="13336"/>
    <cellStyle name="40% - Accent2 14 3 2 2" xfId="13337"/>
    <cellStyle name="40% - Accent2 14 3 3" xfId="13338"/>
    <cellStyle name="40% - Accent2 14 3 3 2" xfId="13339"/>
    <cellStyle name="40% - Accent2 14 3 4" xfId="13340"/>
    <cellStyle name="40% - Accent2 14 4" xfId="13341"/>
    <cellStyle name="40% - Accent2 14 4 2" xfId="13342"/>
    <cellStyle name="40% - Accent2 14 5" xfId="13343"/>
    <cellStyle name="40% - Accent2 14 5 2" xfId="13344"/>
    <cellStyle name="40% - Accent2 14 6" xfId="13345"/>
    <cellStyle name="40% - Accent2 140" xfId="13346"/>
    <cellStyle name="40% - Accent2 140 2" xfId="13347"/>
    <cellStyle name="40% - Accent2 140 2 2" xfId="13348"/>
    <cellStyle name="40% - Accent2 140 3" xfId="13349"/>
    <cellStyle name="40% - Accent2 140 3 2" xfId="13350"/>
    <cellStyle name="40% - Accent2 140 4" xfId="13351"/>
    <cellStyle name="40% - Accent2 141" xfId="13352"/>
    <cellStyle name="40% - Accent2 141 2" xfId="13353"/>
    <cellStyle name="40% - Accent2 141 2 2" xfId="13354"/>
    <cellStyle name="40% - Accent2 141 3" xfId="13355"/>
    <cellStyle name="40% - Accent2 141 3 2" xfId="13356"/>
    <cellStyle name="40% - Accent2 141 4" xfId="13357"/>
    <cellStyle name="40% - Accent2 142" xfId="13358"/>
    <cellStyle name="40% - Accent2 142 2" xfId="13359"/>
    <cellStyle name="40% - Accent2 142 2 2" xfId="13360"/>
    <cellStyle name="40% - Accent2 142 3" xfId="13361"/>
    <cellStyle name="40% - Accent2 142 3 2" xfId="13362"/>
    <cellStyle name="40% - Accent2 142 4" xfId="13363"/>
    <cellStyle name="40% - Accent2 143" xfId="13364"/>
    <cellStyle name="40% - Accent2 143 2" xfId="13365"/>
    <cellStyle name="40% - Accent2 143 2 2" xfId="13366"/>
    <cellStyle name="40% - Accent2 143 3" xfId="13367"/>
    <cellStyle name="40% - Accent2 143 3 2" xfId="13368"/>
    <cellStyle name="40% - Accent2 143 4" xfId="13369"/>
    <cellStyle name="40% - Accent2 144" xfId="13370"/>
    <cellStyle name="40% - Accent2 144 2" xfId="13371"/>
    <cellStyle name="40% - Accent2 144 2 2" xfId="13372"/>
    <cellStyle name="40% - Accent2 144 3" xfId="13373"/>
    <cellStyle name="40% - Accent2 144 3 2" xfId="13374"/>
    <cellStyle name="40% - Accent2 144 4" xfId="13375"/>
    <cellStyle name="40% - Accent2 145" xfId="13376"/>
    <cellStyle name="40% - Accent2 145 2" xfId="13377"/>
    <cellStyle name="40% - Accent2 145 2 2" xfId="13378"/>
    <cellStyle name="40% - Accent2 145 3" xfId="13379"/>
    <cellStyle name="40% - Accent2 145 3 2" xfId="13380"/>
    <cellStyle name="40% - Accent2 145 4" xfId="13381"/>
    <cellStyle name="40% - Accent2 146" xfId="13382"/>
    <cellStyle name="40% - Accent2 146 2" xfId="13383"/>
    <cellStyle name="40% - Accent2 146 2 2" xfId="13384"/>
    <cellStyle name="40% - Accent2 146 3" xfId="13385"/>
    <cellStyle name="40% - Accent2 146 3 2" xfId="13386"/>
    <cellStyle name="40% - Accent2 146 4" xfId="13387"/>
    <cellStyle name="40% - Accent2 147" xfId="13388"/>
    <cellStyle name="40% - Accent2 147 2" xfId="13389"/>
    <cellStyle name="40% - Accent2 147 2 2" xfId="13390"/>
    <cellStyle name="40% - Accent2 147 3" xfId="13391"/>
    <cellStyle name="40% - Accent2 147 3 2" xfId="13392"/>
    <cellStyle name="40% - Accent2 147 4" xfId="13393"/>
    <cellStyle name="40% - Accent2 148" xfId="13394"/>
    <cellStyle name="40% - Accent2 148 2" xfId="13395"/>
    <cellStyle name="40% - Accent2 148 2 2" xfId="13396"/>
    <cellStyle name="40% - Accent2 148 3" xfId="13397"/>
    <cellStyle name="40% - Accent2 148 3 2" xfId="13398"/>
    <cellStyle name="40% - Accent2 148 4" xfId="13399"/>
    <cellStyle name="40% - Accent2 149" xfId="13400"/>
    <cellStyle name="40% - Accent2 149 2" xfId="13401"/>
    <cellStyle name="40% - Accent2 149 2 2" xfId="13402"/>
    <cellStyle name="40% - Accent2 149 3" xfId="13403"/>
    <cellStyle name="40% - Accent2 149 3 2" xfId="13404"/>
    <cellStyle name="40% - Accent2 149 4" xfId="13405"/>
    <cellStyle name="40% - Accent2 15" xfId="13406"/>
    <cellStyle name="40% - Accent2 15 2" xfId="13407"/>
    <cellStyle name="40% - Accent2 15 2 2" xfId="13408"/>
    <cellStyle name="40% - Accent2 15 2 2 2" xfId="13409"/>
    <cellStyle name="40% - Accent2 15 2 3" xfId="13410"/>
    <cellStyle name="40% - Accent2 15 2 3 2" xfId="13411"/>
    <cellStyle name="40% - Accent2 15 2 4" xfId="13412"/>
    <cellStyle name="40% - Accent2 15 3" xfId="13413"/>
    <cellStyle name="40% - Accent2 15 3 2" xfId="13414"/>
    <cellStyle name="40% - Accent2 15 3 2 2" xfId="13415"/>
    <cellStyle name="40% - Accent2 15 3 3" xfId="13416"/>
    <cellStyle name="40% - Accent2 15 3 3 2" xfId="13417"/>
    <cellStyle name="40% - Accent2 15 3 4" xfId="13418"/>
    <cellStyle name="40% - Accent2 15 4" xfId="13419"/>
    <cellStyle name="40% - Accent2 15 4 2" xfId="13420"/>
    <cellStyle name="40% - Accent2 15 5" xfId="13421"/>
    <cellStyle name="40% - Accent2 15 5 2" xfId="13422"/>
    <cellStyle name="40% - Accent2 15 6" xfId="13423"/>
    <cellStyle name="40% - Accent2 150" xfId="13424"/>
    <cellStyle name="40% - Accent2 150 2" xfId="13425"/>
    <cellStyle name="40% - Accent2 150 2 2" xfId="13426"/>
    <cellStyle name="40% - Accent2 150 3" xfId="13427"/>
    <cellStyle name="40% - Accent2 150 3 2" xfId="13428"/>
    <cellStyle name="40% - Accent2 150 4" xfId="13429"/>
    <cellStyle name="40% - Accent2 151" xfId="13430"/>
    <cellStyle name="40% - Accent2 151 2" xfId="13431"/>
    <cellStyle name="40% - Accent2 151 2 2" xfId="13432"/>
    <cellStyle name="40% - Accent2 151 3" xfId="13433"/>
    <cellStyle name="40% - Accent2 151 3 2" xfId="13434"/>
    <cellStyle name="40% - Accent2 151 4" xfId="13435"/>
    <cellStyle name="40% - Accent2 152" xfId="13436"/>
    <cellStyle name="40% - Accent2 152 2" xfId="13437"/>
    <cellStyle name="40% - Accent2 152 2 2" xfId="13438"/>
    <cellStyle name="40% - Accent2 152 3" xfId="13439"/>
    <cellStyle name="40% - Accent2 152 3 2" xfId="13440"/>
    <cellStyle name="40% - Accent2 152 4" xfId="13441"/>
    <cellStyle name="40% - Accent2 153" xfId="13442"/>
    <cellStyle name="40% - Accent2 153 2" xfId="13443"/>
    <cellStyle name="40% - Accent2 153 2 2" xfId="13444"/>
    <cellStyle name="40% - Accent2 153 3" xfId="13445"/>
    <cellStyle name="40% - Accent2 153 3 2" xfId="13446"/>
    <cellStyle name="40% - Accent2 153 4" xfId="13447"/>
    <cellStyle name="40% - Accent2 154" xfId="13448"/>
    <cellStyle name="40% - Accent2 154 2" xfId="13449"/>
    <cellStyle name="40% - Accent2 154 2 2" xfId="13450"/>
    <cellStyle name="40% - Accent2 154 3" xfId="13451"/>
    <cellStyle name="40% - Accent2 154 3 2" xfId="13452"/>
    <cellStyle name="40% - Accent2 154 4" xfId="13453"/>
    <cellStyle name="40% - Accent2 155" xfId="13454"/>
    <cellStyle name="40% - Accent2 155 2" xfId="13455"/>
    <cellStyle name="40% - Accent2 155 2 2" xfId="13456"/>
    <cellStyle name="40% - Accent2 155 3" xfId="13457"/>
    <cellStyle name="40% - Accent2 155 3 2" xfId="13458"/>
    <cellStyle name="40% - Accent2 155 4" xfId="13459"/>
    <cellStyle name="40% - Accent2 156" xfId="13460"/>
    <cellStyle name="40% - Accent2 156 2" xfId="13461"/>
    <cellStyle name="40% - Accent2 156 2 2" xfId="13462"/>
    <cellStyle name="40% - Accent2 156 3" xfId="13463"/>
    <cellStyle name="40% - Accent2 156 3 2" xfId="13464"/>
    <cellStyle name="40% - Accent2 156 4" xfId="13465"/>
    <cellStyle name="40% - Accent2 157" xfId="13466"/>
    <cellStyle name="40% - Accent2 157 2" xfId="13467"/>
    <cellStyle name="40% - Accent2 157 2 2" xfId="13468"/>
    <cellStyle name="40% - Accent2 157 3" xfId="13469"/>
    <cellStyle name="40% - Accent2 157 3 2" xfId="13470"/>
    <cellStyle name="40% - Accent2 157 4" xfId="13471"/>
    <cellStyle name="40% - Accent2 158" xfId="13472"/>
    <cellStyle name="40% - Accent2 158 2" xfId="13473"/>
    <cellStyle name="40% - Accent2 158 2 2" xfId="13474"/>
    <cellStyle name="40% - Accent2 158 3" xfId="13475"/>
    <cellStyle name="40% - Accent2 158 3 2" xfId="13476"/>
    <cellStyle name="40% - Accent2 158 4" xfId="13477"/>
    <cellStyle name="40% - Accent2 159" xfId="13478"/>
    <cellStyle name="40% - Accent2 159 2" xfId="13479"/>
    <cellStyle name="40% - Accent2 159 2 2" xfId="13480"/>
    <cellStyle name="40% - Accent2 159 3" xfId="13481"/>
    <cellStyle name="40% - Accent2 159 3 2" xfId="13482"/>
    <cellStyle name="40% - Accent2 159 4" xfId="13483"/>
    <cellStyle name="40% - Accent2 16" xfId="13484"/>
    <cellStyle name="40% - Accent2 16 2" xfId="13485"/>
    <cellStyle name="40% - Accent2 16 2 2" xfId="13486"/>
    <cellStyle name="40% - Accent2 16 2 2 2" xfId="13487"/>
    <cellStyle name="40% - Accent2 16 2 3" xfId="13488"/>
    <cellStyle name="40% - Accent2 16 2 3 2" xfId="13489"/>
    <cellStyle name="40% - Accent2 16 2 4" xfId="13490"/>
    <cellStyle name="40% - Accent2 16 3" xfId="13491"/>
    <cellStyle name="40% - Accent2 16 3 2" xfId="13492"/>
    <cellStyle name="40% - Accent2 16 3 2 2" xfId="13493"/>
    <cellStyle name="40% - Accent2 16 3 3" xfId="13494"/>
    <cellStyle name="40% - Accent2 16 3 3 2" xfId="13495"/>
    <cellStyle name="40% - Accent2 16 3 4" xfId="13496"/>
    <cellStyle name="40% - Accent2 16 4" xfId="13497"/>
    <cellStyle name="40% - Accent2 16 4 2" xfId="13498"/>
    <cellStyle name="40% - Accent2 16 5" xfId="13499"/>
    <cellStyle name="40% - Accent2 16 5 2" xfId="13500"/>
    <cellStyle name="40% - Accent2 16 6" xfId="13501"/>
    <cellStyle name="40% - Accent2 160" xfId="13502"/>
    <cellStyle name="40% - Accent2 160 2" xfId="13503"/>
    <cellStyle name="40% - Accent2 160 2 2" xfId="13504"/>
    <cellStyle name="40% - Accent2 160 3" xfId="13505"/>
    <cellStyle name="40% - Accent2 160 3 2" xfId="13506"/>
    <cellStyle name="40% - Accent2 160 4" xfId="13507"/>
    <cellStyle name="40% - Accent2 161" xfId="13508"/>
    <cellStyle name="40% - Accent2 161 2" xfId="13509"/>
    <cellStyle name="40% - Accent2 161 2 2" xfId="13510"/>
    <cellStyle name="40% - Accent2 161 3" xfId="13511"/>
    <cellStyle name="40% - Accent2 161 3 2" xfId="13512"/>
    <cellStyle name="40% - Accent2 161 4" xfId="13513"/>
    <cellStyle name="40% - Accent2 162" xfId="13514"/>
    <cellStyle name="40% - Accent2 162 2" xfId="13515"/>
    <cellStyle name="40% - Accent2 162 2 2" xfId="13516"/>
    <cellStyle name="40% - Accent2 162 3" xfId="13517"/>
    <cellStyle name="40% - Accent2 162 3 2" xfId="13518"/>
    <cellStyle name="40% - Accent2 162 4" xfId="13519"/>
    <cellStyle name="40% - Accent2 163" xfId="13520"/>
    <cellStyle name="40% - Accent2 163 2" xfId="13521"/>
    <cellStyle name="40% - Accent2 163 2 2" xfId="13522"/>
    <cellStyle name="40% - Accent2 163 3" xfId="13523"/>
    <cellStyle name="40% - Accent2 163 3 2" xfId="13524"/>
    <cellStyle name="40% - Accent2 163 4" xfId="13525"/>
    <cellStyle name="40% - Accent2 164" xfId="13526"/>
    <cellStyle name="40% - Accent2 164 2" xfId="13527"/>
    <cellStyle name="40% - Accent2 164 2 2" xfId="13528"/>
    <cellStyle name="40% - Accent2 164 3" xfId="13529"/>
    <cellStyle name="40% - Accent2 164 3 2" xfId="13530"/>
    <cellStyle name="40% - Accent2 164 4" xfId="13531"/>
    <cellStyle name="40% - Accent2 165" xfId="13532"/>
    <cellStyle name="40% - Accent2 165 2" xfId="13533"/>
    <cellStyle name="40% - Accent2 165 2 2" xfId="13534"/>
    <cellStyle name="40% - Accent2 165 3" xfId="13535"/>
    <cellStyle name="40% - Accent2 165 3 2" xfId="13536"/>
    <cellStyle name="40% - Accent2 165 4" xfId="13537"/>
    <cellStyle name="40% - Accent2 166" xfId="13538"/>
    <cellStyle name="40% - Accent2 166 2" xfId="13539"/>
    <cellStyle name="40% - Accent2 166 2 2" xfId="13540"/>
    <cellStyle name="40% - Accent2 166 3" xfId="13541"/>
    <cellStyle name="40% - Accent2 166 3 2" xfId="13542"/>
    <cellStyle name="40% - Accent2 166 4" xfId="13543"/>
    <cellStyle name="40% - Accent2 167" xfId="13544"/>
    <cellStyle name="40% - Accent2 167 2" xfId="13545"/>
    <cellStyle name="40% - Accent2 167 2 2" xfId="13546"/>
    <cellStyle name="40% - Accent2 167 3" xfId="13547"/>
    <cellStyle name="40% - Accent2 167 3 2" xfId="13548"/>
    <cellStyle name="40% - Accent2 167 4" xfId="13549"/>
    <cellStyle name="40% - Accent2 168" xfId="13550"/>
    <cellStyle name="40% - Accent2 168 2" xfId="13551"/>
    <cellStyle name="40% - Accent2 168 2 2" xfId="13552"/>
    <cellStyle name="40% - Accent2 168 3" xfId="13553"/>
    <cellStyle name="40% - Accent2 168 3 2" xfId="13554"/>
    <cellStyle name="40% - Accent2 168 4" xfId="13555"/>
    <cellStyle name="40% - Accent2 169" xfId="13556"/>
    <cellStyle name="40% - Accent2 169 2" xfId="13557"/>
    <cellStyle name="40% - Accent2 169 2 2" xfId="13558"/>
    <cellStyle name="40% - Accent2 169 3" xfId="13559"/>
    <cellStyle name="40% - Accent2 169 3 2" xfId="13560"/>
    <cellStyle name="40% - Accent2 169 4" xfId="13561"/>
    <cellStyle name="40% - Accent2 17" xfId="13562"/>
    <cellStyle name="40% - Accent2 17 2" xfId="13563"/>
    <cellStyle name="40% - Accent2 17 2 2" xfId="13564"/>
    <cellStyle name="40% - Accent2 17 2 2 2" xfId="13565"/>
    <cellStyle name="40% - Accent2 17 2 3" xfId="13566"/>
    <cellStyle name="40% - Accent2 17 2 3 2" xfId="13567"/>
    <cellStyle name="40% - Accent2 17 2 4" xfId="13568"/>
    <cellStyle name="40% - Accent2 17 3" xfId="13569"/>
    <cellStyle name="40% - Accent2 17 3 2" xfId="13570"/>
    <cellStyle name="40% - Accent2 17 3 2 2" xfId="13571"/>
    <cellStyle name="40% - Accent2 17 3 3" xfId="13572"/>
    <cellStyle name="40% - Accent2 17 3 3 2" xfId="13573"/>
    <cellStyle name="40% - Accent2 17 3 4" xfId="13574"/>
    <cellStyle name="40% - Accent2 17 4" xfId="13575"/>
    <cellStyle name="40% - Accent2 17 4 2" xfId="13576"/>
    <cellStyle name="40% - Accent2 17 5" xfId="13577"/>
    <cellStyle name="40% - Accent2 17 5 2" xfId="13578"/>
    <cellStyle name="40% - Accent2 17 6" xfId="13579"/>
    <cellStyle name="40% - Accent2 170" xfId="13580"/>
    <cellStyle name="40% - Accent2 170 2" xfId="13581"/>
    <cellStyle name="40% - Accent2 170 2 2" xfId="13582"/>
    <cellStyle name="40% - Accent2 170 3" xfId="13583"/>
    <cellStyle name="40% - Accent2 170 3 2" xfId="13584"/>
    <cellStyle name="40% - Accent2 170 4" xfId="13585"/>
    <cellStyle name="40% - Accent2 171" xfId="13586"/>
    <cellStyle name="40% - Accent2 171 2" xfId="13587"/>
    <cellStyle name="40% - Accent2 171 2 2" xfId="13588"/>
    <cellStyle name="40% - Accent2 171 3" xfId="13589"/>
    <cellStyle name="40% - Accent2 171 3 2" xfId="13590"/>
    <cellStyle name="40% - Accent2 171 4" xfId="13591"/>
    <cellStyle name="40% - Accent2 172" xfId="13592"/>
    <cellStyle name="40% - Accent2 172 2" xfId="13593"/>
    <cellStyle name="40% - Accent2 172 2 2" xfId="13594"/>
    <cellStyle name="40% - Accent2 172 3" xfId="13595"/>
    <cellStyle name="40% - Accent2 172 3 2" xfId="13596"/>
    <cellStyle name="40% - Accent2 172 4" xfId="13597"/>
    <cellStyle name="40% - Accent2 173" xfId="13598"/>
    <cellStyle name="40% - Accent2 173 2" xfId="13599"/>
    <cellStyle name="40% - Accent2 173 2 2" xfId="13600"/>
    <cellStyle name="40% - Accent2 173 3" xfId="13601"/>
    <cellStyle name="40% - Accent2 173 3 2" xfId="13602"/>
    <cellStyle name="40% - Accent2 173 4" xfId="13603"/>
    <cellStyle name="40% - Accent2 174" xfId="13604"/>
    <cellStyle name="40% - Accent2 174 2" xfId="13605"/>
    <cellStyle name="40% - Accent2 174 2 2" xfId="13606"/>
    <cellStyle name="40% - Accent2 174 3" xfId="13607"/>
    <cellStyle name="40% - Accent2 174 3 2" xfId="13608"/>
    <cellStyle name="40% - Accent2 174 4" xfId="13609"/>
    <cellStyle name="40% - Accent2 175" xfId="13610"/>
    <cellStyle name="40% - Accent2 175 2" xfId="13611"/>
    <cellStyle name="40% - Accent2 175 2 2" xfId="13612"/>
    <cellStyle name="40% - Accent2 175 3" xfId="13613"/>
    <cellStyle name="40% - Accent2 175 3 2" xfId="13614"/>
    <cellStyle name="40% - Accent2 175 4" xfId="13615"/>
    <cellStyle name="40% - Accent2 176" xfId="13616"/>
    <cellStyle name="40% - Accent2 176 2" xfId="13617"/>
    <cellStyle name="40% - Accent2 176 2 2" xfId="13618"/>
    <cellStyle name="40% - Accent2 176 3" xfId="13619"/>
    <cellStyle name="40% - Accent2 176 3 2" xfId="13620"/>
    <cellStyle name="40% - Accent2 176 4" xfId="13621"/>
    <cellStyle name="40% - Accent2 177" xfId="13622"/>
    <cellStyle name="40% - Accent2 177 2" xfId="13623"/>
    <cellStyle name="40% - Accent2 177 2 2" xfId="13624"/>
    <cellStyle name="40% - Accent2 177 3" xfId="13625"/>
    <cellStyle name="40% - Accent2 177 3 2" xfId="13626"/>
    <cellStyle name="40% - Accent2 177 4" xfId="13627"/>
    <cellStyle name="40% - Accent2 178" xfId="13628"/>
    <cellStyle name="40% - Accent2 178 2" xfId="13629"/>
    <cellStyle name="40% - Accent2 178 2 2" xfId="13630"/>
    <cellStyle name="40% - Accent2 178 3" xfId="13631"/>
    <cellStyle name="40% - Accent2 178 3 2" xfId="13632"/>
    <cellStyle name="40% - Accent2 178 4" xfId="13633"/>
    <cellStyle name="40% - Accent2 179" xfId="13634"/>
    <cellStyle name="40% - Accent2 179 2" xfId="13635"/>
    <cellStyle name="40% - Accent2 179 2 2" xfId="13636"/>
    <cellStyle name="40% - Accent2 179 3" xfId="13637"/>
    <cellStyle name="40% - Accent2 179 3 2" xfId="13638"/>
    <cellStyle name="40% - Accent2 179 4" xfId="13639"/>
    <cellStyle name="40% - Accent2 18" xfId="13640"/>
    <cellStyle name="40% - Accent2 18 2" xfId="13641"/>
    <cellStyle name="40% - Accent2 18 2 2" xfId="13642"/>
    <cellStyle name="40% - Accent2 18 2 2 2" xfId="13643"/>
    <cellStyle name="40% - Accent2 18 2 3" xfId="13644"/>
    <cellStyle name="40% - Accent2 18 2 3 2" xfId="13645"/>
    <cellStyle name="40% - Accent2 18 2 4" xfId="13646"/>
    <cellStyle name="40% - Accent2 18 3" xfId="13647"/>
    <cellStyle name="40% - Accent2 18 3 2" xfId="13648"/>
    <cellStyle name="40% - Accent2 18 3 2 2" xfId="13649"/>
    <cellStyle name="40% - Accent2 18 3 3" xfId="13650"/>
    <cellStyle name="40% - Accent2 18 3 3 2" xfId="13651"/>
    <cellStyle name="40% - Accent2 18 3 4" xfId="13652"/>
    <cellStyle name="40% - Accent2 18 4" xfId="13653"/>
    <cellStyle name="40% - Accent2 18 4 2" xfId="13654"/>
    <cellStyle name="40% - Accent2 18 5" xfId="13655"/>
    <cellStyle name="40% - Accent2 18 5 2" xfId="13656"/>
    <cellStyle name="40% - Accent2 18 6" xfId="13657"/>
    <cellStyle name="40% - Accent2 180" xfId="13658"/>
    <cellStyle name="40% - Accent2 180 2" xfId="13659"/>
    <cellStyle name="40% - Accent2 180 2 2" xfId="13660"/>
    <cellStyle name="40% - Accent2 180 3" xfId="13661"/>
    <cellStyle name="40% - Accent2 180 3 2" xfId="13662"/>
    <cellStyle name="40% - Accent2 180 4" xfId="13663"/>
    <cellStyle name="40% - Accent2 181" xfId="13664"/>
    <cellStyle name="40% - Accent2 181 2" xfId="13665"/>
    <cellStyle name="40% - Accent2 181 2 2" xfId="13666"/>
    <cellStyle name="40% - Accent2 181 3" xfId="13667"/>
    <cellStyle name="40% - Accent2 181 3 2" xfId="13668"/>
    <cellStyle name="40% - Accent2 181 4" xfId="13669"/>
    <cellStyle name="40% - Accent2 182" xfId="13670"/>
    <cellStyle name="40% - Accent2 182 2" xfId="13671"/>
    <cellStyle name="40% - Accent2 182 2 2" xfId="13672"/>
    <cellStyle name="40% - Accent2 182 3" xfId="13673"/>
    <cellStyle name="40% - Accent2 182 3 2" xfId="13674"/>
    <cellStyle name="40% - Accent2 182 4" xfId="13675"/>
    <cellStyle name="40% - Accent2 183" xfId="13676"/>
    <cellStyle name="40% - Accent2 183 2" xfId="13677"/>
    <cellStyle name="40% - Accent2 183 2 2" xfId="13678"/>
    <cellStyle name="40% - Accent2 183 3" xfId="13679"/>
    <cellStyle name="40% - Accent2 183 3 2" xfId="13680"/>
    <cellStyle name="40% - Accent2 183 4" xfId="13681"/>
    <cellStyle name="40% - Accent2 184" xfId="13682"/>
    <cellStyle name="40% - Accent2 184 2" xfId="13683"/>
    <cellStyle name="40% - Accent2 184 2 2" xfId="13684"/>
    <cellStyle name="40% - Accent2 184 3" xfId="13685"/>
    <cellStyle name="40% - Accent2 184 3 2" xfId="13686"/>
    <cellStyle name="40% - Accent2 184 4" xfId="13687"/>
    <cellStyle name="40% - Accent2 185" xfId="13688"/>
    <cellStyle name="40% - Accent2 185 2" xfId="13689"/>
    <cellStyle name="40% - Accent2 185 2 2" xfId="13690"/>
    <cellStyle name="40% - Accent2 185 3" xfId="13691"/>
    <cellStyle name="40% - Accent2 185 3 2" xfId="13692"/>
    <cellStyle name="40% - Accent2 185 4" xfId="13693"/>
    <cellStyle name="40% - Accent2 186" xfId="13694"/>
    <cellStyle name="40% - Accent2 186 2" xfId="13695"/>
    <cellStyle name="40% - Accent2 186 2 2" xfId="13696"/>
    <cellStyle name="40% - Accent2 186 3" xfId="13697"/>
    <cellStyle name="40% - Accent2 186 3 2" xfId="13698"/>
    <cellStyle name="40% - Accent2 186 4" xfId="13699"/>
    <cellStyle name="40% - Accent2 187" xfId="13700"/>
    <cellStyle name="40% - Accent2 187 2" xfId="13701"/>
    <cellStyle name="40% - Accent2 187 2 2" xfId="13702"/>
    <cellStyle name="40% - Accent2 187 3" xfId="13703"/>
    <cellStyle name="40% - Accent2 187 3 2" xfId="13704"/>
    <cellStyle name="40% - Accent2 187 4" xfId="13705"/>
    <cellStyle name="40% - Accent2 188" xfId="13706"/>
    <cellStyle name="40% - Accent2 188 2" xfId="13707"/>
    <cellStyle name="40% - Accent2 188 2 2" xfId="13708"/>
    <cellStyle name="40% - Accent2 188 3" xfId="13709"/>
    <cellStyle name="40% - Accent2 188 3 2" xfId="13710"/>
    <cellStyle name="40% - Accent2 188 4" xfId="13711"/>
    <cellStyle name="40% - Accent2 189" xfId="13712"/>
    <cellStyle name="40% - Accent2 189 2" xfId="13713"/>
    <cellStyle name="40% - Accent2 189 2 2" xfId="13714"/>
    <cellStyle name="40% - Accent2 189 3" xfId="13715"/>
    <cellStyle name="40% - Accent2 189 3 2" xfId="13716"/>
    <cellStyle name="40% - Accent2 189 4" xfId="13717"/>
    <cellStyle name="40% - Accent2 19" xfId="13718"/>
    <cellStyle name="40% - Accent2 19 2" xfId="13719"/>
    <cellStyle name="40% - Accent2 19 2 2" xfId="13720"/>
    <cellStyle name="40% - Accent2 19 2 2 2" xfId="13721"/>
    <cellStyle name="40% - Accent2 19 2 3" xfId="13722"/>
    <cellStyle name="40% - Accent2 19 2 3 2" xfId="13723"/>
    <cellStyle name="40% - Accent2 19 2 4" xfId="13724"/>
    <cellStyle name="40% - Accent2 19 3" xfId="13725"/>
    <cellStyle name="40% - Accent2 19 3 2" xfId="13726"/>
    <cellStyle name="40% - Accent2 19 3 2 2" xfId="13727"/>
    <cellStyle name="40% - Accent2 19 3 3" xfId="13728"/>
    <cellStyle name="40% - Accent2 19 3 3 2" xfId="13729"/>
    <cellStyle name="40% - Accent2 19 3 4" xfId="13730"/>
    <cellStyle name="40% - Accent2 19 4" xfId="13731"/>
    <cellStyle name="40% - Accent2 19 4 2" xfId="13732"/>
    <cellStyle name="40% - Accent2 19 5" xfId="13733"/>
    <cellStyle name="40% - Accent2 19 5 2" xfId="13734"/>
    <cellStyle name="40% - Accent2 19 6" xfId="13735"/>
    <cellStyle name="40% - Accent2 190" xfId="13736"/>
    <cellStyle name="40% - Accent2 190 2" xfId="13737"/>
    <cellStyle name="40% - Accent2 190 2 2" xfId="13738"/>
    <cellStyle name="40% - Accent2 190 3" xfId="13739"/>
    <cellStyle name="40% - Accent2 190 3 2" xfId="13740"/>
    <cellStyle name="40% - Accent2 190 4" xfId="13741"/>
    <cellStyle name="40% - Accent2 191" xfId="13742"/>
    <cellStyle name="40% - Accent2 191 2" xfId="13743"/>
    <cellStyle name="40% - Accent2 191 2 2" xfId="13744"/>
    <cellStyle name="40% - Accent2 191 3" xfId="13745"/>
    <cellStyle name="40% - Accent2 191 3 2" xfId="13746"/>
    <cellStyle name="40% - Accent2 191 4" xfId="13747"/>
    <cellStyle name="40% - Accent2 192" xfId="13748"/>
    <cellStyle name="40% - Accent2 192 2" xfId="13749"/>
    <cellStyle name="40% - Accent2 192 2 2" xfId="13750"/>
    <cellStyle name="40% - Accent2 192 3" xfId="13751"/>
    <cellStyle name="40% - Accent2 192 3 2" xfId="13752"/>
    <cellStyle name="40% - Accent2 192 4" xfId="13753"/>
    <cellStyle name="40% - Accent2 193" xfId="13754"/>
    <cellStyle name="40% - Accent2 193 2" xfId="13755"/>
    <cellStyle name="40% - Accent2 193 2 2" xfId="13756"/>
    <cellStyle name="40% - Accent2 193 3" xfId="13757"/>
    <cellStyle name="40% - Accent2 193 3 2" xfId="13758"/>
    <cellStyle name="40% - Accent2 193 4" xfId="13759"/>
    <cellStyle name="40% - Accent2 194" xfId="13760"/>
    <cellStyle name="40% - Accent2 194 2" xfId="13761"/>
    <cellStyle name="40% - Accent2 194 2 2" xfId="13762"/>
    <cellStyle name="40% - Accent2 194 3" xfId="13763"/>
    <cellStyle name="40% - Accent2 194 3 2" xfId="13764"/>
    <cellStyle name="40% - Accent2 194 4" xfId="13765"/>
    <cellStyle name="40% - Accent2 195" xfId="13766"/>
    <cellStyle name="40% - Accent2 195 2" xfId="13767"/>
    <cellStyle name="40% - Accent2 195 2 2" xfId="13768"/>
    <cellStyle name="40% - Accent2 195 3" xfId="13769"/>
    <cellStyle name="40% - Accent2 195 3 2" xfId="13770"/>
    <cellStyle name="40% - Accent2 195 4" xfId="13771"/>
    <cellStyle name="40% - Accent2 196" xfId="13772"/>
    <cellStyle name="40% - Accent2 196 2" xfId="13773"/>
    <cellStyle name="40% - Accent2 196 2 2" xfId="13774"/>
    <cellStyle name="40% - Accent2 196 3" xfId="13775"/>
    <cellStyle name="40% - Accent2 196 3 2" xfId="13776"/>
    <cellStyle name="40% - Accent2 196 4" xfId="13777"/>
    <cellStyle name="40% - Accent2 197" xfId="13778"/>
    <cellStyle name="40% - Accent2 197 2" xfId="13779"/>
    <cellStyle name="40% - Accent2 197 2 2" xfId="13780"/>
    <cellStyle name="40% - Accent2 197 3" xfId="13781"/>
    <cellStyle name="40% - Accent2 197 3 2" xfId="13782"/>
    <cellStyle name="40% - Accent2 197 4" xfId="13783"/>
    <cellStyle name="40% - Accent2 198" xfId="13784"/>
    <cellStyle name="40% - Accent2 198 2" xfId="13785"/>
    <cellStyle name="40% - Accent2 198 2 2" xfId="13786"/>
    <cellStyle name="40% - Accent2 198 3" xfId="13787"/>
    <cellStyle name="40% - Accent2 198 3 2" xfId="13788"/>
    <cellStyle name="40% - Accent2 198 4" xfId="13789"/>
    <cellStyle name="40% - Accent2 199" xfId="13790"/>
    <cellStyle name="40% - Accent2 199 2" xfId="13791"/>
    <cellStyle name="40% - Accent2 199 2 2" xfId="13792"/>
    <cellStyle name="40% - Accent2 199 3" xfId="13793"/>
    <cellStyle name="40% - Accent2 199 3 2" xfId="13794"/>
    <cellStyle name="40% - Accent2 199 4" xfId="13795"/>
    <cellStyle name="40% - Accent2 2" xfId="13796"/>
    <cellStyle name="40% - Accent2 2 2" xfId="13797"/>
    <cellStyle name="40% - Accent2 2 2 2" xfId="13798"/>
    <cellStyle name="40% - Accent2 2 2 2 2" xfId="13799"/>
    <cellStyle name="40% - Accent2 2 2 3" xfId="13800"/>
    <cellStyle name="40% - Accent2 2 2 3 2" xfId="13801"/>
    <cellStyle name="40% - Accent2 2 2 4" xfId="13802"/>
    <cellStyle name="40% - Accent2 2 3" xfId="13803"/>
    <cellStyle name="40% - Accent2 2 3 2" xfId="13804"/>
    <cellStyle name="40% - Accent2 2 3 2 2" xfId="13805"/>
    <cellStyle name="40% - Accent2 2 3 3" xfId="13806"/>
    <cellStyle name="40% - Accent2 2 3 3 2" xfId="13807"/>
    <cellStyle name="40% - Accent2 2 3 4" xfId="13808"/>
    <cellStyle name="40% - Accent2 2 4" xfId="13809"/>
    <cellStyle name="40% - Accent2 2 4 2" xfId="13810"/>
    <cellStyle name="40% - Accent2 2 5" xfId="13811"/>
    <cellStyle name="40% - Accent2 2 5 2" xfId="13812"/>
    <cellStyle name="40% - Accent2 2 6" xfId="13813"/>
    <cellStyle name="40% - Accent2 20" xfId="13814"/>
    <cellStyle name="40% - Accent2 20 2" xfId="13815"/>
    <cellStyle name="40% - Accent2 20 2 2" xfId="13816"/>
    <cellStyle name="40% - Accent2 20 2 2 2" xfId="13817"/>
    <cellStyle name="40% - Accent2 20 2 3" xfId="13818"/>
    <cellStyle name="40% - Accent2 20 2 3 2" xfId="13819"/>
    <cellStyle name="40% - Accent2 20 2 4" xfId="13820"/>
    <cellStyle name="40% - Accent2 20 3" xfId="13821"/>
    <cellStyle name="40% - Accent2 20 3 2" xfId="13822"/>
    <cellStyle name="40% - Accent2 20 3 2 2" xfId="13823"/>
    <cellStyle name="40% - Accent2 20 3 3" xfId="13824"/>
    <cellStyle name="40% - Accent2 20 3 3 2" xfId="13825"/>
    <cellStyle name="40% - Accent2 20 3 4" xfId="13826"/>
    <cellStyle name="40% - Accent2 20 4" xfId="13827"/>
    <cellStyle name="40% - Accent2 20 4 2" xfId="13828"/>
    <cellStyle name="40% - Accent2 20 5" xfId="13829"/>
    <cellStyle name="40% - Accent2 20 5 2" xfId="13830"/>
    <cellStyle name="40% - Accent2 20 6" xfId="13831"/>
    <cellStyle name="40% - Accent2 200" xfId="13832"/>
    <cellStyle name="40% - Accent2 200 2" xfId="13833"/>
    <cellStyle name="40% - Accent2 200 2 2" xfId="13834"/>
    <cellStyle name="40% - Accent2 200 3" xfId="13835"/>
    <cellStyle name="40% - Accent2 200 3 2" xfId="13836"/>
    <cellStyle name="40% - Accent2 200 4" xfId="13837"/>
    <cellStyle name="40% - Accent2 201" xfId="13838"/>
    <cellStyle name="40% - Accent2 201 2" xfId="13839"/>
    <cellStyle name="40% - Accent2 201 2 2" xfId="13840"/>
    <cellStyle name="40% - Accent2 201 3" xfId="13841"/>
    <cellStyle name="40% - Accent2 201 3 2" xfId="13842"/>
    <cellStyle name="40% - Accent2 201 4" xfId="13843"/>
    <cellStyle name="40% - Accent2 202" xfId="13844"/>
    <cellStyle name="40% - Accent2 202 2" xfId="13845"/>
    <cellStyle name="40% - Accent2 202 2 2" xfId="13846"/>
    <cellStyle name="40% - Accent2 202 3" xfId="13847"/>
    <cellStyle name="40% - Accent2 202 3 2" xfId="13848"/>
    <cellStyle name="40% - Accent2 202 4" xfId="13849"/>
    <cellStyle name="40% - Accent2 203" xfId="13850"/>
    <cellStyle name="40% - Accent2 203 2" xfId="13851"/>
    <cellStyle name="40% - Accent2 203 2 2" xfId="13852"/>
    <cellStyle name="40% - Accent2 203 3" xfId="13853"/>
    <cellStyle name="40% - Accent2 203 3 2" xfId="13854"/>
    <cellStyle name="40% - Accent2 203 4" xfId="13855"/>
    <cellStyle name="40% - Accent2 204" xfId="13856"/>
    <cellStyle name="40% - Accent2 204 2" xfId="13857"/>
    <cellStyle name="40% - Accent2 204 2 2" xfId="13858"/>
    <cellStyle name="40% - Accent2 204 3" xfId="13859"/>
    <cellStyle name="40% - Accent2 204 3 2" xfId="13860"/>
    <cellStyle name="40% - Accent2 204 4" xfId="13861"/>
    <cellStyle name="40% - Accent2 205" xfId="13862"/>
    <cellStyle name="40% - Accent2 205 2" xfId="13863"/>
    <cellStyle name="40% - Accent2 205 2 2" xfId="13864"/>
    <cellStyle name="40% - Accent2 205 3" xfId="13865"/>
    <cellStyle name="40% - Accent2 205 3 2" xfId="13866"/>
    <cellStyle name="40% - Accent2 205 4" xfId="13867"/>
    <cellStyle name="40% - Accent2 206" xfId="13868"/>
    <cellStyle name="40% - Accent2 206 2" xfId="13869"/>
    <cellStyle name="40% - Accent2 206 2 2" xfId="13870"/>
    <cellStyle name="40% - Accent2 206 3" xfId="13871"/>
    <cellStyle name="40% - Accent2 206 3 2" xfId="13872"/>
    <cellStyle name="40% - Accent2 206 4" xfId="13873"/>
    <cellStyle name="40% - Accent2 207" xfId="13874"/>
    <cellStyle name="40% - Accent2 207 2" xfId="13875"/>
    <cellStyle name="40% - Accent2 207 2 2" xfId="13876"/>
    <cellStyle name="40% - Accent2 207 3" xfId="13877"/>
    <cellStyle name="40% - Accent2 207 3 2" xfId="13878"/>
    <cellStyle name="40% - Accent2 207 4" xfId="13879"/>
    <cellStyle name="40% - Accent2 208" xfId="13880"/>
    <cellStyle name="40% - Accent2 208 2" xfId="13881"/>
    <cellStyle name="40% - Accent2 208 2 2" xfId="13882"/>
    <cellStyle name="40% - Accent2 208 3" xfId="13883"/>
    <cellStyle name="40% - Accent2 208 3 2" xfId="13884"/>
    <cellStyle name="40% - Accent2 208 4" xfId="13885"/>
    <cellStyle name="40% - Accent2 209" xfId="13886"/>
    <cellStyle name="40% - Accent2 209 2" xfId="13887"/>
    <cellStyle name="40% - Accent2 209 2 2" xfId="13888"/>
    <cellStyle name="40% - Accent2 209 3" xfId="13889"/>
    <cellStyle name="40% - Accent2 209 3 2" xfId="13890"/>
    <cellStyle name="40% - Accent2 209 4" xfId="13891"/>
    <cellStyle name="40% - Accent2 21" xfId="13892"/>
    <cellStyle name="40% - Accent2 21 2" xfId="13893"/>
    <cellStyle name="40% - Accent2 21 2 2" xfId="13894"/>
    <cellStyle name="40% - Accent2 21 2 2 2" xfId="13895"/>
    <cellStyle name="40% - Accent2 21 2 3" xfId="13896"/>
    <cellStyle name="40% - Accent2 21 2 3 2" xfId="13897"/>
    <cellStyle name="40% - Accent2 21 2 4" xfId="13898"/>
    <cellStyle name="40% - Accent2 21 3" xfId="13899"/>
    <cellStyle name="40% - Accent2 21 3 2" xfId="13900"/>
    <cellStyle name="40% - Accent2 21 3 2 2" xfId="13901"/>
    <cellStyle name="40% - Accent2 21 3 3" xfId="13902"/>
    <cellStyle name="40% - Accent2 21 3 3 2" xfId="13903"/>
    <cellStyle name="40% - Accent2 21 3 4" xfId="13904"/>
    <cellStyle name="40% - Accent2 21 4" xfId="13905"/>
    <cellStyle name="40% - Accent2 21 4 2" xfId="13906"/>
    <cellStyle name="40% - Accent2 21 5" xfId="13907"/>
    <cellStyle name="40% - Accent2 21 5 2" xfId="13908"/>
    <cellStyle name="40% - Accent2 21 6" xfId="13909"/>
    <cellStyle name="40% - Accent2 210" xfId="13910"/>
    <cellStyle name="40% - Accent2 210 2" xfId="13911"/>
    <cellStyle name="40% - Accent2 210 2 2" xfId="13912"/>
    <cellStyle name="40% - Accent2 210 3" xfId="13913"/>
    <cellStyle name="40% - Accent2 210 3 2" xfId="13914"/>
    <cellStyle name="40% - Accent2 210 4" xfId="13915"/>
    <cellStyle name="40% - Accent2 211" xfId="13916"/>
    <cellStyle name="40% - Accent2 211 2" xfId="13917"/>
    <cellStyle name="40% - Accent2 211 2 2" xfId="13918"/>
    <cellStyle name="40% - Accent2 211 3" xfId="13919"/>
    <cellStyle name="40% - Accent2 211 3 2" xfId="13920"/>
    <cellStyle name="40% - Accent2 211 4" xfId="13921"/>
    <cellStyle name="40% - Accent2 212" xfId="13922"/>
    <cellStyle name="40% - Accent2 212 2" xfId="13923"/>
    <cellStyle name="40% - Accent2 212 2 2" xfId="13924"/>
    <cellStyle name="40% - Accent2 212 3" xfId="13925"/>
    <cellStyle name="40% - Accent2 212 3 2" xfId="13926"/>
    <cellStyle name="40% - Accent2 212 4" xfId="13927"/>
    <cellStyle name="40% - Accent2 213" xfId="13928"/>
    <cellStyle name="40% - Accent2 213 2" xfId="13929"/>
    <cellStyle name="40% - Accent2 213 2 2" xfId="13930"/>
    <cellStyle name="40% - Accent2 213 3" xfId="13931"/>
    <cellStyle name="40% - Accent2 213 3 2" xfId="13932"/>
    <cellStyle name="40% - Accent2 213 4" xfId="13933"/>
    <cellStyle name="40% - Accent2 214" xfId="13934"/>
    <cellStyle name="40% - Accent2 214 2" xfId="13935"/>
    <cellStyle name="40% - Accent2 214 2 2" xfId="13936"/>
    <cellStyle name="40% - Accent2 214 3" xfId="13937"/>
    <cellStyle name="40% - Accent2 214 3 2" xfId="13938"/>
    <cellStyle name="40% - Accent2 214 4" xfId="13939"/>
    <cellStyle name="40% - Accent2 215" xfId="13940"/>
    <cellStyle name="40% - Accent2 215 2" xfId="13941"/>
    <cellStyle name="40% - Accent2 215 2 2" xfId="13942"/>
    <cellStyle name="40% - Accent2 215 3" xfId="13943"/>
    <cellStyle name="40% - Accent2 215 3 2" xfId="13944"/>
    <cellStyle name="40% - Accent2 215 4" xfId="13945"/>
    <cellStyle name="40% - Accent2 216" xfId="13946"/>
    <cellStyle name="40% - Accent2 216 2" xfId="13947"/>
    <cellStyle name="40% - Accent2 216 2 2" xfId="13948"/>
    <cellStyle name="40% - Accent2 216 3" xfId="13949"/>
    <cellStyle name="40% - Accent2 216 3 2" xfId="13950"/>
    <cellStyle name="40% - Accent2 216 4" xfId="13951"/>
    <cellStyle name="40% - Accent2 217" xfId="13952"/>
    <cellStyle name="40% - Accent2 217 2" xfId="13953"/>
    <cellStyle name="40% - Accent2 217 2 2" xfId="13954"/>
    <cellStyle name="40% - Accent2 217 3" xfId="13955"/>
    <cellStyle name="40% - Accent2 217 3 2" xfId="13956"/>
    <cellStyle name="40% - Accent2 217 4" xfId="13957"/>
    <cellStyle name="40% - Accent2 218" xfId="13958"/>
    <cellStyle name="40% - Accent2 218 2" xfId="13959"/>
    <cellStyle name="40% - Accent2 218 2 2" xfId="13960"/>
    <cellStyle name="40% - Accent2 218 3" xfId="13961"/>
    <cellStyle name="40% - Accent2 218 3 2" xfId="13962"/>
    <cellStyle name="40% - Accent2 218 4" xfId="13963"/>
    <cellStyle name="40% - Accent2 219" xfId="13964"/>
    <cellStyle name="40% - Accent2 219 2" xfId="13965"/>
    <cellStyle name="40% - Accent2 219 2 2" xfId="13966"/>
    <cellStyle name="40% - Accent2 219 3" xfId="13967"/>
    <cellStyle name="40% - Accent2 219 3 2" xfId="13968"/>
    <cellStyle name="40% - Accent2 219 4" xfId="13969"/>
    <cellStyle name="40% - Accent2 22" xfId="13970"/>
    <cellStyle name="40% - Accent2 22 2" xfId="13971"/>
    <cellStyle name="40% - Accent2 22 2 2" xfId="13972"/>
    <cellStyle name="40% - Accent2 22 2 2 2" xfId="13973"/>
    <cellStyle name="40% - Accent2 22 2 3" xfId="13974"/>
    <cellStyle name="40% - Accent2 22 2 3 2" xfId="13975"/>
    <cellStyle name="40% - Accent2 22 2 4" xfId="13976"/>
    <cellStyle name="40% - Accent2 22 3" xfId="13977"/>
    <cellStyle name="40% - Accent2 22 3 2" xfId="13978"/>
    <cellStyle name="40% - Accent2 22 3 2 2" xfId="13979"/>
    <cellStyle name="40% - Accent2 22 3 3" xfId="13980"/>
    <cellStyle name="40% - Accent2 22 3 3 2" xfId="13981"/>
    <cellStyle name="40% - Accent2 22 3 4" xfId="13982"/>
    <cellStyle name="40% - Accent2 22 4" xfId="13983"/>
    <cellStyle name="40% - Accent2 22 4 2" xfId="13984"/>
    <cellStyle name="40% - Accent2 22 5" xfId="13985"/>
    <cellStyle name="40% - Accent2 22 5 2" xfId="13986"/>
    <cellStyle name="40% - Accent2 22 6" xfId="13987"/>
    <cellStyle name="40% - Accent2 220" xfId="13988"/>
    <cellStyle name="40% - Accent2 220 2" xfId="13989"/>
    <cellStyle name="40% - Accent2 220 2 2" xfId="13990"/>
    <cellStyle name="40% - Accent2 220 3" xfId="13991"/>
    <cellStyle name="40% - Accent2 220 3 2" xfId="13992"/>
    <cellStyle name="40% - Accent2 220 4" xfId="13993"/>
    <cellStyle name="40% - Accent2 221" xfId="13994"/>
    <cellStyle name="40% - Accent2 221 2" xfId="13995"/>
    <cellStyle name="40% - Accent2 221 2 2" xfId="13996"/>
    <cellStyle name="40% - Accent2 221 3" xfId="13997"/>
    <cellStyle name="40% - Accent2 221 3 2" xfId="13998"/>
    <cellStyle name="40% - Accent2 221 4" xfId="13999"/>
    <cellStyle name="40% - Accent2 222" xfId="14000"/>
    <cellStyle name="40% - Accent2 222 2" xfId="14001"/>
    <cellStyle name="40% - Accent2 223" xfId="14002"/>
    <cellStyle name="40% - Accent2 223 2" xfId="14003"/>
    <cellStyle name="40% - Accent2 224" xfId="14004"/>
    <cellStyle name="40% - Accent2 23" xfId="14005"/>
    <cellStyle name="40% - Accent2 23 2" xfId="14006"/>
    <cellStyle name="40% - Accent2 23 2 2" xfId="14007"/>
    <cellStyle name="40% - Accent2 23 2 2 2" xfId="14008"/>
    <cellStyle name="40% - Accent2 23 2 3" xfId="14009"/>
    <cellStyle name="40% - Accent2 23 2 3 2" xfId="14010"/>
    <cellStyle name="40% - Accent2 23 2 4" xfId="14011"/>
    <cellStyle name="40% - Accent2 23 3" xfId="14012"/>
    <cellStyle name="40% - Accent2 23 3 2" xfId="14013"/>
    <cellStyle name="40% - Accent2 23 3 2 2" xfId="14014"/>
    <cellStyle name="40% - Accent2 23 3 3" xfId="14015"/>
    <cellStyle name="40% - Accent2 23 3 3 2" xfId="14016"/>
    <cellStyle name="40% - Accent2 23 3 4" xfId="14017"/>
    <cellStyle name="40% - Accent2 23 4" xfId="14018"/>
    <cellStyle name="40% - Accent2 23 4 2" xfId="14019"/>
    <cellStyle name="40% - Accent2 23 5" xfId="14020"/>
    <cellStyle name="40% - Accent2 23 5 2" xfId="14021"/>
    <cellStyle name="40% - Accent2 23 6" xfId="14022"/>
    <cellStyle name="40% - Accent2 24" xfId="14023"/>
    <cellStyle name="40% - Accent2 24 2" xfId="14024"/>
    <cellStyle name="40% - Accent2 24 2 2" xfId="14025"/>
    <cellStyle name="40% - Accent2 24 2 2 2" xfId="14026"/>
    <cellStyle name="40% - Accent2 24 2 3" xfId="14027"/>
    <cellStyle name="40% - Accent2 24 2 3 2" xfId="14028"/>
    <cellStyle name="40% - Accent2 24 2 4" xfId="14029"/>
    <cellStyle name="40% - Accent2 24 3" xfId="14030"/>
    <cellStyle name="40% - Accent2 24 3 2" xfId="14031"/>
    <cellStyle name="40% - Accent2 24 3 2 2" xfId="14032"/>
    <cellStyle name="40% - Accent2 24 3 3" xfId="14033"/>
    <cellStyle name="40% - Accent2 24 3 3 2" xfId="14034"/>
    <cellStyle name="40% - Accent2 24 3 4" xfId="14035"/>
    <cellStyle name="40% - Accent2 24 4" xfId="14036"/>
    <cellStyle name="40% - Accent2 24 4 2" xfId="14037"/>
    <cellStyle name="40% - Accent2 24 5" xfId="14038"/>
    <cellStyle name="40% - Accent2 24 5 2" xfId="14039"/>
    <cellStyle name="40% - Accent2 24 6" xfId="14040"/>
    <cellStyle name="40% - Accent2 24 7" xfId="14041"/>
    <cellStyle name="40% - Accent2 25" xfId="14042"/>
    <cellStyle name="40% - Accent2 25 2" xfId="14043"/>
    <cellStyle name="40% - Accent2 25 2 2" xfId="14044"/>
    <cellStyle name="40% - Accent2 25 2 2 2" xfId="14045"/>
    <cellStyle name="40% - Accent2 25 2 3" xfId="14046"/>
    <cellStyle name="40% - Accent2 25 2 3 2" xfId="14047"/>
    <cellStyle name="40% - Accent2 25 2 4" xfId="14048"/>
    <cellStyle name="40% - Accent2 25 3" xfId="14049"/>
    <cellStyle name="40% - Accent2 25 3 2" xfId="14050"/>
    <cellStyle name="40% - Accent2 25 3 2 2" xfId="14051"/>
    <cellStyle name="40% - Accent2 25 3 3" xfId="14052"/>
    <cellStyle name="40% - Accent2 25 3 3 2" xfId="14053"/>
    <cellStyle name="40% - Accent2 25 3 4" xfId="14054"/>
    <cellStyle name="40% - Accent2 25 4" xfId="14055"/>
    <cellStyle name="40% - Accent2 25 4 2" xfId="14056"/>
    <cellStyle name="40% - Accent2 25 5" xfId="14057"/>
    <cellStyle name="40% - Accent2 25 5 2" xfId="14058"/>
    <cellStyle name="40% - Accent2 25 6" xfId="14059"/>
    <cellStyle name="40% - Accent2 25 7" xfId="14060"/>
    <cellStyle name="40% - Accent2 26" xfId="14061"/>
    <cellStyle name="40% - Accent2 26 2" xfId="14062"/>
    <cellStyle name="40% - Accent2 26 2 2" xfId="14063"/>
    <cellStyle name="40% - Accent2 26 2 2 2" xfId="14064"/>
    <cellStyle name="40% - Accent2 26 2 3" xfId="14065"/>
    <cellStyle name="40% - Accent2 26 2 3 2" xfId="14066"/>
    <cellStyle name="40% - Accent2 26 2 4" xfId="14067"/>
    <cellStyle name="40% - Accent2 26 3" xfId="14068"/>
    <cellStyle name="40% - Accent2 26 3 2" xfId="14069"/>
    <cellStyle name="40% - Accent2 26 3 2 2" xfId="14070"/>
    <cellStyle name="40% - Accent2 26 3 3" xfId="14071"/>
    <cellStyle name="40% - Accent2 26 3 3 2" xfId="14072"/>
    <cellStyle name="40% - Accent2 26 3 4" xfId="14073"/>
    <cellStyle name="40% - Accent2 26 4" xfId="14074"/>
    <cellStyle name="40% - Accent2 26 4 2" xfId="14075"/>
    <cellStyle name="40% - Accent2 26 5" xfId="14076"/>
    <cellStyle name="40% - Accent2 26 5 2" xfId="14077"/>
    <cellStyle name="40% - Accent2 26 6" xfId="14078"/>
    <cellStyle name="40% - Accent2 26 7" xfId="14079"/>
    <cellStyle name="40% - Accent2 27" xfId="14080"/>
    <cellStyle name="40% - Accent2 27 2" xfId="14081"/>
    <cellStyle name="40% - Accent2 27 2 2" xfId="14082"/>
    <cellStyle name="40% - Accent2 27 2 2 2" xfId="14083"/>
    <cellStyle name="40% - Accent2 27 2 3" xfId="14084"/>
    <cellStyle name="40% - Accent2 27 2 3 2" xfId="14085"/>
    <cellStyle name="40% - Accent2 27 2 4" xfId="14086"/>
    <cellStyle name="40% - Accent2 27 3" xfId="14087"/>
    <cellStyle name="40% - Accent2 27 3 2" xfId="14088"/>
    <cellStyle name="40% - Accent2 27 3 2 2" xfId="14089"/>
    <cellStyle name="40% - Accent2 27 3 3" xfId="14090"/>
    <cellStyle name="40% - Accent2 27 3 3 2" xfId="14091"/>
    <cellStyle name="40% - Accent2 27 3 4" xfId="14092"/>
    <cellStyle name="40% - Accent2 27 4" xfId="14093"/>
    <cellStyle name="40% - Accent2 27 4 2" xfId="14094"/>
    <cellStyle name="40% - Accent2 27 5" xfId="14095"/>
    <cellStyle name="40% - Accent2 27 5 2" xfId="14096"/>
    <cellStyle name="40% - Accent2 27 6" xfId="14097"/>
    <cellStyle name="40% - Accent2 27 7" xfId="14098"/>
    <cellStyle name="40% - Accent2 28" xfId="14099"/>
    <cellStyle name="40% - Accent2 28 2" xfId="14100"/>
    <cellStyle name="40% - Accent2 28 2 2" xfId="14101"/>
    <cellStyle name="40% - Accent2 28 2 2 2" xfId="14102"/>
    <cellStyle name="40% - Accent2 28 2 3" xfId="14103"/>
    <cellStyle name="40% - Accent2 28 2 3 2" xfId="14104"/>
    <cellStyle name="40% - Accent2 28 2 4" xfId="14105"/>
    <cellStyle name="40% - Accent2 28 3" xfId="14106"/>
    <cellStyle name="40% - Accent2 28 3 2" xfId="14107"/>
    <cellStyle name="40% - Accent2 28 3 2 2" xfId="14108"/>
    <cellStyle name="40% - Accent2 28 3 3" xfId="14109"/>
    <cellStyle name="40% - Accent2 28 3 3 2" xfId="14110"/>
    <cellStyle name="40% - Accent2 28 3 4" xfId="14111"/>
    <cellStyle name="40% - Accent2 28 4" xfId="14112"/>
    <cellStyle name="40% - Accent2 28 4 2" xfId="14113"/>
    <cellStyle name="40% - Accent2 28 5" xfId="14114"/>
    <cellStyle name="40% - Accent2 28 5 2" xfId="14115"/>
    <cellStyle name="40% - Accent2 28 6" xfId="14116"/>
    <cellStyle name="40% - Accent2 28 7" xfId="14117"/>
    <cellStyle name="40% - Accent2 29" xfId="14118"/>
    <cellStyle name="40% - Accent2 29 2" xfId="14119"/>
    <cellStyle name="40% - Accent2 29 2 2" xfId="14120"/>
    <cellStyle name="40% - Accent2 29 2 2 2" xfId="14121"/>
    <cellStyle name="40% - Accent2 29 2 3" xfId="14122"/>
    <cellStyle name="40% - Accent2 29 2 3 2" xfId="14123"/>
    <cellStyle name="40% - Accent2 29 2 4" xfId="14124"/>
    <cellStyle name="40% - Accent2 29 3" xfId="14125"/>
    <cellStyle name="40% - Accent2 29 3 2" xfId="14126"/>
    <cellStyle name="40% - Accent2 29 3 2 2" xfId="14127"/>
    <cellStyle name="40% - Accent2 29 3 3" xfId="14128"/>
    <cellStyle name="40% - Accent2 29 3 3 2" xfId="14129"/>
    <cellStyle name="40% - Accent2 29 3 4" xfId="14130"/>
    <cellStyle name="40% - Accent2 29 4" xfId="14131"/>
    <cellStyle name="40% - Accent2 29 4 2" xfId="14132"/>
    <cellStyle name="40% - Accent2 29 5" xfId="14133"/>
    <cellStyle name="40% - Accent2 29 5 2" xfId="14134"/>
    <cellStyle name="40% - Accent2 29 6" xfId="14135"/>
    <cellStyle name="40% - Accent2 29 7" xfId="14136"/>
    <cellStyle name="40% - Accent2 3" xfId="14137"/>
    <cellStyle name="40% - Accent2 3 2" xfId="14138"/>
    <cellStyle name="40% - Accent2 3 2 2" xfId="14139"/>
    <cellStyle name="40% - Accent2 3 2 2 2" xfId="14140"/>
    <cellStyle name="40% - Accent2 3 2 3" xfId="14141"/>
    <cellStyle name="40% - Accent2 3 2 3 2" xfId="14142"/>
    <cellStyle name="40% - Accent2 3 2 4" xfId="14143"/>
    <cellStyle name="40% - Accent2 3 3" xfId="14144"/>
    <cellStyle name="40% - Accent2 3 3 2" xfId="14145"/>
    <cellStyle name="40% - Accent2 3 3 2 2" xfId="14146"/>
    <cellStyle name="40% - Accent2 3 3 3" xfId="14147"/>
    <cellStyle name="40% - Accent2 3 3 3 2" xfId="14148"/>
    <cellStyle name="40% - Accent2 3 3 4" xfId="14149"/>
    <cellStyle name="40% - Accent2 3 4" xfId="14150"/>
    <cellStyle name="40% - Accent2 3 4 2" xfId="14151"/>
    <cellStyle name="40% - Accent2 3 5" xfId="14152"/>
    <cellStyle name="40% - Accent2 3 5 2" xfId="14153"/>
    <cellStyle name="40% - Accent2 3 6" xfId="14154"/>
    <cellStyle name="40% - Accent2 30" xfId="14155"/>
    <cellStyle name="40% - Accent2 30 2" xfId="14156"/>
    <cellStyle name="40% - Accent2 30 2 2" xfId="14157"/>
    <cellStyle name="40% - Accent2 30 2 2 2" xfId="14158"/>
    <cellStyle name="40% - Accent2 30 2 3" xfId="14159"/>
    <cellStyle name="40% - Accent2 30 2 3 2" xfId="14160"/>
    <cellStyle name="40% - Accent2 30 2 4" xfId="14161"/>
    <cellStyle name="40% - Accent2 30 3" xfId="14162"/>
    <cellStyle name="40% - Accent2 30 3 2" xfId="14163"/>
    <cellStyle name="40% - Accent2 30 3 2 2" xfId="14164"/>
    <cellStyle name="40% - Accent2 30 3 3" xfId="14165"/>
    <cellStyle name="40% - Accent2 30 3 3 2" xfId="14166"/>
    <cellStyle name="40% - Accent2 30 3 4" xfId="14167"/>
    <cellStyle name="40% - Accent2 30 4" xfId="14168"/>
    <cellStyle name="40% - Accent2 30 4 2" xfId="14169"/>
    <cellStyle name="40% - Accent2 30 5" xfId="14170"/>
    <cellStyle name="40% - Accent2 30 5 2" xfId="14171"/>
    <cellStyle name="40% - Accent2 30 6" xfId="14172"/>
    <cellStyle name="40% - Accent2 30 7" xfId="14173"/>
    <cellStyle name="40% - Accent2 31" xfId="14174"/>
    <cellStyle name="40% - Accent2 31 2" xfId="14175"/>
    <cellStyle name="40% - Accent2 31 2 2" xfId="14176"/>
    <cellStyle name="40% - Accent2 31 2 2 2" xfId="14177"/>
    <cellStyle name="40% - Accent2 31 2 3" xfId="14178"/>
    <cellStyle name="40% - Accent2 31 2 3 2" xfId="14179"/>
    <cellStyle name="40% - Accent2 31 2 4" xfId="14180"/>
    <cellStyle name="40% - Accent2 31 3" xfId="14181"/>
    <cellStyle name="40% - Accent2 31 3 2" xfId="14182"/>
    <cellStyle name="40% - Accent2 31 3 2 2" xfId="14183"/>
    <cellStyle name="40% - Accent2 31 3 3" xfId="14184"/>
    <cellStyle name="40% - Accent2 31 3 3 2" xfId="14185"/>
    <cellStyle name="40% - Accent2 31 3 4" xfId="14186"/>
    <cellStyle name="40% - Accent2 31 4" xfId="14187"/>
    <cellStyle name="40% - Accent2 31 4 2" xfId="14188"/>
    <cellStyle name="40% - Accent2 31 5" xfId="14189"/>
    <cellStyle name="40% - Accent2 31 5 2" xfId="14190"/>
    <cellStyle name="40% - Accent2 31 6" xfId="14191"/>
    <cellStyle name="40% - Accent2 31 7" xfId="14192"/>
    <cellStyle name="40% - Accent2 32" xfId="14193"/>
    <cellStyle name="40% - Accent2 32 2" xfId="14194"/>
    <cellStyle name="40% - Accent2 32 2 2" xfId="14195"/>
    <cellStyle name="40% - Accent2 32 2 2 2" xfId="14196"/>
    <cellStyle name="40% - Accent2 32 2 3" xfId="14197"/>
    <cellStyle name="40% - Accent2 32 2 3 2" xfId="14198"/>
    <cellStyle name="40% - Accent2 32 2 4" xfId="14199"/>
    <cellStyle name="40% - Accent2 32 3" xfId="14200"/>
    <cellStyle name="40% - Accent2 32 3 2" xfId="14201"/>
    <cellStyle name="40% - Accent2 32 3 2 2" xfId="14202"/>
    <cellStyle name="40% - Accent2 32 3 3" xfId="14203"/>
    <cellStyle name="40% - Accent2 32 3 3 2" xfId="14204"/>
    <cellStyle name="40% - Accent2 32 3 4" xfId="14205"/>
    <cellStyle name="40% - Accent2 32 4" xfId="14206"/>
    <cellStyle name="40% - Accent2 32 4 2" xfId="14207"/>
    <cellStyle name="40% - Accent2 32 5" xfId="14208"/>
    <cellStyle name="40% - Accent2 32 5 2" xfId="14209"/>
    <cellStyle name="40% - Accent2 32 6" xfId="14210"/>
    <cellStyle name="40% - Accent2 32 7" xfId="14211"/>
    <cellStyle name="40% - Accent2 33" xfId="14212"/>
    <cellStyle name="40% - Accent2 33 2" xfId="14213"/>
    <cellStyle name="40% - Accent2 33 2 2" xfId="14214"/>
    <cellStyle name="40% - Accent2 33 2 2 2" xfId="14215"/>
    <cellStyle name="40% - Accent2 33 2 3" xfId="14216"/>
    <cellStyle name="40% - Accent2 33 2 3 2" xfId="14217"/>
    <cellStyle name="40% - Accent2 33 2 4" xfId="14218"/>
    <cellStyle name="40% - Accent2 33 3" xfId="14219"/>
    <cellStyle name="40% - Accent2 33 3 2" xfId="14220"/>
    <cellStyle name="40% - Accent2 33 3 2 2" xfId="14221"/>
    <cellStyle name="40% - Accent2 33 3 3" xfId="14222"/>
    <cellStyle name="40% - Accent2 33 3 3 2" xfId="14223"/>
    <cellStyle name="40% - Accent2 33 3 4" xfId="14224"/>
    <cellStyle name="40% - Accent2 33 4" xfId="14225"/>
    <cellStyle name="40% - Accent2 33 4 2" xfId="14226"/>
    <cellStyle name="40% - Accent2 33 5" xfId="14227"/>
    <cellStyle name="40% - Accent2 33 5 2" xfId="14228"/>
    <cellStyle name="40% - Accent2 33 6" xfId="14229"/>
    <cellStyle name="40% - Accent2 33 7" xfId="14230"/>
    <cellStyle name="40% - Accent2 34" xfId="14231"/>
    <cellStyle name="40% - Accent2 34 2" xfId="14232"/>
    <cellStyle name="40% - Accent2 34 2 2" xfId="14233"/>
    <cellStyle name="40% - Accent2 34 2 2 2" xfId="14234"/>
    <cellStyle name="40% - Accent2 34 2 3" xfId="14235"/>
    <cellStyle name="40% - Accent2 34 2 3 2" xfId="14236"/>
    <cellStyle name="40% - Accent2 34 2 4" xfId="14237"/>
    <cellStyle name="40% - Accent2 34 3" xfId="14238"/>
    <cellStyle name="40% - Accent2 34 3 2" xfId="14239"/>
    <cellStyle name="40% - Accent2 34 3 2 2" xfId="14240"/>
    <cellStyle name="40% - Accent2 34 3 3" xfId="14241"/>
    <cellStyle name="40% - Accent2 34 3 3 2" xfId="14242"/>
    <cellStyle name="40% - Accent2 34 3 4" xfId="14243"/>
    <cellStyle name="40% - Accent2 34 4" xfId="14244"/>
    <cellStyle name="40% - Accent2 34 4 2" xfId="14245"/>
    <cellStyle name="40% - Accent2 34 5" xfId="14246"/>
    <cellStyle name="40% - Accent2 34 5 2" xfId="14247"/>
    <cellStyle name="40% - Accent2 34 6" xfId="14248"/>
    <cellStyle name="40% - Accent2 34 7" xfId="14249"/>
    <cellStyle name="40% - Accent2 35" xfId="14250"/>
    <cellStyle name="40% - Accent2 35 2" xfId="14251"/>
    <cellStyle name="40% - Accent2 35 2 2" xfId="14252"/>
    <cellStyle name="40% - Accent2 35 2 2 2" xfId="14253"/>
    <cellStyle name="40% - Accent2 35 2 3" xfId="14254"/>
    <cellStyle name="40% - Accent2 35 2 3 2" xfId="14255"/>
    <cellStyle name="40% - Accent2 35 2 4" xfId="14256"/>
    <cellStyle name="40% - Accent2 35 3" xfId="14257"/>
    <cellStyle name="40% - Accent2 35 3 2" xfId="14258"/>
    <cellStyle name="40% - Accent2 35 3 2 2" xfId="14259"/>
    <cellStyle name="40% - Accent2 35 3 3" xfId="14260"/>
    <cellStyle name="40% - Accent2 35 3 3 2" xfId="14261"/>
    <cellStyle name="40% - Accent2 35 3 4" xfId="14262"/>
    <cellStyle name="40% - Accent2 35 4" xfId="14263"/>
    <cellStyle name="40% - Accent2 35 4 2" xfId="14264"/>
    <cellStyle name="40% - Accent2 35 5" xfId="14265"/>
    <cellStyle name="40% - Accent2 35 5 2" xfId="14266"/>
    <cellStyle name="40% - Accent2 35 6" xfId="14267"/>
    <cellStyle name="40% - Accent2 35 7" xfId="14268"/>
    <cellStyle name="40% - Accent2 36" xfId="14269"/>
    <cellStyle name="40% - Accent2 36 2" xfId="14270"/>
    <cellStyle name="40% - Accent2 36 2 2" xfId="14271"/>
    <cellStyle name="40% - Accent2 36 2 2 2" xfId="14272"/>
    <cellStyle name="40% - Accent2 36 2 3" xfId="14273"/>
    <cellStyle name="40% - Accent2 36 2 3 2" xfId="14274"/>
    <cellStyle name="40% - Accent2 36 2 4" xfId="14275"/>
    <cellStyle name="40% - Accent2 36 3" xfId="14276"/>
    <cellStyle name="40% - Accent2 36 3 2" xfId="14277"/>
    <cellStyle name="40% - Accent2 36 3 2 2" xfId="14278"/>
    <cellStyle name="40% - Accent2 36 3 3" xfId="14279"/>
    <cellStyle name="40% - Accent2 36 3 3 2" xfId="14280"/>
    <cellStyle name="40% - Accent2 36 3 4" xfId="14281"/>
    <cellStyle name="40% - Accent2 36 4" xfId="14282"/>
    <cellStyle name="40% - Accent2 36 4 2" xfId="14283"/>
    <cellStyle name="40% - Accent2 36 5" xfId="14284"/>
    <cellStyle name="40% - Accent2 36 5 2" xfId="14285"/>
    <cellStyle name="40% - Accent2 36 6" xfId="14286"/>
    <cellStyle name="40% - Accent2 36 7" xfId="14287"/>
    <cellStyle name="40% - Accent2 37" xfId="14288"/>
    <cellStyle name="40% - Accent2 37 2" xfId="14289"/>
    <cellStyle name="40% - Accent2 37 2 2" xfId="14290"/>
    <cellStyle name="40% - Accent2 37 2 2 2" xfId="14291"/>
    <cellStyle name="40% - Accent2 37 2 3" xfId="14292"/>
    <cellStyle name="40% - Accent2 37 2 3 2" xfId="14293"/>
    <cellStyle name="40% - Accent2 37 2 4" xfId="14294"/>
    <cellStyle name="40% - Accent2 37 3" xfId="14295"/>
    <cellStyle name="40% - Accent2 37 3 2" xfId="14296"/>
    <cellStyle name="40% - Accent2 37 3 2 2" xfId="14297"/>
    <cellStyle name="40% - Accent2 37 3 3" xfId="14298"/>
    <cellStyle name="40% - Accent2 37 3 3 2" xfId="14299"/>
    <cellStyle name="40% - Accent2 37 3 4" xfId="14300"/>
    <cellStyle name="40% - Accent2 37 4" xfId="14301"/>
    <cellStyle name="40% - Accent2 37 4 2" xfId="14302"/>
    <cellStyle name="40% - Accent2 37 5" xfId="14303"/>
    <cellStyle name="40% - Accent2 37 5 2" xfId="14304"/>
    <cellStyle name="40% - Accent2 37 6" xfId="14305"/>
    <cellStyle name="40% - Accent2 37 7" xfId="14306"/>
    <cellStyle name="40% - Accent2 38" xfId="14307"/>
    <cellStyle name="40% - Accent2 38 2" xfId="14308"/>
    <cellStyle name="40% - Accent2 38 2 2" xfId="14309"/>
    <cellStyle name="40% - Accent2 38 2 2 2" xfId="14310"/>
    <cellStyle name="40% - Accent2 38 2 3" xfId="14311"/>
    <cellStyle name="40% - Accent2 38 2 3 2" xfId="14312"/>
    <cellStyle name="40% - Accent2 38 2 4" xfId="14313"/>
    <cellStyle name="40% - Accent2 38 3" xfId="14314"/>
    <cellStyle name="40% - Accent2 38 3 2" xfId="14315"/>
    <cellStyle name="40% - Accent2 38 3 2 2" xfId="14316"/>
    <cellStyle name="40% - Accent2 38 3 3" xfId="14317"/>
    <cellStyle name="40% - Accent2 38 3 3 2" xfId="14318"/>
    <cellStyle name="40% - Accent2 38 3 4" xfId="14319"/>
    <cellStyle name="40% - Accent2 38 4" xfId="14320"/>
    <cellStyle name="40% - Accent2 38 4 2" xfId="14321"/>
    <cellStyle name="40% - Accent2 38 5" xfId="14322"/>
    <cellStyle name="40% - Accent2 38 5 2" xfId="14323"/>
    <cellStyle name="40% - Accent2 38 6" xfId="14324"/>
    <cellStyle name="40% - Accent2 38 7" xfId="14325"/>
    <cellStyle name="40% - Accent2 39" xfId="14326"/>
    <cellStyle name="40% - Accent2 39 2" xfId="14327"/>
    <cellStyle name="40% - Accent2 39 2 2" xfId="14328"/>
    <cellStyle name="40% - Accent2 39 2 2 2" xfId="14329"/>
    <cellStyle name="40% - Accent2 39 2 3" xfId="14330"/>
    <cellStyle name="40% - Accent2 39 2 3 2" xfId="14331"/>
    <cellStyle name="40% - Accent2 39 2 4" xfId="14332"/>
    <cellStyle name="40% - Accent2 39 3" xfId="14333"/>
    <cellStyle name="40% - Accent2 39 3 2" xfId="14334"/>
    <cellStyle name="40% - Accent2 39 3 2 2" xfId="14335"/>
    <cellStyle name="40% - Accent2 39 3 3" xfId="14336"/>
    <cellStyle name="40% - Accent2 39 3 3 2" xfId="14337"/>
    <cellStyle name="40% - Accent2 39 3 4" xfId="14338"/>
    <cellStyle name="40% - Accent2 39 4" xfId="14339"/>
    <cellStyle name="40% - Accent2 39 4 2" xfId="14340"/>
    <cellStyle name="40% - Accent2 39 5" xfId="14341"/>
    <cellStyle name="40% - Accent2 39 5 2" xfId="14342"/>
    <cellStyle name="40% - Accent2 39 6" xfId="14343"/>
    <cellStyle name="40% - Accent2 39 7" xfId="14344"/>
    <cellStyle name="40% - Accent2 4" xfId="14345"/>
    <cellStyle name="40% - Accent2 4 2" xfId="14346"/>
    <cellStyle name="40% - Accent2 4 2 2" xfId="14347"/>
    <cellStyle name="40% - Accent2 4 2 2 2" xfId="14348"/>
    <cellStyle name="40% - Accent2 4 2 3" xfId="14349"/>
    <cellStyle name="40% - Accent2 4 2 3 2" xfId="14350"/>
    <cellStyle name="40% - Accent2 4 2 4" xfId="14351"/>
    <cellStyle name="40% - Accent2 4 3" xfId="14352"/>
    <cellStyle name="40% - Accent2 4 3 2" xfId="14353"/>
    <cellStyle name="40% - Accent2 4 3 2 2" xfId="14354"/>
    <cellStyle name="40% - Accent2 4 3 3" xfId="14355"/>
    <cellStyle name="40% - Accent2 4 3 3 2" xfId="14356"/>
    <cellStyle name="40% - Accent2 4 3 4" xfId="14357"/>
    <cellStyle name="40% - Accent2 4 4" xfId="14358"/>
    <cellStyle name="40% - Accent2 4 4 2" xfId="14359"/>
    <cellStyle name="40% - Accent2 4 5" xfId="14360"/>
    <cellStyle name="40% - Accent2 4 5 2" xfId="14361"/>
    <cellStyle name="40% - Accent2 4 6" xfId="14362"/>
    <cellStyle name="40% - Accent2 40" xfId="14363"/>
    <cellStyle name="40% - Accent2 40 2" xfId="14364"/>
    <cellStyle name="40% - Accent2 40 2 2" xfId="14365"/>
    <cellStyle name="40% - Accent2 40 2 2 2" xfId="14366"/>
    <cellStyle name="40% - Accent2 40 2 3" xfId="14367"/>
    <cellStyle name="40% - Accent2 40 2 3 2" xfId="14368"/>
    <cellStyle name="40% - Accent2 40 2 4" xfId="14369"/>
    <cellStyle name="40% - Accent2 40 3" xfId="14370"/>
    <cellStyle name="40% - Accent2 40 3 2" xfId="14371"/>
    <cellStyle name="40% - Accent2 40 3 2 2" xfId="14372"/>
    <cellStyle name="40% - Accent2 40 3 3" xfId="14373"/>
    <cellStyle name="40% - Accent2 40 3 3 2" xfId="14374"/>
    <cellStyle name="40% - Accent2 40 3 4" xfId="14375"/>
    <cellStyle name="40% - Accent2 40 4" xfId="14376"/>
    <cellStyle name="40% - Accent2 40 4 2" xfId="14377"/>
    <cellStyle name="40% - Accent2 40 5" xfId="14378"/>
    <cellStyle name="40% - Accent2 40 5 2" xfId="14379"/>
    <cellStyle name="40% - Accent2 40 6" xfId="14380"/>
    <cellStyle name="40% - Accent2 40 7" xfId="14381"/>
    <cellStyle name="40% - Accent2 41" xfId="14382"/>
    <cellStyle name="40% - Accent2 41 2" xfId="14383"/>
    <cellStyle name="40% - Accent2 41 2 2" xfId="14384"/>
    <cellStyle name="40% - Accent2 41 2 2 2" xfId="14385"/>
    <cellStyle name="40% - Accent2 41 2 3" xfId="14386"/>
    <cellStyle name="40% - Accent2 41 2 3 2" xfId="14387"/>
    <cellStyle name="40% - Accent2 41 2 4" xfId="14388"/>
    <cellStyle name="40% - Accent2 41 3" xfId="14389"/>
    <cellStyle name="40% - Accent2 41 3 2" xfId="14390"/>
    <cellStyle name="40% - Accent2 41 3 2 2" xfId="14391"/>
    <cellStyle name="40% - Accent2 41 3 3" xfId="14392"/>
    <cellStyle name="40% - Accent2 41 3 3 2" xfId="14393"/>
    <cellStyle name="40% - Accent2 41 3 4" xfId="14394"/>
    <cellStyle name="40% - Accent2 41 4" xfId="14395"/>
    <cellStyle name="40% - Accent2 41 4 2" xfId="14396"/>
    <cellStyle name="40% - Accent2 41 5" xfId="14397"/>
    <cellStyle name="40% - Accent2 41 5 2" xfId="14398"/>
    <cellStyle name="40% - Accent2 41 6" xfId="14399"/>
    <cellStyle name="40% - Accent2 41 7" xfId="14400"/>
    <cellStyle name="40% - Accent2 42" xfId="14401"/>
    <cellStyle name="40% - Accent2 42 2" xfId="14402"/>
    <cellStyle name="40% - Accent2 42 2 2" xfId="14403"/>
    <cellStyle name="40% - Accent2 42 3" xfId="14404"/>
    <cellStyle name="40% - Accent2 42 3 2" xfId="14405"/>
    <cellStyle name="40% - Accent2 42 4" xfId="14406"/>
    <cellStyle name="40% - Accent2 42 5" xfId="14407"/>
    <cellStyle name="40% - Accent2 43" xfId="14408"/>
    <cellStyle name="40% - Accent2 43 2" xfId="14409"/>
    <cellStyle name="40% - Accent2 43 2 2" xfId="14410"/>
    <cellStyle name="40% - Accent2 43 3" xfId="14411"/>
    <cellStyle name="40% - Accent2 43 3 2" xfId="14412"/>
    <cellStyle name="40% - Accent2 43 4" xfId="14413"/>
    <cellStyle name="40% - Accent2 43 5" xfId="14414"/>
    <cellStyle name="40% - Accent2 44" xfId="14415"/>
    <cellStyle name="40% - Accent2 44 2" xfId="14416"/>
    <cellStyle name="40% - Accent2 44 2 2" xfId="14417"/>
    <cellStyle name="40% - Accent2 44 3" xfId="14418"/>
    <cellStyle name="40% - Accent2 44 3 2" xfId="14419"/>
    <cellStyle name="40% - Accent2 44 4" xfId="14420"/>
    <cellStyle name="40% - Accent2 44 5" xfId="14421"/>
    <cellStyle name="40% - Accent2 45" xfId="14422"/>
    <cellStyle name="40% - Accent2 45 2" xfId="14423"/>
    <cellStyle name="40% - Accent2 45 2 2" xfId="14424"/>
    <cellStyle name="40% - Accent2 45 3" xfId="14425"/>
    <cellStyle name="40% - Accent2 45 3 2" xfId="14426"/>
    <cellStyle name="40% - Accent2 45 4" xfId="14427"/>
    <cellStyle name="40% - Accent2 45 5" xfId="14428"/>
    <cellStyle name="40% - Accent2 46" xfId="14429"/>
    <cellStyle name="40% - Accent2 46 2" xfId="14430"/>
    <cellStyle name="40% - Accent2 46 2 2" xfId="14431"/>
    <cellStyle name="40% - Accent2 46 3" xfId="14432"/>
    <cellStyle name="40% - Accent2 46 3 2" xfId="14433"/>
    <cellStyle name="40% - Accent2 46 4" xfId="14434"/>
    <cellStyle name="40% - Accent2 46 5" xfId="14435"/>
    <cellStyle name="40% - Accent2 47" xfId="14436"/>
    <cellStyle name="40% - Accent2 47 2" xfId="14437"/>
    <cellStyle name="40% - Accent2 47 2 2" xfId="14438"/>
    <cellStyle name="40% - Accent2 47 3" xfId="14439"/>
    <cellStyle name="40% - Accent2 47 3 2" xfId="14440"/>
    <cellStyle name="40% - Accent2 47 4" xfId="14441"/>
    <cellStyle name="40% - Accent2 47 5" xfId="14442"/>
    <cellStyle name="40% - Accent2 48" xfId="14443"/>
    <cellStyle name="40% - Accent2 48 2" xfId="14444"/>
    <cellStyle name="40% - Accent2 48 2 2" xfId="14445"/>
    <cellStyle name="40% - Accent2 48 3" xfId="14446"/>
    <cellStyle name="40% - Accent2 48 3 2" xfId="14447"/>
    <cellStyle name="40% - Accent2 48 4" xfId="14448"/>
    <cellStyle name="40% - Accent2 48 5" xfId="14449"/>
    <cellStyle name="40% - Accent2 49" xfId="14450"/>
    <cellStyle name="40% - Accent2 49 2" xfId="14451"/>
    <cellStyle name="40% - Accent2 49 2 2" xfId="14452"/>
    <cellStyle name="40% - Accent2 49 3" xfId="14453"/>
    <cellStyle name="40% - Accent2 49 3 2" xfId="14454"/>
    <cellStyle name="40% - Accent2 49 4" xfId="14455"/>
    <cellStyle name="40% - Accent2 49 5" xfId="14456"/>
    <cellStyle name="40% - Accent2 5" xfId="14457"/>
    <cellStyle name="40% - Accent2 5 2" xfId="14458"/>
    <cellStyle name="40% - Accent2 5 2 2" xfId="14459"/>
    <cellStyle name="40% - Accent2 5 2 2 2" xfId="14460"/>
    <cellStyle name="40% - Accent2 5 2 3" xfId="14461"/>
    <cellStyle name="40% - Accent2 5 2 3 2" xfId="14462"/>
    <cellStyle name="40% - Accent2 5 2 4" xfId="14463"/>
    <cellStyle name="40% - Accent2 5 3" xfId="14464"/>
    <cellStyle name="40% - Accent2 5 3 2" xfId="14465"/>
    <cellStyle name="40% - Accent2 5 3 2 2" xfId="14466"/>
    <cellStyle name="40% - Accent2 5 3 3" xfId="14467"/>
    <cellStyle name="40% - Accent2 5 3 3 2" xfId="14468"/>
    <cellStyle name="40% - Accent2 5 3 4" xfId="14469"/>
    <cellStyle name="40% - Accent2 5 4" xfId="14470"/>
    <cellStyle name="40% - Accent2 5 4 2" xfId="14471"/>
    <cellStyle name="40% - Accent2 5 5" xfId="14472"/>
    <cellStyle name="40% - Accent2 5 5 2" xfId="14473"/>
    <cellStyle name="40% - Accent2 5 6" xfId="14474"/>
    <cellStyle name="40% - Accent2 50" xfId="14475"/>
    <cellStyle name="40% - Accent2 50 2" xfId="14476"/>
    <cellStyle name="40% - Accent2 50 2 2" xfId="14477"/>
    <cellStyle name="40% - Accent2 50 3" xfId="14478"/>
    <cellStyle name="40% - Accent2 50 3 2" xfId="14479"/>
    <cellStyle name="40% - Accent2 50 4" xfId="14480"/>
    <cellStyle name="40% - Accent2 50 5" xfId="14481"/>
    <cellStyle name="40% - Accent2 51" xfId="14482"/>
    <cellStyle name="40% - Accent2 51 2" xfId="14483"/>
    <cellStyle name="40% - Accent2 51 2 2" xfId="14484"/>
    <cellStyle name="40% - Accent2 51 3" xfId="14485"/>
    <cellStyle name="40% - Accent2 51 3 2" xfId="14486"/>
    <cellStyle name="40% - Accent2 51 4" xfId="14487"/>
    <cellStyle name="40% - Accent2 51 5" xfId="14488"/>
    <cellStyle name="40% - Accent2 52" xfId="14489"/>
    <cellStyle name="40% - Accent2 52 2" xfId="14490"/>
    <cellStyle name="40% - Accent2 52 2 2" xfId="14491"/>
    <cellStyle name="40% - Accent2 52 3" xfId="14492"/>
    <cellStyle name="40% - Accent2 52 3 2" xfId="14493"/>
    <cellStyle name="40% - Accent2 52 4" xfId="14494"/>
    <cellStyle name="40% - Accent2 52 5" xfId="14495"/>
    <cellStyle name="40% - Accent2 53" xfId="14496"/>
    <cellStyle name="40% - Accent2 53 2" xfId="14497"/>
    <cellStyle name="40% - Accent2 53 2 2" xfId="14498"/>
    <cellStyle name="40% - Accent2 53 3" xfId="14499"/>
    <cellStyle name="40% - Accent2 53 3 2" xfId="14500"/>
    <cellStyle name="40% - Accent2 53 4" xfId="14501"/>
    <cellStyle name="40% - Accent2 53 5" xfId="14502"/>
    <cellStyle name="40% - Accent2 54" xfId="14503"/>
    <cellStyle name="40% - Accent2 54 2" xfId="14504"/>
    <cellStyle name="40% - Accent2 54 2 2" xfId="14505"/>
    <cellStyle name="40% - Accent2 54 3" xfId="14506"/>
    <cellStyle name="40% - Accent2 54 3 2" xfId="14507"/>
    <cellStyle name="40% - Accent2 54 4" xfId="14508"/>
    <cellStyle name="40% - Accent2 54 5" xfId="14509"/>
    <cellStyle name="40% - Accent2 55" xfId="14510"/>
    <cellStyle name="40% - Accent2 55 2" xfId="14511"/>
    <cellStyle name="40% - Accent2 55 2 2" xfId="14512"/>
    <cellStyle name="40% - Accent2 55 3" xfId="14513"/>
    <cellStyle name="40% - Accent2 55 3 2" xfId="14514"/>
    <cellStyle name="40% - Accent2 55 4" xfId="14515"/>
    <cellStyle name="40% - Accent2 55 5" xfId="14516"/>
    <cellStyle name="40% - Accent2 56" xfId="14517"/>
    <cellStyle name="40% - Accent2 56 2" xfId="14518"/>
    <cellStyle name="40% - Accent2 56 2 2" xfId="14519"/>
    <cellStyle name="40% - Accent2 56 3" xfId="14520"/>
    <cellStyle name="40% - Accent2 56 3 2" xfId="14521"/>
    <cellStyle name="40% - Accent2 56 4" xfId="14522"/>
    <cellStyle name="40% - Accent2 56 5" xfId="14523"/>
    <cellStyle name="40% - Accent2 57" xfId="14524"/>
    <cellStyle name="40% - Accent2 57 2" xfId="14525"/>
    <cellStyle name="40% - Accent2 57 2 2" xfId="14526"/>
    <cellStyle name="40% - Accent2 57 3" xfId="14527"/>
    <cellStyle name="40% - Accent2 57 3 2" xfId="14528"/>
    <cellStyle name="40% - Accent2 57 4" xfId="14529"/>
    <cellStyle name="40% - Accent2 57 5" xfId="14530"/>
    <cellStyle name="40% - Accent2 58" xfId="14531"/>
    <cellStyle name="40% - Accent2 58 2" xfId="14532"/>
    <cellStyle name="40% - Accent2 58 2 2" xfId="14533"/>
    <cellStyle name="40% - Accent2 58 3" xfId="14534"/>
    <cellStyle name="40% - Accent2 58 3 2" xfId="14535"/>
    <cellStyle name="40% - Accent2 58 4" xfId="14536"/>
    <cellStyle name="40% - Accent2 58 5" xfId="14537"/>
    <cellStyle name="40% - Accent2 59" xfId="14538"/>
    <cellStyle name="40% - Accent2 59 2" xfId="14539"/>
    <cellStyle name="40% - Accent2 59 2 2" xfId="14540"/>
    <cellStyle name="40% - Accent2 59 3" xfId="14541"/>
    <cellStyle name="40% - Accent2 59 3 2" xfId="14542"/>
    <cellStyle name="40% - Accent2 59 4" xfId="14543"/>
    <cellStyle name="40% - Accent2 59 5" xfId="14544"/>
    <cellStyle name="40% - Accent2 6" xfId="14545"/>
    <cellStyle name="40% - Accent2 6 2" xfId="14546"/>
    <cellStyle name="40% - Accent2 6 2 2" xfId="14547"/>
    <cellStyle name="40% - Accent2 6 2 2 2" xfId="14548"/>
    <cellStyle name="40% - Accent2 6 2 3" xfId="14549"/>
    <cellStyle name="40% - Accent2 6 2 3 2" xfId="14550"/>
    <cellStyle name="40% - Accent2 6 2 4" xfId="14551"/>
    <cellStyle name="40% - Accent2 6 3" xfId="14552"/>
    <cellStyle name="40% - Accent2 6 3 2" xfId="14553"/>
    <cellStyle name="40% - Accent2 6 3 2 2" xfId="14554"/>
    <cellStyle name="40% - Accent2 6 3 3" xfId="14555"/>
    <cellStyle name="40% - Accent2 6 3 3 2" xfId="14556"/>
    <cellStyle name="40% - Accent2 6 3 4" xfId="14557"/>
    <cellStyle name="40% - Accent2 6 4" xfId="14558"/>
    <cellStyle name="40% - Accent2 6 4 2" xfId="14559"/>
    <cellStyle name="40% - Accent2 6 5" xfId="14560"/>
    <cellStyle name="40% - Accent2 6 5 2" xfId="14561"/>
    <cellStyle name="40% - Accent2 6 6" xfId="14562"/>
    <cellStyle name="40% - Accent2 60" xfId="14563"/>
    <cellStyle name="40% - Accent2 60 2" xfId="14564"/>
    <cellStyle name="40% - Accent2 60 2 2" xfId="14565"/>
    <cellStyle name="40% - Accent2 60 3" xfId="14566"/>
    <cellStyle name="40% - Accent2 60 3 2" xfId="14567"/>
    <cellStyle name="40% - Accent2 60 4" xfId="14568"/>
    <cellStyle name="40% - Accent2 60 5" xfId="14569"/>
    <cellStyle name="40% - Accent2 61" xfId="14570"/>
    <cellStyle name="40% - Accent2 61 2" xfId="14571"/>
    <cellStyle name="40% - Accent2 61 2 2" xfId="14572"/>
    <cellStyle name="40% - Accent2 61 3" xfId="14573"/>
    <cellStyle name="40% - Accent2 61 3 2" xfId="14574"/>
    <cellStyle name="40% - Accent2 61 4" xfId="14575"/>
    <cellStyle name="40% - Accent2 61 5" xfId="14576"/>
    <cellStyle name="40% - Accent2 62" xfId="14577"/>
    <cellStyle name="40% - Accent2 62 2" xfId="14578"/>
    <cellStyle name="40% - Accent2 62 2 2" xfId="14579"/>
    <cellStyle name="40% - Accent2 62 3" xfId="14580"/>
    <cellStyle name="40% - Accent2 62 3 2" xfId="14581"/>
    <cellStyle name="40% - Accent2 62 4" xfId="14582"/>
    <cellStyle name="40% - Accent2 62 5" xfId="14583"/>
    <cellStyle name="40% - Accent2 63" xfId="14584"/>
    <cellStyle name="40% - Accent2 63 2" xfId="14585"/>
    <cellStyle name="40% - Accent2 63 2 2" xfId="14586"/>
    <cellStyle name="40% - Accent2 63 3" xfId="14587"/>
    <cellStyle name="40% - Accent2 63 3 2" xfId="14588"/>
    <cellStyle name="40% - Accent2 63 4" xfId="14589"/>
    <cellStyle name="40% - Accent2 63 5" xfId="14590"/>
    <cellStyle name="40% - Accent2 64" xfId="14591"/>
    <cellStyle name="40% - Accent2 64 2" xfId="14592"/>
    <cellStyle name="40% - Accent2 64 2 2" xfId="14593"/>
    <cellStyle name="40% - Accent2 64 3" xfId="14594"/>
    <cellStyle name="40% - Accent2 64 3 2" xfId="14595"/>
    <cellStyle name="40% - Accent2 64 4" xfId="14596"/>
    <cellStyle name="40% - Accent2 64 5" xfId="14597"/>
    <cellStyle name="40% - Accent2 65" xfId="14598"/>
    <cellStyle name="40% - Accent2 65 2" xfId="14599"/>
    <cellStyle name="40% - Accent2 65 2 2" xfId="14600"/>
    <cellStyle name="40% - Accent2 65 3" xfId="14601"/>
    <cellStyle name="40% - Accent2 65 3 2" xfId="14602"/>
    <cellStyle name="40% - Accent2 65 4" xfId="14603"/>
    <cellStyle name="40% - Accent2 65 5" xfId="14604"/>
    <cellStyle name="40% - Accent2 66" xfId="14605"/>
    <cellStyle name="40% - Accent2 66 2" xfId="14606"/>
    <cellStyle name="40% - Accent2 66 2 2" xfId="14607"/>
    <cellStyle name="40% - Accent2 66 3" xfId="14608"/>
    <cellStyle name="40% - Accent2 66 3 2" xfId="14609"/>
    <cellStyle name="40% - Accent2 66 4" xfId="14610"/>
    <cellStyle name="40% - Accent2 66 5" xfId="14611"/>
    <cellStyle name="40% - Accent2 67" xfId="14612"/>
    <cellStyle name="40% - Accent2 67 2" xfId="14613"/>
    <cellStyle name="40% - Accent2 67 2 2" xfId="14614"/>
    <cellStyle name="40% - Accent2 67 3" xfId="14615"/>
    <cellStyle name="40% - Accent2 67 3 2" xfId="14616"/>
    <cellStyle name="40% - Accent2 67 4" xfId="14617"/>
    <cellStyle name="40% - Accent2 67 5" xfId="14618"/>
    <cellStyle name="40% - Accent2 68" xfId="14619"/>
    <cellStyle name="40% - Accent2 68 2" xfId="14620"/>
    <cellStyle name="40% - Accent2 68 2 2" xfId="14621"/>
    <cellStyle name="40% - Accent2 68 3" xfId="14622"/>
    <cellStyle name="40% - Accent2 68 3 2" xfId="14623"/>
    <cellStyle name="40% - Accent2 68 4" xfId="14624"/>
    <cellStyle name="40% - Accent2 68 5" xfId="14625"/>
    <cellStyle name="40% - Accent2 69" xfId="14626"/>
    <cellStyle name="40% - Accent2 69 2" xfId="14627"/>
    <cellStyle name="40% - Accent2 69 2 2" xfId="14628"/>
    <cellStyle name="40% - Accent2 69 3" xfId="14629"/>
    <cellStyle name="40% - Accent2 69 3 2" xfId="14630"/>
    <cellStyle name="40% - Accent2 69 4" xfId="14631"/>
    <cellStyle name="40% - Accent2 69 5" xfId="14632"/>
    <cellStyle name="40% - Accent2 7" xfId="14633"/>
    <cellStyle name="40% - Accent2 7 2" xfId="14634"/>
    <cellStyle name="40% - Accent2 7 2 2" xfId="14635"/>
    <cellStyle name="40% - Accent2 7 2 2 2" xfId="14636"/>
    <cellStyle name="40% - Accent2 7 2 3" xfId="14637"/>
    <cellStyle name="40% - Accent2 7 2 3 2" xfId="14638"/>
    <cellStyle name="40% - Accent2 7 2 4" xfId="14639"/>
    <cellStyle name="40% - Accent2 7 3" xfId="14640"/>
    <cellStyle name="40% - Accent2 7 3 2" xfId="14641"/>
    <cellStyle name="40% - Accent2 7 3 2 2" xfId="14642"/>
    <cellStyle name="40% - Accent2 7 3 3" xfId="14643"/>
    <cellStyle name="40% - Accent2 7 3 3 2" xfId="14644"/>
    <cellStyle name="40% - Accent2 7 3 4" xfId="14645"/>
    <cellStyle name="40% - Accent2 7 4" xfId="14646"/>
    <cellStyle name="40% - Accent2 7 4 2" xfId="14647"/>
    <cellStyle name="40% - Accent2 7 5" xfId="14648"/>
    <cellStyle name="40% - Accent2 7 5 2" xfId="14649"/>
    <cellStyle name="40% - Accent2 7 6" xfId="14650"/>
    <cellStyle name="40% - Accent2 70" xfId="14651"/>
    <cellStyle name="40% - Accent2 70 2" xfId="14652"/>
    <cellStyle name="40% - Accent2 70 2 2" xfId="14653"/>
    <cellStyle name="40% - Accent2 70 3" xfId="14654"/>
    <cellStyle name="40% - Accent2 70 3 2" xfId="14655"/>
    <cellStyle name="40% - Accent2 70 4" xfId="14656"/>
    <cellStyle name="40% - Accent2 71" xfId="14657"/>
    <cellStyle name="40% - Accent2 71 2" xfId="14658"/>
    <cellStyle name="40% - Accent2 71 2 2" xfId="14659"/>
    <cellStyle name="40% - Accent2 71 3" xfId="14660"/>
    <cellStyle name="40% - Accent2 71 3 2" xfId="14661"/>
    <cellStyle name="40% - Accent2 71 4" xfId="14662"/>
    <cellStyle name="40% - Accent2 72" xfId="14663"/>
    <cellStyle name="40% - Accent2 72 2" xfId="14664"/>
    <cellStyle name="40% - Accent2 72 2 2" xfId="14665"/>
    <cellStyle name="40% - Accent2 72 3" xfId="14666"/>
    <cellStyle name="40% - Accent2 72 3 2" xfId="14667"/>
    <cellStyle name="40% - Accent2 72 4" xfId="14668"/>
    <cellStyle name="40% - Accent2 73" xfId="14669"/>
    <cellStyle name="40% - Accent2 73 2" xfId="14670"/>
    <cellStyle name="40% - Accent2 73 2 2" xfId="14671"/>
    <cellStyle name="40% - Accent2 73 3" xfId="14672"/>
    <cellStyle name="40% - Accent2 73 3 2" xfId="14673"/>
    <cellStyle name="40% - Accent2 73 4" xfId="14674"/>
    <cellStyle name="40% - Accent2 74" xfId="14675"/>
    <cellStyle name="40% - Accent2 74 2" xfId="14676"/>
    <cellStyle name="40% - Accent2 74 2 2" xfId="14677"/>
    <cellStyle name="40% - Accent2 74 3" xfId="14678"/>
    <cellStyle name="40% - Accent2 74 3 2" xfId="14679"/>
    <cellStyle name="40% - Accent2 74 4" xfId="14680"/>
    <cellStyle name="40% - Accent2 75" xfId="14681"/>
    <cellStyle name="40% - Accent2 75 2" xfId="14682"/>
    <cellStyle name="40% - Accent2 75 2 2" xfId="14683"/>
    <cellStyle name="40% - Accent2 75 3" xfId="14684"/>
    <cellStyle name="40% - Accent2 75 3 2" xfId="14685"/>
    <cellStyle name="40% - Accent2 75 4" xfId="14686"/>
    <cellStyle name="40% - Accent2 76" xfId="14687"/>
    <cellStyle name="40% - Accent2 76 2" xfId="14688"/>
    <cellStyle name="40% - Accent2 76 2 2" xfId="14689"/>
    <cellStyle name="40% - Accent2 76 3" xfId="14690"/>
    <cellStyle name="40% - Accent2 76 3 2" xfId="14691"/>
    <cellStyle name="40% - Accent2 76 4" xfId="14692"/>
    <cellStyle name="40% - Accent2 77" xfId="14693"/>
    <cellStyle name="40% - Accent2 77 2" xfId="14694"/>
    <cellStyle name="40% - Accent2 77 2 2" xfId="14695"/>
    <cellStyle name="40% - Accent2 77 3" xfId="14696"/>
    <cellStyle name="40% - Accent2 77 3 2" xfId="14697"/>
    <cellStyle name="40% - Accent2 77 4" xfId="14698"/>
    <cellStyle name="40% - Accent2 78" xfId="14699"/>
    <cellStyle name="40% - Accent2 78 2" xfId="14700"/>
    <cellStyle name="40% - Accent2 78 2 2" xfId="14701"/>
    <cellStyle name="40% - Accent2 78 3" xfId="14702"/>
    <cellStyle name="40% - Accent2 78 3 2" xfId="14703"/>
    <cellStyle name="40% - Accent2 78 4" xfId="14704"/>
    <cellStyle name="40% - Accent2 79" xfId="14705"/>
    <cellStyle name="40% - Accent2 79 2" xfId="14706"/>
    <cellStyle name="40% - Accent2 79 2 2" xfId="14707"/>
    <cellStyle name="40% - Accent2 79 3" xfId="14708"/>
    <cellStyle name="40% - Accent2 79 3 2" xfId="14709"/>
    <cellStyle name="40% - Accent2 79 4" xfId="14710"/>
    <cellStyle name="40% - Accent2 8" xfId="14711"/>
    <cellStyle name="40% - Accent2 8 2" xfId="14712"/>
    <cellStyle name="40% - Accent2 8 2 2" xfId="14713"/>
    <cellStyle name="40% - Accent2 8 2 2 2" xfId="14714"/>
    <cellStyle name="40% - Accent2 8 2 3" xfId="14715"/>
    <cellStyle name="40% - Accent2 8 2 3 2" xfId="14716"/>
    <cellStyle name="40% - Accent2 8 2 4" xfId="14717"/>
    <cellStyle name="40% - Accent2 8 3" xfId="14718"/>
    <cellStyle name="40% - Accent2 8 3 2" xfId="14719"/>
    <cellStyle name="40% - Accent2 8 3 2 2" xfId="14720"/>
    <cellStyle name="40% - Accent2 8 3 3" xfId="14721"/>
    <cellStyle name="40% - Accent2 8 3 3 2" xfId="14722"/>
    <cellStyle name="40% - Accent2 8 3 4" xfId="14723"/>
    <cellStyle name="40% - Accent2 8 4" xfId="14724"/>
    <cellStyle name="40% - Accent2 8 4 2" xfId="14725"/>
    <cellStyle name="40% - Accent2 8 5" xfId="14726"/>
    <cellStyle name="40% - Accent2 8 5 2" xfId="14727"/>
    <cellStyle name="40% - Accent2 8 6" xfId="14728"/>
    <cellStyle name="40% - Accent2 80" xfId="14729"/>
    <cellStyle name="40% - Accent2 80 2" xfId="14730"/>
    <cellStyle name="40% - Accent2 80 2 2" xfId="14731"/>
    <cellStyle name="40% - Accent2 80 3" xfId="14732"/>
    <cellStyle name="40% - Accent2 80 3 2" xfId="14733"/>
    <cellStyle name="40% - Accent2 80 4" xfId="14734"/>
    <cellStyle name="40% - Accent2 81" xfId="14735"/>
    <cellStyle name="40% - Accent2 81 2" xfId="14736"/>
    <cellStyle name="40% - Accent2 81 2 2" xfId="14737"/>
    <cellStyle name="40% - Accent2 81 3" xfId="14738"/>
    <cellStyle name="40% - Accent2 81 3 2" xfId="14739"/>
    <cellStyle name="40% - Accent2 81 4" xfId="14740"/>
    <cellStyle name="40% - Accent2 82" xfId="14741"/>
    <cellStyle name="40% - Accent2 82 2" xfId="14742"/>
    <cellStyle name="40% - Accent2 82 2 2" xfId="14743"/>
    <cellStyle name="40% - Accent2 82 3" xfId="14744"/>
    <cellStyle name="40% - Accent2 82 3 2" xfId="14745"/>
    <cellStyle name="40% - Accent2 82 4" xfId="14746"/>
    <cellStyle name="40% - Accent2 83" xfId="14747"/>
    <cellStyle name="40% - Accent2 83 2" xfId="14748"/>
    <cellStyle name="40% - Accent2 83 2 2" xfId="14749"/>
    <cellStyle name="40% - Accent2 83 3" xfId="14750"/>
    <cellStyle name="40% - Accent2 83 3 2" xfId="14751"/>
    <cellStyle name="40% - Accent2 83 4" xfId="14752"/>
    <cellStyle name="40% - Accent2 84" xfId="14753"/>
    <cellStyle name="40% - Accent2 84 2" xfId="14754"/>
    <cellStyle name="40% - Accent2 84 2 2" xfId="14755"/>
    <cellStyle name="40% - Accent2 84 3" xfId="14756"/>
    <cellStyle name="40% - Accent2 84 3 2" xfId="14757"/>
    <cellStyle name="40% - Accent2 84 4" xfId="14758"/>
    <cellStyle name="40% - Accent2 85" xfId="14759"/>
    <cellStyle name="40% - Accent2 85 2" xfId="14760"/>
    <cellStyle name="40% - Accent2 85 2 2" xfId="14761"/>
    <cellStyle name="40% - Accent2 85 3" xfId="14762"/>
    <cellStyle name="40% - Accent2 85 3 2" xfId="14763"/>
    <cellStyle name="40% - Accent2 85 4" xfId="14764"/>
    <cellStyle name="40% - Accent2 86" xfId="14765"/>
    <cellStyle name="40% - Accent2 86 2" xfId="14766"/>
    <cellStyle name="40% - Accent2 86 2 2" xfId="14767"/>
    <cellStyle name="40% - Accent2 86 3" xfId="14768"/>
    <cellStyle name="40% - Accent2 86 3 2" xfId="14769"/>
    <cellStyle name="40% - Accent2 86 4" xfId="14770"/>
    <cellStyle name="40% - Accent2 87" xfId="14771"/>
    <cellStyle name="40% - Accent2 87 2" xfId="14772"/>
    <cellStyle name="40% - Accent2 87 2 2" xfId="14773"/>
    <cellStyle name="40% - Accent2 87 3" xfId="14774"/>
    <cellStyle name="40% - Accent2 87 3 2" xfId="14775"/>
    <cellStyle name="40% - Accent2 87 4" xfId="14776"/>
    <cellStyle name="40% - Accent2 88" xfId="14777"/>
    <cellStyle name="40% - Accent2 88 2" xfId="14778"/>
    <cellStyle name="40% - Accent2 88 2 2" xfId="14779"/>
    <cellStyle name="40% - Accent2 88 3" xfId="14780"/>
    <cellStyle name="40% - Accent2 88 3 2" xfId="14781"/>
    <cellStyle name="40% - Accent2 88 4" xfId="14782"/>
    <cellStyle name="40% - Accent2 89" xfId="14783"/>
    <cellStyle name="40% - Accent2 89 2" xfId="14784"/>
    <cellStyle name="40% - Accent2 89 2 2" xfId="14785"/>
    <cellStyle name="40% - Accent2 89 3" xfId="14786"/>
    <cellStyle name="40% - Accent2 89 3 2" xfId="14787"/>
    <cellStyle name="40% - Accent2 89 4" xfId="14788"/>
    <cellStyle name="40% - Accent2 9" xfId="14789"/>
    <cellStyle name="40% - Accent2 9 2" xfId="14790"/>
    <cellStyle name="40% - Accent2 9 2 2" xfId="14791"/>
    <cellStyle name="40% - Accent2 9 2 2 2" xfId="14792"/>
    <cellStyle name="40% - Accent2 9 2 3" xfId="14793"/>
    <cellStyle name="40% - Accent2 9 2 3 2" xfId="14794"/>
    <cellStyle name="40% - Accent2 9 2 4" xfId="14795"/>
    <cellStyle name="40% - Accent2 9 3" xfId="14796"/>
    <cellStyle name="40% - Accent2 9 3 2" xfId="14797"/>
    <cellStyle name="40% - Accent2 9 3 2 2" xfId="14798"/>
    <cellStyle name="40% - Accent2 9 3 3" xfId="14799"/>
    <cellStyle name="40% - Accent2 9 3 3 2" xfId="14800"/>
    <cellStyle name="40% - Accent2 9 3 4" xfId="14801"/>
    <cellStyle name="40% - Accent2 9 4" xfId="14802"/>
    <cellStyle name="40% - Accent2 9 4 2" xfId="14803"/>
    <cellStyle name="40% - Accent2 9 5" xfId="14804"/>
    <cellStyle name="40% - Accent2 9 5 2" xfId="14805"/>
    <cellStyle name="40% - Accent2 9 6" xfId="14806"/>
    <cellStyle name="40% - Accent2 90" xfId="14807"/>
    <cellStyle name="40% - Accent2 90 2" xfId="14808"/>
    <cellStyle name="40% - Accent2 90 2 2" xfId="14809"/>
    <cellStyle name="40% - Accent2 90 3" xfId="14810"/>
    <cellStyle name="40% - Accent2 90 3 2" xfId="14811"/>
    <cellStyle name="40% - Accent2 90 4" xfId="14812"/>
    <cellStyle name="40% - Accent2 91" xfId="14813"/>
    <cellStyle name="40% - Accent2 91 2" xfId="14814"/>
    <cellStyle name="40% - Accent2 91 2 2" xfId="14815"/>
    <cellStyle name="40% - Accent2 91 3" xfId="14816"/>
    <cellStyle name="40% - Accent2 91 3 2" xfId="14817"/>
    <cellStyle name="40% - Accent2 91 4" xfId="14818"/>
    <cellStyle name="40% - Accent2 92" xfId="14819"/>
    <cellStyle name="40% - Accent2 92 2" xfId="14820"/>
    <cellStyle name="40% - Accent2 92 2 2" xfId="14821"/>
    <cellStyle name="40% - Accent2 92 3" xfId="14822"/>
    <cellStyle name="40% - Accent2 92 3 2" xfId="14823"/>
    <cellStyle name="40% - Accent2 92 4" xfId="14824"/>
    <cellStyle name="40% - Accent2 93" xfId="14825"/>
    <cellStyle name="40% - Accent2 93 2" xfId="14826"/>
    <cellStyle name="40% - Accent2 93 2 2" xfId="14827"/>
    <cellStyle name="40% - Accent2 93 3" xfId="14828"/>
    <cellStyle name="40% - Accent2 93 3 2" xfId="14829"/>
    <cellStyle name="40% - Accent2 93 4" xfId="14830"/>
    <cellStyle name="40% - Accent2 94" xfId="14831"/>
    <cellStyle name="40% - Accent2 94 2" xfId="14832"/>
    <cellStyle name="40% - Accent2 94 2 2" xfId="14833"/>
    <cellStyle name="40% - Accent2 94 3" xfId="14834"/>
    <cellStyle name="40% - Accent2 94 3 2" xfId="14835"/>
    <cellStyle name="40% - Accent2 94 4" xfId="14836"/>
    <cellStyle name="40% - Accent2 95" xfId="14837"/>
    <cellStyle name="40% - Accent2 95 2" xfId="14838"/>
    <cellStyle name="40% - Accent2 95 2 2" xfId="14839"/>
    <cellStyle name="40% - Accent2 95 3" xfId="14840"/>
    <cellStyle name="40% - Accent2 95 3 2" xfId="14841"/>
    <cellStyle name="40% - Accent2 95 4" xfId="14842"/>
    <cellStyle name="40% - Accent2 96" xfId="14843"/>
    <cellStyle name="40% - Accent2 96 2" xfId="14844"/>
    <cellStyle name="40% - Accent2 96 2 2" xfId="14845"/>
    <cellStyle name="40% - Accent2 96 3" xfId="14846"/>
    <cellStyle name="40% - Accent2 96 3 2" xfId="14847"/>
    <cellStyle name="40% - Accent2 96 4" xfId="14848"/>
    <cellStyle name="40% - Accent2 97" xfId="14849"/>
    <cellStyle name="40% - Accent2 97 2" xfId="14850"/>
    <cellStyle name="40% - Accent2 97 2 2" xfId="14851"/>
    <cellStyle name="40% - Accent2 97 3" xfId="14852"/>
    <cellStyle name="40% - Accent2 97 3 2" xfId="14853"/>
    <cellStyle name="40% - Accent2 97 4" xfId="14854"/>
    <cellStyle name="40% - Accent2 98" xfId="14855"/>
    <cellStyle name="40% - Accent2 98 2" xfId="14856"/>
    <cellStyle name="40% - Accent2 98 2 2" xfId="14857"/>
    <cellStyle name="40% - Accent2 98 3" xfId="14858"/>
    <cellStyle name="40% - Accent2 98 3 2" xfId="14859"/>
    <cellStyle name="40% - Accent2 98 4" xfId="14860"/>
    <cellStyle name="40% - Accent2 99" xfId="14861"/>
    <cellStyle name="40% - Accent2 99 2" xfId="14862"/>
    <cellStyle name="40% - Accent2 99 2 2" xfId="14863"/>
    <cellStyle name="40% - Accent2 99 3" xfId="14864"/>
    <cellStyle name="40% - Accent2 99 3 2" xfId="14865"/>
    <cellStyle name="40% - Accent2 99 4" xfId="14866"/>
    <cellStyle name="40% - Accent3 10" xfId="14867"/>
    <cellStyle name="40% - Accent3 10 2" xfId="14868"/>
    <cellStyle name="40% - Accent3 10 2 2" xfId="14869"/>
    <cellStyle name="40% - Accent3 10 2 2 2" xfId="14870"/>
    <cellStyle name="40% - Accent3 10 2 3" xfId="14871"/>
    <cellStyle name="40% - Accent3 10 2 3 2" xfId="14872"/>
    <cellStyle name="40% - Accent3 10 2 4" xfId="14873"/>
    <cellStyle name="40% - Accent3 10 3" xfId="14874"/>
    <cellStyle name="40% - Accent3 10 3 2" xfId="14875"/>
    <cellStyle name="40% - Accent3 10 3 2 2" xfId="14876"/>
    <cellStyle name="40% - Accent3 10 3 3" xfId="14877"/>
    <cellStyle name="40% - Accent3 10 3 3 2" xfId="14878"/>
    <cellStyle name="40% - Accent3 10 3 4" xfId="14879"/>
    <cellStyle name="40% - Accent3 10 4" xfId="14880"/>
    <cellStyle name="40% - Accent3 10 4 2" xfId="14881"/>
    <cellStyle name="40% - Accent3 10 5" xfId="14882"/>
    <cellStyle name="40% - Accent3 10 5 2" xfId="14883"/>
    <cellStyle name="40% - Accent3 10 6" xfId="14884"/>
    <cellStyle name="40% - Accent3 100" xfId="14885"/>
    <cellStyle name="40% - Accent3 100 2" xfId="14886"/>
    <cellStyle name="40% - Accent3 100 2 2" xfId="14887"/>
    <cellStyle name="40% - Accent3 100 3" xfId="14888"/>
    <cellStyle name="40% - Accent3 100 3 2" xfId="14889"/>
    <cellStyle name="40% - Accent3 100 4" xfId="14890"/>
    <cellStyle name="40% - Accent3 101" xfId="14891"/>
    <cellStyle name="40% - Accent3 101 2" xfId="14892"/>
    <cellStyle name="40% - Accent3 101 2 2" xfId="14893"/>
    <cellStyle name="40% - Accent3 101 3" xfId="14894"/>
    <cellStyle name="40% - Accent3 101 3 2" xfId="14895"/>
    <cellStyle name="40% - Accent3 101 4" xfId="14896"/>
    <cellStyle name="40% - Accent3 102" xfId="14897"/>
    <cellStyle name="40% - Accent3 102 2" xfId="14898"/>
    <cellStyle name="40% - Accent3 102 2 2" xfId="14899"/>
    <cellStyle name="40% - Accent3 102 3" xfId="14900"/>
    <cellStyle name="40% - Accent3 102 3 2" xfId="14901"/>
    <cellStyle name="40% - Accent3 102 4" xfId="14902"/>
    <cellStyle name="40% - Accent3 103" xfId="14903"/>
    <cellStyle name="40% - Accent3 103 2" xfId="14904"/>
    <cellStyle name="40% - Accent3 103 2 2" xfId="14905"/>
    <cellStyle name="40% - Accent3 103 3" xfId="14906"/>
    <cellStyle name="40% - Accent3 103 3 2" xfId="14907"/>
    <cellStyle name="40% - Accent3 103 4" xfId="14908"/>
    <cellStyle name="40% - Accent3 104" xfId="14909"/>
    <cellStyle name="40% - Accent3 104 2" xfId="14910"/>
    <cellStyle name="40% - Accent3 104 2 2" xfId="14911"/>
    <cellStyle name="40% - Accent3 104 3" xfId="14912"/>
    <cellStyle name="40% - Accent3 104 3 2" xfId="14913"/>
    <cellStyle name="40% - Accent3 104 4" xfId="14914"/>
    <cellStyle name="40% - Accent3 105" xfId="14915"/>
    <cellStyle name="40% - Accent3 105 2" xfId="14916"/>
    <cellStyle name="40% - Accent3 105 2 2" xfId="14917"/>
    <cellStyle name="40% - Accent3 105 3" xfId="14918"/>
    <cellStyle name="40% - Accent3 105 3 2" xfId="14919"/>
    <cellStyle name="40% - Accent3 105 4" xfId="14920"/>
    <cellStyle name="40% - Accent3 106" xfId="14921"/>
    <cellStyle name="40% - Accent3 106 2" xfId="14922"/>
    <cellStyle name="40% - Accent3 106 2 2" xfId="14923"/>
    <cellStyle name="40% - Accent3 106 3" xfId="14924"/>
    <cellStyle name="40% - Accent3 106 3 2" xfId="14925"/>
    <cellStyle name="40% - Accent3 106 4" xfId="14926"/>
    <cellStyle name="40% - Accent3 107" xfId="14927"/>
    <cellStyle name="40% - Accent3 107 2" xfId="14928"/>
    <cellStyle name="40% - Accent3 107 2 2" xfId="14929"/>
    <cellStyle name="40% - Accent3 107 3" xfId="14930"/>
    <cellStyle name="40% - Accent3 107 3 2" xfId="14931"/>
    <cellStyle name="40% - Accent3 107 4" xfId="14932"/>
    <cellStyle name="40% - Accent3 108" xfId="14933"/>
    <cellStyle name="40% - Accent3 108 2" xfId="14934"/>
    <cellStyle name="40% - Accent3 108 2 2" xfId="14935"/>
    <cellStyle name="40% - Accent3 108 3" xfId="14936"/>
    <cellStyle name="40% - Accent3 108 3 2" xfId="14937"/>
    <cellStyle name="40% - Accent3 108 4" xfId="14938"/>
    <cellStyle name="40% - Accent3 109" xfId="14939"/>
    <cellStyle name="40% - Accent3 109 2" xfId="14940"/>
    <cellStyle name="40% - Accent3 109 2 2" xfId="14941"/>
    <cellStyle name="40% - Accent3 109 3" xfId="14942"/>
    <cellStyle name="40% - Accent3 109 3 2" xfId="14943"/>
    <cellStyle name="40% - Accent3 109 4" xfId="14944"/>
    <cellStyle name="40% - Accent3 11" xfId="14945"/>
    <cellStyle name="40% - Accent3 11 2" xfId="14946"/>
    <cellStyle name="40% - Accent3 11 2 2" xfId="14947"/>
    <cellStyle name="40% - Accent3 11 2 2 2" xfId="14948"/>
    <cellStyle name="40% - Accent3 11 2 3" xfId="14949"/>
    <cellStyle name="40% - Accent3 11 2 3 2" xfId="14950"/>
    <cellStyle name="40% - Accent3 11 2 4" xfId="14951"/>
    <cellStyle name="40% - Accent3 11 3" xfId="14952"/>
    <cellStyle name="40% - Accent3 11 3 2" xfId="14953"/>
    <cellStyle name="40% - Accent3 11 3 2 2" xfId="14954"/>
    <cellStyle name="40% - Accent3 11 3 3" xfId="14955"/>
    <cellStyle name="40% - Accent3 11 3 3 2" xfId="14956"/>
    <cellStyle name="40% - Accent3 11 3 4" xfId="14957"/>
    <cellStyle name="40% - Accent3 11 4" xfId="14958"/>
    <cellStyle name="40% - Accent3 11 4 2" xfId="14959"/>
    <cellStyle name="40% - Accent3 11 5" xfId="14960"/>
    <cellStyle name="40% - Accent3 11 5 2" xfId="14961"/>
    <cellStyle name="40% - Accent3 11 6" xfId="14962"/>
    <cellStyle name="40% - Accent3 110" xfId="14963"/>
    <cellStyle name="40% - Accent3 110 2" xfId="14964"/>
    <cellStyle name="40% - Accent3 110 2 2" xfId="14965"/>
    <cellStyle name="40% - Accent3 110 3" xfId="14966"/>
    <cellStyle name="40% - Accent3 110 3 2" xfId="14967"/>
    <cellStyle name="40% - Accent3 110 4" xfId="14968"/>
    <cellStyle name="40% - Accent3 111" xfId="14969"/>
    <cellStyle name="40% - Accent3 111 2" xfId="14970"/>
    <cellStyle name="40% - Accent3 111 2 2" xfId="14971"/>
    <cellStyle name="40% - Accent3 111 3" xfId="14972"/>
    <cellStyle name="40% - Accent3 111 3 2" xfId="14973"/>
    <cellStyle name="40% - Accent3 111 4" xfId="14974"/>
    <cellStyle name="40% - Accent3 112" xfId="14975"/>
    <cellStyle name="40% - Accent3 112 2" xfId="14976"/>
    <cellStyle name="40% - Accent3 112 2 2" xfId="14977"/>
    <cellStyle name="40% - Accent3 112 3" xfId="14978"/>
    <cellStyle name="40% - Accent3 112 3 2" xfId="14979"/>
    <cellStyle name="40% - Accent3 112 4" xfId="14980"/>
    <cellStyle name="40% - Accent3 113" xfId="14981"/>
    <cellStyle name="40% - Accent3 113 2" xfId="14982"/>
    <cellStyle name="40% - Accent3 113 2 2" xfId="14983"/>
    <cellStyle name="40% - Accent3 113 3" xfId="14984"/>
    <cellStyle name="40% - Accent3 113 3 2" xfId="14985"/>
    <cellStyle name="40% - Accent3 113 4" xfId="14986"/>
    <cellStyle name="40% - Accent3 114" xfId="14987"/>
    <cellStyle name="40% - Accent3 114 2" xfId="14988"/>
    <cellStyle name="40% - Accent3 114 2 2" xfId="14989"/>
    <cellStyle name="40% - Accent3 114 3" xfId="14990"/>
    <cellStyle name="40% - Accent3 114 3 2" xfId="14991"/>
    <cellStyle name="40% - Accent3 114 4" xfId="14992"/>
    <cellStyle name="40% - Accent3 115" xfId="14993"/>
    <cellStyle name="40% - Accent3 115 2" xfId="14994"/>
    <cellStyle name="40% - Accent3 115 2 2" xfId="14995"/>
    <cellStyle name="40% - Accent3 115 3" xfId="14996"/>
    <cellStyle name="40% - Accent3 115 3 2" xfId="14997"/>
    <cellStyle name="40% - Accent3 115 4" xfId="14998"/>
    <cellStyle name="40% - Accent3 116" xfId="14999"/>
    <cellStyle name="40% - Accent3 116 2" xfId="15000"/>
    <cellStyle name="40% - Accent3 116 2 2" xfId="15001"/>
    <cellStyle name="40% - Accent3 116 3" xfId="15002"/>
    <cellStyle name="40% - Accent3 116 3 2" xfId="15003"/>
    <cellStyle name="40% - Accent3 116 4" xfId="15004"/>
    <cellStyle name="40% - Accent3 117" xfId="15005"/>
    <cellStyle name="40% - Accent3 117 2" xfId="15006"/>
    <cellStyle name="40% - Accent3 117 2 2" xfId="15007"/>
    <cellStyle name="40% - Accent3 117 3" xfId="15008"/>
    <cellStyle name="40% - Accent3 117 3 2" xfId="15009"/>
    <cellStyle name="40% - Accent3 117 4" xfId="15010"/>
    <cellStyle name="40% - Accent3 118" xfId="15011"/>
    <cellStyle name="40% - Accent3 118 2" xfId="15012"/>
    <cellStyle name="40% - Accent3 118 2 2" xfId="15013"/>
    <cellStyle name="40% - Accent3 118 3" xfId="15014"/>
    <cellStyle name="40% - Accent3 118 3 2" xfId="15015"/>
    <cellStyle name="40% - Accent3 118 4" xfId="15016"/>
    <cellStyle name="40% - Accent3 119" xfId="15017"/>
    <cellStyle name="40% - Accent3 119 2" xfId="15018"/>
    <cellStyle name="40% - Accent3 119 2 2" xfId="15019"/>
    <cellStyle name="40% - Accent3 119 3" xfId="15020"/>
    <cellStyle name="40% - Accent3 119 3 2" xfId="15021"/>
    <cellStyle name="40% - Accent3 119 4" xfId="15022"/>
    <cellStyle name="40% - Accent3 12" xfId="15023"/>
    <cellStyle name="40% - Accent3 12 2" xfId="15024"/>
    <cellStyle name="40% - Accent3 12 2 2" xfId="15025"/>
    <cellStyle name="40% - Accent3 12 2 2 2" xfId="15026"/>
    <cellStyle name="40% - Accent3 12 2 3" xfId="15027"/>
    <cellStyle name="40% - Accent3 12 2 3 2" xfId="15028"/>
    <cellStyle name="40% - Accent3 12 2 4" xfId="15029"/>
    <cellStyle name="40% - Accent3 12 3" xfId="15030"/>
    <cellStyle name="40% - Accent3 12 3 2" xfId="15031"/>
    <cellStyle name="40% - Accent3 12 3 2 2" xfId="15032"/>
    <cellStyle name="40% - Accent3 12 3 3" xfId="15033"/>
    <cellStyle name="40% - Accent3 12 3 3 2" xfId="15034"/>
    <cellStyle name="40% - Accent3 12 3 4" xfId="15035"/>
    <cellStyle name="40% - Accent3 12 4" xfId="15036"/>
    <cellStyle name="40% - Accent3 12 4 2" xfId="15037"/>
    <cellStyle name="40% - Accent3 12 5" xfId="15038"/>
    <cellStyle name="40% - Accent3 12 5 2" xfId="15039"/>
    <cellStyle name="40% - Accent3 12 6" xfId="15040"/>
    <cellStyle name="40% - Accent3 120" xfId="15041"/>
    <cellStyle name="40% - Accent3 120 2" xfId="15042"/>
    <cellStyle name="40% - Accent3 120 2 2" xfId="15043"/>
    <cellStyle name="40% - Accent3 120 3" xfId="15044"/>
    <cellStyle name="40% - Accent3 120 3 2" xfId="15045"/>
    <cellStyle name="40% - Accent3 120 4" xfId="15046"/>
    <cellStyle name="40% - Accent3 121" xfId="15047"/>
    <cellStyle name="40% - Accent3 121 2" xfId="15048"/>
    <cellStyle name="40% - Accent3 121 2 2" xfId="15049"/>
    <cellStyle name="40% - Accent3 121 3" xfId="15050"/>
    <cellStyle name="40% - Accent3 121 3 2" xfId="15051"/>
    <cellStyle name="40% - Accent3 121 4" xfId="15052"/>
    <cellStyle name="40% - Accent3 122" xfId="15053"/>
    <cellStyle name="40% - Accent3 122 2" xfId="15054"/>
    <cellStyle name="40% - Accent3 122 2 2" xfId="15055"/>
    <cellStyle name="40% - Accent3 122 3" xfId="15056"/>
    <cellStyle name="40% - Accent3 122 3 2" xfId="15057"/>
    <cellStyle name="40% - Accent3 122 4" xfId="15058"/>
    <cellStyle name="40% - Accent3 123" xfId="15059"/>
    <cellStyle name="40% - Accent3 123 2" xfId="15060"/>
    <cellStyle name="40% - Accent3 123 2 2" xfId="15061"/>
    <cellStyle name="40% - Accent3 123 3" xfId="15062"/>
    <cellStyle name="40% - Accent3 123 3 2" xfId="15063"/>
    <cellStyle name="40% - Accent3 123 4" xfId="15064"/>
    <cellStyle name="40% - Accent3 124" xfId="15065"/>
    <cellStyle name="40% - Accent3 124 2" xfId="15066"/>
    <cellStyle name="40% - Accent3 124 2 2" xfId="15067"/>
    <cellStyle name="40% - Accent3 124 3" xfId="15068"/>
    <cellStyle name="40% - Accent3 124 3 2" xfId="15069"/>
    <cellStyle name="40% - Accent3 124 4" xfId="15070"/>
    <cellStyle name="40% - Accent3 125" xfId="15071"/>
    <cellStyle name="40% - Accent3 125 2" xfId="15072"/>
    <cellStyle name="40% - Accent3 125 2 2" xfId="15073"/>
    <cellStyle name="40% - Accent3 125 3" xfId="15074"/>
    <cellStyle name="40% - Accent3 125 3 2" xfId="15075"/>
    <cellStyle name="40% - Accent3 125 4" xfId="15076"/>
    <cellStyle name="40% - Accent3 126" xfId="15077"/>
    <cellStyle name="40% - Accent3 126 2" xfId="15078"/>
    <cellStyle name="40% - Accent3 126 2 2" xfId="15079"/>
    <cellStyle name="40% - Accent3 126 3" xfId="15080"/>
    <cellStyle name="40% - Accent3 126 3 2" xfId="15081"/>
    <cellStyle name="40% - Accent3 126 4" xfId="15082"/>
    <cellStyle name="40% - Accent3 127" xfId="15083"/>
    <cellStyle name="40% - Accent3 127 2" xfId="15084"/>
    <cellStyle name="40% - Accent3 127 2 2" xfId="15085"/>
    <cellStyle name="40% - Accent3 127 3" xfId="15086"/>
    <cellStyle name="40% - Accent3 127 3 2" xfId="15087"/>
    <cellStyle name="40% - Accent3 127 4" xfId="15088"/>
    <cellStyle name="40% - Accent3 128" xfId="15089"/>
    <cellStyle name="40% - Accent3 128 2" xfId="15090"/>
    <cellStyle name="40% - Accent3 128 2 2" xfId="15091"/>
    <cellStyle name="40% - Accent3 128 3" xfId="15092"/>
    <cellStyle name="40% - Accent3 128 3 2" xfId="15093"/>
    <cellStyle name="40% - Accent3 128 4" xfId="15094"/>
    <cellStyle name="40% - Accent3 129" xfId="15095"/>
    <cellStyle name="40% - Accent3 129 2" xfId="15096"/>
    <cellStyle name="40% - Accent3 129 2 2" xfId="15097"/>
    <cellStyle name="40% - Accent3 129 3" xfId="15098"/>
    <cellStyle name="40% - Accent3 129 3 2" xfId="15099"/>
    <cellStyle name="40% - Accent3 129 4" xfId="15100"/>
    <cellStyle name="40% - Accent3 13" xfId="15101"/>
    <cellStyle name="40% - Accent3 13 2" xfId="15102"/>
    <cellStyle name="40% - Accent3 13 2 2" xfId="15103"/>
    <cellStyle name="40% - Accent3 13 2 2 2" xfId="15104"/>
    <cellStyle name="40% - Accent3 13 2 3" xfId="15105"/>
    <cellStyle name="40% - Accent3 13 2 3 2" xfId="15106"/>
    <cellStyle name="40% - Accent3 13 2 4" xfId="15107"/>
    <cellStyle name="40% - Accent3 13 3" xfId="15108"/>
    <cellStyle name="40% - Accent3 13 3 2" xfId="15109"/>
    <cellStyle name="40% - Accent3 13 3 2 2" xfId="15110"/>
    <cellStyle name="40% - Accent3 13 3 3" xfId="15111"/>
    <cellStyle name="40% - Accent3 13 3 3 2" xfId="15112"/>
    <cellStyle name="40% - Accent3 13 3 4" xfId="15113"/>
    <cellStyle name="40% - Accent3 13 4" xfId="15114"/>
    <cellStyle name="40% - Accent3 13 4 2" xfId="15115"/>
    <cellStyle name="40% - Accent3 13 5" xfId="15116"/>
    <cellStyle name="40% - Accent3 13 5 2" xfId="15117"/>
    <cellStyle name="40% - Accent3 13 6" xfId="15118"/>
    <cellStyle name="40% - Accent3 130" xfId="15119"/>
    <cellStyle name="40% - Accent3 130 2" xfId="15120"/>
    <cellStyle name="40% - Accent3 130 2 2" xfId="15121"/>
    <cellStyle name="40% - Accent3 130 3" xfId="15122"/>
    <cellStyle name="40% - Accent3 130 3 2" xfId="15123"/>
    <cellStyle name="40% - Accent3 130 4" xfId="15124"/>
    <cellStyle name="40% - Accent3 131" xfId="15125"/>
    <cellStyle name="40% - Accent3 131 2" xfId="15126"/>
    <cellStyle name="40% - Accent3 131 2 2" xfId="15127"/>
    <cellStyle name="40% - Accent3 131 3" xfId="15128"/>
    <cellStyle name="40% - Accent3 131 3 2" xfId="15129"/>
    <cellStyle name="40% - Accent3 131 4" xfId="15130"/>
    <cellStyle name="40% - Accent3 132" xfId="15131"/>
    <cellStyle name="40% - Accent3 132 2" xfId="15132"/>
    <cellStyle name="40% - Accent3 132 2 2" xfId="15133"/>
    <cellStyle name="40% - Accent3 132 3" xfId="15134"/>
    <cellStyle name="40% - Accent3 132 3 2" xfId="15135"/>
    <cellStyle name="40% - Accent3 132 4" xfId="15136"/>
    <cellStyle name="40% - Accent3 133" xfId="15137"/>
    <cellStyle name="40% - Accent3 133 2" xfId="15138"/>
    <cellStyle name="40% - Accent3 133 2 2" xfId="15139"/>
    <cellStyle name="40% - Accent3 133 3" xfId="15140"/>
    <cellStyle name="40% - Accent3 133 3 2" xfId="15141"/>
    <cellStyle name="40% - Accent3 133 4" xfId="15142"/>
    <cellStyle name="40% - Accent3 134" xfId="15143"/>
    <cellStyle name="40% - Accent3 134 2" xfId="15144"/>
    <cellStyle name="40% - Accent3 134 2 2" xfId="15145"/>
    <cellStyle name="40% - Accent3 134 3" xfId="15146"/>
    <cellStyle name="40% - Accent3 134 3 2" xfId="15147"/>
    <cellStyle name="40% - Accent3 134 4" xfId="15148"/>
    <cellStyle name="40% - Accent3 135" xfId="15149"/>
    <cellStyle name="40% - Accent3 135 2" xfId="15150"/>
    <cellStyle name="40% - Accent3 135 2 2" xfId="15151"/>
    <cellStyle name="40% - Accent3 135 3" xfId="15152"/>
    <cellStyle name="40% - Accent3 135 3 2" xfId="15153"/>
    <cellStyle name="40% - Accent3 135 4" xfId="15154"/>
    <cellStyle name="40% - Accent3 136" xfId="15155"/>
    <cellStyle name="40% - Accent3 136 2" xfId="15156"/>
    <cellStyle name="40% - Accent3 136 2 2" xfId="15157"/>
    <cellStyle name="40% - Accent3 136 3" xfId="15158"/>
    <cellStyle name="40% - Accent3 136 3 2" xfId="15159"/>
    <cellStyle name="40% - Accent3 136 4" xfId="15160"/>
    <cellStyle name="40% - Accent3 137" xfId="15161"/>
    <cellStyle name="40% - Accent3 137 2" xfId="15162"/>
    <cellStyle name="40% - Accent3 137 2 2" xfId="15163"/>
    <cellStyle name="40% - Accent3 137 3" xfId="15164"/>
    <cellStyle name="40% - Accent3 137 3 2" xfId="15165"/>
    <cellStyle name="40% - Accent3 137 4" xfId="15166"/>
    <cellStyle name="40% - Accent3 138" xfId="15167"/>
    <cellStyle name="40% - Accent3 138 2" xfId="15168"/>
    <cellStyle name="40% - Accent3 138 2 2" xfId="15169"/>
    <cellStyle name="40% - Accent3 138 3" xfId="15170"/>
    <cellStyle name="40% - Accent3 138 3 2" xfId="15171"/>
    <cellStyle name="40% - Accent3 138 4" xfId="15172"/>
    <cellStyle name="40% - Accent3 139" xfId="15173"/>
    <cellStyle name="40% - Accent3 139 2" xfId="15174"/>
    <cellStyle name="40% - Accent3 139 2 2" xfId="15175"/>
    <cellStyle name="40% - Accent3 139 3" xfId="15176"/>
    <cellStyle name="40% - Accent3 139 3 2" xfId="15177"/>
    <cellStyle name="40% - Accent3 139 4" xfId="15178"/>
    <cellStyle name="40% - Accent3 14" xfId="15179"/>
    <cellStyle name="40% - Accent3 14 2" xfId="15180"/>
    <cellStyle name="40% - Accent3 14 2 2" xfId="15181"/>
    <cellStyle name="40% - Accent3 14 2 2 2" xfId="15182"/>
    <cellStyle name="40% - Accent3 14 2 3" xfId="15183"/>
    <cellStyle name="40% - Accent3 14 2 3 2" xfId="15184"/>
    <cellStyle name="40% - Accent3 14 2 4" xfId="15185"/>
    <cellStyle name="40% - Accent3 14 3" xfId="15186"/>
    <cellStyle name="40% - Accent3 14 3 2" xfId="15187"/>
    <cellStyle name="40% - Accent3 14 3 2 2" xfId="15188"/>
    <cellStyle name="40% - Accent3 14 3 3" xfId="15189"/>
    <cellStyle name="40% - Accent3 14 3 3 2" xfId="15190"/>
    <cellStyle name="40% - Accent3 14 3 4" xfId="15191"/>
    <cellStyle name="40% - Accent3 14 4" xfId="15192"/>
    <cellStyle name="40% - Accent3 14 4 2" xfId="15193"/>
    <cellStyle name="40% - Accent3 14 5" xfId="15194"/>
    <cellStyle name="40% - Accent3 14 5 2" xfId="15195"/>
    <cellStyle name="40% - Accent3 14 6" xfId="15196"/>
    <cellStyle name="40% - Accent3 140" xfId="15197"/>
    <cellStyle name="40% - Accent3 140 2" xfId="15198"/>
    <cellStyle name="40% - Accent3 140 2 2" xfId="15199"/>
    <cellStyle name="40% - Accent3 140 3" xfId="15200"/>
    <cellStyle name="40% - Accent3 140 3 2" xfId="15201"/>
    <cellStyle name="40% - Accent3 140 4" xfId="15202"/>
    <cellStyle name="40% - Accent3 141" xfId="15203"/>
    <cellStyle name="40% - Accent3 141 2" xfId="15204"/>
    <cellStyle name="40% - Accent3 141 2 2" xfId="15205"/>
    <cellStyle name="40% - Accent3 141 3" xfId="15206"/>
    <cellStyle name="40% - Accent3 141 3 2" xfId="15207"/>
    <cellStyle name="40% - Accent3 141 4" xfId="15208"/>
    <cellStyle name="40% - Accent3 142" xfId="15209"/>
    <cellStyle name="40% - Accent3 142 2" xfId="15210"/>
    <cellStyle name="40% - Accent3 142 2 2" xfId="15211"/>
    <cellStyle name="40% - Accent3 142 3" xfId="15212"/>
    <cellStyle name="40% - Accent3 142 3 2" xfId="15213"/>
    <cellStyle name="40% - Accent3 142 4" xfId="15214"/>
    <cellStyle name="40% - Accent3 143" xfId="15215"/>
    <cellStyle name="40% - Accent3 143 2" xfId="15216"/>
    <cellStyle name="40% - Accent3 143 2 2" xfId="15217"/>
    <cellStyle name="40% - Accent3 143 3" xfId="15218"/>
    <cellStyle name="40% - Accent3 143 3 2" xfId="15219"/>
    <cellStyle name="40% - Accent3 143 4" xfId="15220"/>
    <cellStyle name="40% - Accent3 144" xfId="15221"/>
    <cellStyle name="40% - Accent3 144 2" xfId="15222"/>
    <cellStyle name="40% - Accent3 144 2 2" xfId="15223"/>
    <cellStyle name="40% - Accent3 144 3" xfId="15224"/>
    <cellStyle name="40% - Accent3 144 3 2" xfId="15225"/>
    <cellStyle name="40% - Accent3 144 4" xfId="15226"/>
    <cellStyle name="40% - Accent3 145" xfId="15227"/>
    <cellStyle name="40% - Accent3 145 2" xfId="15228"/>
    <cellStyle name="40% - Accent3 145 2 2" xfId="15229"/>
    <cellStyle name="40% - Accent3 145 3" xfId="15230"/>
    <cellStyle name="40% - Accent3 145 3 2" xfId="15231"/>
    <cellStyle name="40% - Accent3 145 4" xfId="15232"/>
    <cellStyle name="40% - Accent3 146" xfId="15233"/>
    <cellStyle name="40% - Accent3 146 2" xfId="15234"/>
    <cellStyle name="40% - Accent3 146 2 2" xfId="15235"/>
    <cellStyle name="40% - Accent3 146 3" xfId="15236"/>
    <cellStyle name="40% - Accent3 146 3 2" xfId="15237"/>
    <cellStyle name="40% - Accent3 146 4" xfId="15238"/>
    <cellStyle name="40% - Accent3 147" xfId="15239"/>
    <cellStyle name="40% - Accent3 147 2" xfId="15240"/>
    <cellStyle name="40% - Accent3 147 2 2" xfId="15241"/>
    <cellStyle name="40% - Accent3 147 3" xfId="15242"/>
    <cellStyle name="40% - Accent3 147 3 2" xfId="15243"/>
    <cellStyle name="40% - Accent3 147 4" xfId="15244"/>
    <cellStyle name="40% - Accent3 148" xfId="15245"/>
    <cellStyle name="40% - Accent3 148 2" xfId="15246"/>
    <cellStyle name="40% - Accent3 148 2 2" xfId="15247"/>
    <cellStyle name="40% - Accent3 148 3" xfId="15248"/>
    <cellStyle name="40% - Accent3 148 3 2" xfId="15249"/>
    <cellStyle name="40% - Accent3 148 4" xfId="15250"/>
    <cellStyle name="40% - Accent3 149" xfId="15251"/>
    <cellStyle name="40% - Accent3 149 2" xfId="15252"/>
    <cellStyle name="40% - Accent3 149 2 2" xfId="15253"/>
    <cellStyle name="40% - Accent3 149 3" xfId="15254"/>
    <cellStyle name="40% - Accent3 149 3 2" xfId="15255"/>
    <cellStyle name="40% - Accent3 149 4" xfId="15256"/>
    <cellStyle name="40% - Accent3 15" xfId="15257"/>
    <cellStyle name="40% - Accent3 15 2" xfId="15258"/>
    <cellStyle name="40% - Accent3 15 2 2" xfId="15259"/>
    <cellStyle name="40% - Accent3 15 2 2 2" xfId="15260"/>
    <cellStyle name="40% - Accent3 15 2 3" xfId="15261"/>
    <cellStyle name="40% - Accent3 15 2 3 2" xfId="15262"/>
    <cellStyle name="40% - Accent3 15 2 4" xfId="15263"/>
    <cellStyle name="40% - Accent3 15 3" xfId="15264"/>
    <cellStyle name="40% - Accent3 15 3 2" xfId="15265"/>
    <cellStyle name="40% - Accent3 15 3 2 2" xfId="15266"/>
    <cellStyle name="40% - Accent3 15 3 3" xfId="15267"/>
    <cellStyle name="40% - Accent3 15 3 3 2" xfId="15268"/>
    <cellStyle name="40% - Accent3 15 3 4" xfId="15269"/>
    <cellStyle name="40% - Accent3 15 4" xfId="15270"/>
    <cellStyle name="40% - Accent3 15 4 2" xfId="15271"/>
    <cellStyle name="40% - Accent3 15 5" xfId="15272"/>
    <cellStyle name="40% - Accent3 15 5 2" xfId="15273"/>
    <cellStyle name="40% - Accent3 15 6" xfId="15274"/>
    <cellStyle name="40% - Accent3 150" xfId="15275"/>
    <cellStyle name="40% - Accent3 150 2" xfId="15276"/>
    <cellStyle name="40% - Accent3 150 2 2" xfId="15277"/>
    <cellStyle name="40% - Accent3 150 3" xfId="15278"/>
    <cellStyle name="40% - Accent3 150 3 2" xfId="15279"/>
    <cellStyle name="40% - Accent3 150 4" xfId="15280"/>
    <cellStyle name="40% - Accent3 151" xfId="15281"/>
    <cellStyle name="40% - Accent3 151 2" xfId="15282"/>
    <cellStyle name="40% - Accent3 151 2 2" xfId="15283"/>
    <cellStyle name="40% - Accent3 151 3" xfId="15284"/>
    <cellStyle name="40% - Accent3 151 3 2" xfId="15285"/>
    <cellStyle name="40% - Accent3 151 4" xfId="15286"/>
    <cellStyle name="40% - Accent3 152" xfId="15287"/>
    <cellStyle name="40% - Accent3 152 2" xfId="15288"/>
    <cellStyle name="40% - Accent3 152 2 2" xfId="15289"/>
    <cellStyle name="40% - Accent3 152 3" xfId="15290"/>
    <cellStyle name="40% - Accent3 152 3 2" xfId="15291"/>
    <cellStyle name="40% - Accent3 152 4" xfId="15292"/>
    <cellStyle name="40% - Accent3 153" xfId="15293"/>
    <cellStyle name="40% - Accent3 153 2" xfId="15294"/>
    <cellStyle name="40% - Accent3 153 2 2" xfId="15295"/>
    <cellStyle name="40% - Accent3 153 3" xfId="15296"/>
    <cellStyle name="40% - Accent3 153 3 2" xfId="15297"/>
    <cellStyle name="40% - Accent3 153 4" xfId="15298"/>
    <cellStyle name="40% - Accent3 154" xfId="15299"/>
    <cellStyle name="40% - Accent3 154 2" xfId="15300"/>
    <cellStyle name="40% - Accent3 154 2 2" xfId="15301"/>
    <cellStyle name="40% - Accent3 154 3" xfId="15302"/>
    <cellStyle name="40% - Accent3 154 3 2" xfId="15303"/>
    <cellStyle name="40% - Accent3 154 4" xfId="15304"/>
    <cellStyle name="40% - Accent3 155" xfId="15305"/>
    <cellStyle name="40% - Accent3 155 2" xfId="15306"/>
    <cellStyle name="40% - Accent3 155 2 2" xfId="15307"/>
    <cellStyle name="40% - Accent3 155 3" xfId="15308"/>
    <cellStyle name="40% - Accent3 155 3 2" xfId="15309"/>
    <cellStyle name="40% - Accent3 155 4" xfId="15310"/>
    <cellStyle name="40% - Accent3 156" xfId="15311"/>
    <cellStyle name="40% - Accent3 156 2" xfId="15312"/>
    <cellStyle name="40% - Accent3 156 2 2" xfId="15313"/>
    <cellStyle name="40% - Accent3 156 3" xfId="15314"/>
    <cellStyle name="40% - Accent3 156 3 2" xfId="15315"/>
    <cellStyle name="40% - Accent3 156 4" xfId="15316"/>
    <cellStyle name="40% - Accent3 157" xfId="15317"/>
    <cellStyle name="40% - Accent3 157 2" xfId="15318"/>
    <cellStyle name="40% - Accent3 157 2 2" xfId="15319"/>
    <cellStyle name="40% - Accent3 157 3" xfId="15320"/>
    <cellStyle name="40% - Accent3 157 3 2" xfId="15321"/>
    <cellStyle name="40% - Accent3 157 4" xfId="15322"/>
    <cellStyle name="40% - Accent3 158" xfId="15323"/>
    <cellStyle name="40% - Accent3 158 2" xfId="15324"/>
    <cellStyle name="40% - Accent3 158 2 2" xfId="15325"/>
    <cellStyle name="40% - Accent3 158 3" xfId="15326"/>
    <cellStyle name="40% - Accent3 158 3 2" xfId="15327"/>
    <cellStyle name="40% - Accent3 158 4" xfId="15328"/>
    <cellStyle name="40% - Accent3 159" xfId="15329"/>
    <cellStyle name="40% - Accent3 159 2" xfId="15330"/>
    <cellStyle name="40% - Accent3 159 2 2" xfId="15331"/>
    <cellStyle name="40% - Accent3 159 3" xfId="15332"/>
    <cellStyle name="40% - Accent3 159 3 2" xfId="15333"/>
    <cellStyle name="40% - Accent3 159 4" xfId="15334"/>
    <cellStyle name="40% - Accent3 16" xfId="15335"/>
    <cellStyle name="40% - Accent3 16 2" xfId="15336"/>
    <cellStyle name="40% - Accent3 16 2 2" xfId="15337"/>
    <cellStyle name="40% - Accent3 16 2 2 2" xfId="15338"/>
    <cellStyle name="40% - Accent3 16 2 3" xfId="15339"/>
    <cellStyle name="40% - Accent3 16 2 3 2" xfId="15340"/>
    <cellStyle name="40% - Accent3 16 2 4" xfId="15341"/>
    <cellStyle name="40% - Accent3 16 3" xfId="15342"/>
    <cellStyle name="40% - Accent3 16 3 2" xfId="15343"/>
    <cellStyle name="40% - Accent3 16 3 2 2" xfId="15344"/>
    <cellStyle name="40% - Accent3 16 3 3" xfId="15345"/>
    <cellStyle name="40% - Accent3 16 3 3 2" xfId="15346"/>
    <cellStyle name="40% - Accent3 16 3 4" xfId="15347"/>
    <cellStyle name="40% - Accent3 16 4" xfId="15348"/>
    <cellStyle name="40% - Accent3 16 4 2" xfId="15349"/>
    <cellStyle name="40% - Accent3 16 5" xfId="15350"/>
    <cellStyle name="40% - Accent3 16 5 2" xfId="15351"/>
    <cellStyle name="40% - Accent3 16 6" xfId="15352"/>
    <cellStyle name="40% - Accent3 160" xfId="15353"/>
    <cellStyle name="40% - Accent3 160 2" xfId="15354"/>
    <cellStyle name="40% - Accent3 160 2 2" xfId="15355"/>
    <cellStyle name="40% - Accent3 160 3" xfId="15356"/>
    <cellStyle name="40% - Accent3 160 3 2" xfId="15357"/>
    <cellStyle name="40% - Accent3 160 4" xfId="15358"/>
    <cellStyle name="40% - Accent3 161" xfId="15359"/>
    <cellStyle name="40% - Accent3 161 2" xfId="15360"/>
    <cellStyle name="40% - Accent3 161 2 2" xfId="15361"/>
    <cellStyle name="40% - Accent3 161 3" xfId="15362"/>
    <cellStyle name="40% - Accent3 161 3 2" xfId="15363"/>
    <cellStyle name="40% - Accent3 161 4" xfId="15364"/>
    <cellStyle name="40% - Accent3 162" xfId="15365"/>
    <cellStyle name="40% - Accent3 162 2" xfId="15366"/>
    <cellStyle name="40% - Accent3 162 2 2" xfId="15367"/>
    <cellStyle name="40% - Accent3 162 3" xfId="15368"/>
    <cellStyle name="40% - Accent3 162 3 2" xfId="15369"/>
    <cellStyle name="40% - Accent3 162 4" xfId="15370"/>
    <cellStyle name="40% - Accent3 163" xfId="15371"/>
    <cellStyle name="40% - Accent3 163 2" xfId="15372"/>
    <cellStyle name="40% - Accent3 163 2 2" xfId="15373"/>
    <cellStyle name="40% - Accent3 163 3" xfId="15374"/>
    <cellStyle name="40% - Accent3 163 3 2" xfId="15375"/>
    <cellStyle name="40% - Accent3 163 4" xfId="15376"/>
    <cellStyle name="40% - Accent3 164" xfId="15377"/>
    <cellStyle name="40% - Accent3 164 2" xfId="15378"/>
    <cellStyle name="40% - Accent3 164 2 2" xfId="15379"/>
    <cellStyle name="40% - Accent3 164 3" xfId="15380"/>
    <cellStyle name="40% - Accent3 164 3 2" xfId="15381"/>
    <cellStyle name="40% - Accent3 164 4" xfId="15382"/>
    <cellStyle name="40% - Accent3 165" xfId="15383"/>
    <cellStyle name="40% - Accent3 165 2" xfId="15384"/>
    <cellStyle name="40% - Accent3 165 2 2" xfId="15385"/>
    <cellStyle name="40% - Accent3 165 3" xfId="15386"/>
    <cellStyle name="40% - Accent3 165 3 2" xfId="15387"/>
    <cellStyle name="40% - Accent3 165 4" xfId="15388"/>
    <cellStyle name="40% - Accent3 166" xfId="15389"/>
    <cellStyle name="40% - Accent3 166 2" xfId="15390"/>
    <cellStyle name="40% - Accent3 166 2 2" xfId="15391"/>
    <cellStyle name="40% - Accent3 166 3" xfId="15392"/>
    <cellStyle name="40% - Accent3 166 3 2" xfId="15393"/>
    <cellStyle name="40% - Accent3 166 4" xfId="15394"/>
    <cellStyle name="40% - Accent3 167" xfId="15395"/>
    <cellStyle name="40% - Accent3 167 2" xfId="15396"/>
    <cellStyle name="40% - Accent3 167 2 2" xfId="15397"/>
    <cellStyle name="40% - Accent3 167 3" xfId="15398"/>
    <cellStyle name="40% - Accent3 167 3 2" xfId="15399"/>
    <cellStyle name="40% - Accent3 167 4" xfId="15400"/>
    <cellStyle name="40% - Accent3 168" xfId="15401"/>
    <cellStyle name="40% - Accent3 168 2" xfId="15402"/>
    <cellStyle name="40% - Accent3 168 2 2" xfId="15403"/>
    <cellStyle name="40% - Accent3 168 3" xfId="15404"/>
    <cellStyle name="40% - Accent3 168 3 2" xfId="15405"/>
    <cellStyle name="40% - Accent3 168 4" xfId="15406"/>
    <cellStyle name="40% - Accent3 169" xfId="15407"/>
    <cellStyle name="40% - Accent3 169 2" xfId="15408"/>
    <cellStyle name="40% - Accent3 169 2 2" xfId="15409"/>
    <cellStyle name="40% - Accent3 169 3" xfId="15410"/>
    <cellStyle name="40% - Accent3 169 3 2" xfId="15411"/>
    <cellStyle name="40% - Accent3 169 4" xfId="15412"/>
    <cellStyle name="40% - Accent3 17" xfId="15413"/>
    <cellStyle name="40% - Accent3 17 2" xfId="15414"/>
    <cellStyle name="40% - Accent3 17 2 2" xfId="15415"/>
    <cellStyle name="40% - Accent3 17 2 2 2" xfId="15416"/>
    <cellStyle name="40% - Accent3 17 2 3" xfId="15417"/>
    <cellStyle name="40% - Accent3 17 2 3 2" xfId="15418"/>
    <cellStyle name="40% - Accent3 17 2 4" xfId="15419"/>
    <cellStyle name="40% - Accent3 17 3" xfId="15420"/>
    <cellStyle name="40% - Accent3 17 3 2" xfId="15421"/>
    <cellStyle name="40% - Accent3 17 3 2 2" xfId="15422"/>
    <cellStyle name="40% - Accent3 17 3 3" xfId="15423"/>
    <cellStyle name="40% - Accent3 17 3 3 2" xfId="15424"/>
    <cellStyle name="40% - Accent3 17 3 4" xfId="15425"/>
    <cellStyle name="40% - Accent3 17 4" xfId="15426"/>
    <cellStyle name="40% - Accent3 17 4 2" xfId="15427"/>
    <cellStyle name="40% - Accent3 17 5" xfId="15428"/>
    <cellStyle name="40% - Accent3 17 5 2" xfId="15429"/>
    <cellStyle name="40% - Accent3 17 6" xfId="15430"/>
    <cellStyle name="40% - Accent3 170" xfId="15431"/>
    <cellStyle name="40% - Accent3 170 2" xfId="15432"/>
    <cellStyle name="40% - Accent3 170 2 2" xfId="15433"/>
    <cellStyle name="40% - Accent3 170 3" xfId="15434"/>
    <cellStyle name="40% - Accent3 170 3 2" xfId="15435"/>
    <cellStyle name="40% - Accent3 170 4" xfId="15436"/>
    <cellStyle name="40% - Accent3 171" xfId="15437"/>
    <cellStyle name="40% - Accent3 171 2" xfId="15438"/>
    <cellStyle name="40% - Accent3 171 2 2" xfId="15439"/>
    <cellStyle name="40% - Accent3 171 3" xfId="15440"/>
    <cellStyle name="40% - Accent3 171 3 2" xfId="15441"/>
    <cellStyle name="40% - Accent3 171 4" xfId="15442"/>
    <cellStyle name="40% - Accent3 172" xfId="15443"/>
    <cellStyle name="40% - Accent3 172 2" xfId="15444"/>
    <cellStyle name="40% - Accent3 172 2 2" xfId="15445"/>
    <cellStyle name="40% - Accent3 172 3" xfId="15446"/>
    <cellStyle name="40% - Accent3 172 3 2" xfId="15447"/>
    <cellStyle name="40% - Accent3 172 4" xfId="15448"/>
    <cellStyle name="40% - Accent3 173" xfId="15449"/>
    <cellStyle name="40% - Accent3 173 2" xfId="15450"/>
    <cellStyle name="40% - Accent3 173 2 2" xfId="15451"/>
    <cellStyle name="40% - Accent3 173 3" xfId="15452"/>
    <cellStyle name="40% - Accent3 173 3 2" xfId="15453"/>
    <cellStyle name="40% - Accent3 173 4" xfId="15454"/>
    <cellStyle name="40% - Accent3 174" xfId="15455"/>
    <cellStyle name="40% - Accent3 174 2" xfId="15456"/>
    <cellStyle name="40% - Accent3 174 2 2" xfId="15457"/>
    <cellStyle name="40% - Accent3 174 3" xfId="15458"/>
    <cellStyle name="40% - Accent3 174 3 2" xfId="15459"/>
    <cellStyle name="40% - Accent3 174 4" xfId="15460"/>
    <cellStyle name="40% - Accent3 175" xfId="15461"/>
    <cellStyle name="40% - Accent3 175 2" xfId="15462"/>
    <cellStyle name="40% - Accent3 175 2 2" xfId="15463"/>
    <cellStyle name="40% - Accent3 175 3" xfId="15464"/>
    <cellStyle name="40% - Accent3 175 3 2" xfId="15465"/>
    <cellStyle name="40% - Accent3 175 4" xfId="15466"/>
    <cellStyle name="40% - Accent3 176" xfId="15467"/>
    <cellStyle name="40% - Accent3 176 2" xfId="15468"/>
    <cellStyle name="40% - Accent3 176 2 2" xfId="15469"/>
    <cellStyle name="40% - Accent3 176 3" xfId="15470"/>
    <cellStyle name="40% - Accent3 176 3 2" xfId="15471"/>
    <cellStyle name="40% - Accent3 176 4" xfId="15472"/>
    <cellStyle name="40% - Accent3 177" xfId="15473"/>
    <cellStyle name="40% - Accent3 177 2" xfId="15474"/>
    <cellStyle name="40% - Accent3 177 2 2" xfId="15475"/>
    <cellStyle name="40% - Accent3 177 3" xfId="15476"/>
    <cellStyle name="40% - Accent3 177 3 2" xfId="15477"/>
    <cellStyle name="40% - Accent3 177 4" xfId="15478"/>
    <cellStyle name="40% - Accent3 178" xfId="15479"/>
    <cellStyle name="40% - Accent3 178 2" xfId="15480"/>
    <cellStyle name="40% - Accent3 178 2 2" xfId="15481"/>
    <cellStyle name="40% - Accent3 178 3" xfId="15482"/>
    <cellStyle name="40% - Accent3 178 3 2" xfId="15483"/>
    <cellStyle name="40% - Accent3 178 4" xfId="15484"/>
    <cellStyle name="40% - Accent3 179" xfId="15485"/>
    <cellStyle name="40% - Accent3 179 2" xfId="15486"/>
    <cellStyle name="40% - Accent3 179 2 2" xfId="15487"/>
    <cellStyle name="40% - Accent3 179 3" xfId="15488"/>
    <cellStyle name="40% - Accent3 179 3 2" xfId="15489"/>
    <cellStyle name="40% - Accent3 179 4" xfId="15490"/>
    <cellStyle name="40% - Accent3 18" xfId="15491"/>
    <cellStyle name="40% - Accent3 18 2" xfId="15492"/>
    <cellStyle name="40% - Accent3 18 2 2" xfId="15493"/>
    <cellStyle name="40% - Accent3 18 2 2 2" xfId="15494"/>
    <cellStyle name="40% - Accent3 18 2 3" xfId="15495"/>
    <cellStyle name="40% - Accent3 18 2 3 2" xfId="15496"/>
    <cellStyle name="40% - Accent3 18 2 4" xfId="15497"/>
    <cellStyle name="40% - Accent3 18 3" xfId="15498"/>
    <cellStyle name="40% - Accent3 18 3 2" xfId="15499"/>
    <cellStyle name="40% - Accent3 18 3 2 2" xfId="15500"/>
    <cellStyle name="40% - Accent3 18 3 3" xfId="15501"/>
    <cellStyle name="40% - Accent3 18 3 3 2" xfId="15502"/>
    <cellStyle name="40% - Accent3 18 3 4" xfId="15503"/>
    <cellStyle name="40% - Accent3 18 4" xfId="15504"/>
    <cellStyle name="40% - Accent3 18 4 2" xfId="15505"/>
    <cellStyle name="40% - Accent3 18 5" xfId="15506"/>
    <cellStyle name="40% - Accent3 18 5 2" xfId="15507"/>
    <cellStyle name="40% - Accent3 18 6" xfId="15508"/>
    <cellStyle name="40% - Accent3 180" xfId="15509"/>
    <cellStyle name="40% - Accent3 180 2" xfId="15510"/>
    <cellStyle name="40% - Accent3 180 2 2" xfId="15511"/>
    <cellStyle name="40% - Accent3 180 3" xfId="15512"/>
    <cellStyle name="40% - Accent3 180 3 2" xfId="15513"/>
    <cellStyle name="40% - Accent3 180 4" xfId="15514"/>
    <cellStyle name="40% - Accent3 181" xfId="15515"/>
    <cellStyle name="40% - Accent3 181 2" xfId="15516"/>
    <cellStyle name="40% - Accent3 181 2 2" xfId="15517"/>
    <cellStyle name="40% - Accent3 181 3" xfId="15518"/>
    <cellStyle name="40% - Accent3 181 3 2" xfId="15519"/>
    <cellStyle name="40% - Accent3 181 4" xfId="15520"/>
    <cellStyle name="40% - Accent3 182" xfId="15521"/>
    <cellStyle name="40% - Accent3 182 2" xfId="15522"/>
    <cellStyle name="40% - Accent3 182 2 2" xfId="15523"/>
    <cellStyle name="40% - Accent3 182 3" xfId="15524"/>
    <cellStyle name="40% - Accent3 182 3 2" xfId="15525"/>
    <cellStyle name="40% - Accent3 182 4" xfId="15526"/>
    <cellStyle name="40% - Accent3 183" xfId="15527"/>
    <cellStyle name="40% - Accent3 183 2" xfId="15528"/>
    <cellStyle name="40% - Accent3 183 2 2" xfId="15529"/>
    <cellStyle name="40% - Accent3 183 3" xfId="15530"/>
    <cellStyle name="40% - Accent3 183 3 2" xfId="15531"/>
    <cellStyle name="40% - Accent3 183 4" xfId="15532"/>
    <cellStyle name="40% - Accent3 184" xfId="15533"/>
    <cellStyle name="40% - Accent3 184 2" xfId="15534"/>
    <cellStyle name="40% - Accent3 184 2 2" xfId="15535"/>
    <cellStyle name="40% - Accent3 184 3" xfId="15536"/>
    <cellStyle name="40% - Accent3 184 3 2" xfId="15537"/>
    <cellStyle name="40% - Accent3 184 4" xfId="15538"/>
    <cellStyle name="40% - Accent3 185" xfId="15539"/>
    <cellStyle name="40% - Accent3 185 2" xfId="15540"/>
    <cellStyle name="40% - Accent3 185 2 2" xfId="15541"/>
    <cellStyle name="40% - Accent3 185 3" xfId="15542"/>
    <cellStyle name="40% - Accent3 185 3 2" xfId="15543"/>
    <cellStyle name="40% - Accent3 185 4" xfId="15544"/>
    <cellStyle name="40% - Accent3 186" xfId="15545"/>
    <cellStyle name="40% - Accent3 186 2" xfId="15546"/>
    <cellStyle name="40% - Accent3 186 2 2" xfId="15547"/>
    <cellStyle name="40% - Accent3 186 3" xfId="15548"/>
    <cellStyle name="40% - Accent3 186 3 2" xfId="15549"/>
    <cellStyle name="40% - Accent3 186 4" xfId="15550"/>
    <cellStyle name="40% - Accent3 187" xfId="15551"/>
    <cellStyle name="40% - Accent3 187 2" xfId="15552"/>
    <cellStyle name="40% - Accent3 187 2 2" xfId="15553"/>
    <cellStyle name="40% - Accent3 187 3" xfId="15554"/>
    <cellStyle name="40% - Accent3 187 3 2" xfId="15555"/>
    <cellStyle name="40% - Accent3 187 4" xfId="15556"/>
    <cellStyle name="40% - Accent3 188" xfId="15557"/>
    <cellStyle name="40% - Accent3 188 2" xfId="15558"/>
    <cellStyle name="40% - Accent3 188 2 2" xfId="15559"/>
    <cellStyle name="40% - Accent3 188 3" xfId="15560"/>
    <cellStyle name="40% - Accent3 188 3 2" xfId="15561"/>
    <cellStyle name="40% - Accent3 188 4" xfId="15562"/>
    <cellStyle name="40% - Accent3 189" xfId="15563"/>
    <cellStyle name="40% - Accent3 189 2" xfId="15564"/>
    <cellStyle name="40% - Accent3 189 2 2" xfId="15565"/>
    <cellStyle name="40% - Accent3 189 3" xfId="15566"/>
    <cellStyle name="40% - Accent3 189 3 2" xfId="15567"/>
    <cellStyle name="40% - Accent3 189 4" xfId="15568"/>
    <cellStyle name="40% - Accent3 19" xfId="15569"/>
    <cellStyle name="40% - Accent3 19 2" xfId="15570"/>
    <cellStyle name="40% - Accent3 19 2 2" xfId="15571"/>
    <cellStyle name="40% - Accent3 19 2 2 2" xfId="15572"/>
    <cellStyle name="40% - Accent3 19 2 3" xfId="15573"/>
    <cellStyle name="40% - Accent3 19 2 3 2" xfId="15574"/>
    <cellStyle name="40% - Accent3 19 2 4" xfId="15575"/>
    <cellStyle name="40% - Accent3 19 3" xfId="15576"/>
    <cellStyle name="40% - Accent3 19 3 2" xfId="15577"/>
    <cellStyle name="40% - Accent3 19 3 2 2" xfId="15578"/>
    <cellStyle name="40% - Accent3 19 3 3" xfId="15579"/>
    <cellStyle name="40% - Accent3 19 3 3 2" xfId="15580"/>
    <cellStyle name="40% - Accent3 19 3 4" xfId="15581"/>
    <cellStyle name="40% - Accent3 19 4" xfId="15582"/>
    <cellStyle name="40% - Accent3 19 4 2" xfId="15583"/>
    <cellStyle name="40% - Accent3 19 5" xfId="15584"/>
    <cellStyle name="40% - Accent3 19 5 2" xfId="15585"/>
    <cellStyle name="40% - Accent3 19 6" xfId="15586"/>
    <cellStyle name="40% - Accent3 190" xfId="15587"/>
    <cellStyle name="40% - Accent3 190 2" xfId="15588"/>
    <cellStyle name="40% - Accent3 190 2 2" xfId="15589"/>
    <cellStyle name="40% - Accent3 190 3" xfId="15590"/>
    <cellStyle name="40% - Accent3 190 3 2" xfId="15591"/>
    <cellStyle name="40% - Accent3 190 4" xfId="15592"/>
    <cellStyle name="40% - Accent3 191" xfId="15593"/>
    <cellStyle name="40% - Accent3 191 2" xfId="15594"/>
    <cellStyle name="40% - Accent3 191 2 2" xfId="15595"/>
    <cellStyle name="40% - Accent3 191 3" xfId="15596"/>
    <cellStyle name="40% - Accent3 191 3 2" xfId="15597"/>
    <cellStyle name="40% - Accent3 191 4" xfId="15598"/>
    <cellStyle name="40% - Accent3 192" xfId="15599"/>
    <cellStyle name="40% - Accent3 192 2" xfId="15600"/>
    <cellStyle name="40% - Accent3 192 2 2" xfId="15601"/>
    <cellStyle name="40% - Accent3 192 3" xfId="15602"/>
    <cellStyle name="40% - Accent3 192 3 2" xfId="15603"/>
    <cellStyle name="40% - Accent3 192 4" xfId="15604"/>
    <cellStyle name="40% - Accent3 193" xfId="15605"/>
    <cellStyle name="40% - Accent3 193 2" xfId="15606"/>
    <cellStyle name="40% - Accent3 193 2 2" xfId="15607"/>
    <cellStyle name="40% - Accent3 193 3" xfId="15608"/>
    <cellStyle name="40% - Accent3 193 3 2" xfId="15609"/>
    <cellStyle name="40% - Accent3 193 4" xfId="15610"/>
    <cellStyle name="40% - Accent3 194" xfId="15611"/>
    <cellStyle name="40% - Accent3 194 2" xfId="15612"/>
    <cellStyle name="40% - Accent3 194 2 2" xfId="15613"/>
    <cellStyle name="40% - Accent3 194 3" xfId="15614"/>
    <cellStyle name="40% - Accent3 194 3 2" xfId="15615"/>
    <cellStyle name="40% - Accent3 194 4" xfId="15616"/>
    <cellStyle name="40% - Accent3 195" xfId="15617"/>
    <cellStyle name="40% - Accent3 195 2" xfId="15618"/>
    <cellStyle name="40% - Accent3 195 2 2" xfId="15619"/>
    <cellStyle name="40% - Accent3 195 3" xfId="15620"/>
    <cellStyle name="40% - Accent3 195 3 2" xfId="15621"/>
    <cellStyle name="40% - Accent3 195 4" xfId="15622"/>
    <cellStyle name="40% - Accent3 196" xfId="15623"/>
    <cellStyle name="40% - Accent3 196 2" xfId="15624"/>
    <cellStyle name="40% - Accent3 196 2 2" xfId="15625"/>
    <cellStyle name="40% - Accent3 196 3" xfId="15626"/>
    <cellStyle name="40% - Accent3 196 3 2" xfId="15627"/>
    <cellStyle name="40% - Accent3 196 4" xfId="15628"/>
    <cellStyle name="40% - Accent3 197" xfId="15629"/>
    <cellStyle name="40% - Accent3 197 2" xfId="15630"/>
    <cellStyle name="40% - Accent3 197 2 2" xfId="15631"/>
    <cellStyle name="40% - Accent3 197 3" xfId="15632"/>
    <cellStyle name="40% - Accent3 197 3 2" xfId="15633"/>
    <cellStyle name="40% - Accent3 197 4" xfId="15634"/>
    <cellStyle name="40% - Accent3 198" xfId="15635"/>
    <cellStyle name="40% - Accent3 198 2" xfId="15636"/>
    <cellStyle name="40% - Accent3 198 2 2" xfId="15637"/>
    <cellStyle name="40% - Accent3 198 3" xfId="15638"/>
    <cellStyle name="40% - Accent3 198 3 2" xfId="15639"/>
    <cellStyle name="40% - Accent3 198 4" xfId="15640"/>
    <cellStyle name="40% - Accent3 199" xfId="15641"/>
    <cellStyle name="40% - Accent3 199 2" xfId="15642"/>
    <cellStyle name="40% - Accent3 199 2 2" xfId="15643"/>
    <cellStyle name="40% - Accent3 199 3" xfId="15644"/>
    <cellStyle name="40% - Accent3 199 3 2" xfId="15645"/>
    <cellStyle name="40% - Accent3 199 4" xfId="15646"/>
    <cellStyle name="40% - Accent3 2" xfId="15647"/>
    <cellStyle name="40% - Accent3 2 2" xfId="15648"/>
    <cellStyle name="40% - Accent3 2 2 2" xfId="15649"/>
    <cellStyle name="40% - Accent3 2 2 2 2" xfId="15650"/>
    <cellStyle name="40% - Accent3 2 2 3" xfId="15651"/>
    <cellStyle name="40% - Accent3 2 2 3 2" xfId="15652"/>
    <cellStyle name="40% - Accent3 2 2 4" xfId="15653"/>
    <cellStyle name="40% - Accent3 2 3" xfId="15654"/>
    <cellStyle name="40% - Accent3 2 3 2" xfId="15655"/>
    <cellStyle name="40% - Accent3 2 3 2 2" xfId="15656"/>
    <cellStyle name="40% - Accent3 2 3 3" xfId="15657"/>
    <cellStyle name="40% - Accent3 2 3 3 2" xfId="15658"/>
    <cellStyle name="40% - Accent3 2 3 4" xfId="15659"/>
    <cellStyle name="40% - Accent3 2 4" xfId="15660"/>
    <cellStyle name="40% - Accent3 2 4 2" xfId="15661"/>
    <cellStyle name="40% - Accent3 2 5" xfId="15662"/>
    <cellStyle name="40% - Accent3 2 5 2" xfId="15663"/>
    <cellStyle name="40% - Accent3 2 6" xfId="15664"/>
    <cellStyle name="40% - Accent3 20" xfId="15665"/>
    <cellStyle name="40% - Accent3 20 2" xfId="15666"/>
    <cellStyle name="40% - Accent3 20 2 2" xfId="15667"/>
    <cellStyle name="40% - Accent3 20 2 2 2" xfId="15668"/>
    <cellStyle name="40% - Accent3 20 2 3" xfId="15669"/>
    <cellStyle name="40% - Accent3 20 2 3 2" xfId="15670"/>
    <cellStyle name="40% - Accent3 20 2 4" xfId="15671"/>
    <cellStyle name="40% - Accent3 20 3" xfId="15672"/>
    <cellStyle name="40% - Accent3 20 3 2" xfId="15673"/>
    <cellStyle name="40% - Accent3 20 3 2 2" xfId="15674"/>
    <cellStyle name="40% - Accent3 20 3 3" xfId="15675"/>
    <cellStyle name="40% - Accent3 20 3 3 2" xfId="15676"/>
    <cellStyle name="40% - Accent3 20 3 4" xfId="15677"/>
    <cellStyle name="40% - Accent3 20 4" xfId="15678"/>
    <cellStyle name="40% - Accent3 20 4 2" xfId="15679"/>
    <cellStyle name="40% - Accent3 20 5" xfId="15680"/>
    <cellStyle name="40% - Accent3 20 5 2" xfId="15681"/>
    <cellStyle name="40% - Accent3 20 6" xfId="15682"/>
    <cellStyle name="40% - Accent3 200" xfId="15683"/>
    <cellStyle name="40% - Accent3 200 2" xfId="15684"/>
    <cellStyle name="40% - Accent3 200 2 2" xfId="15685"/>
    <cellStyle name="40% - Accent3 200 3" xfId="15686"/>
    <cellStyle name="40% - Accent3 200 3 2" xfId="15687"/>
    <cellStyle name="40% - Accent3 200 4" xfId="15688"/>
    <cellStyle name="40% - Accent3 201" xfId="15689"/>
    <cellStyle name="40% - Accent3 201 2" xfId="15690"/>
    <cellStyle name="40% - Accent3 201 2 2" xfId="15691"/>
    <cellStyle name="40% - Accent3 201 3" xfId="15692"/>
    <cellStyle name="40% - Accent3 201 3 2" xfId="15693"/>
    <cellStyle name="40% - Accent3 201 4" xfId="15694"/>
    <cellStyle name="40% - Accent3 202" xfId="15695"/>
    <cellStyle name="40% - Accent3 202 2" xfId="15696"/>
    <cellStyle name="40% - Accent3 202 2 2" xfId="15697"/>
    <cellStyle name="40% - Accent3 202 3" xfId="15698"/>
    <cellStyle name="40% - Accent3 202 3 2" xfId="15699"/>
    <cellStyle name="40% - Accent3 202 4" xfId="15700"/>
    <cellStyle name="40% - Accent3 203" xfId="15701"/>
    <cellStyle name="40% - Accent3 203 2" xfId="15702"/>
    <cellStyle name="40% - Accent3 203 2 2" xfId="15703"/>
    <cellStyle name="40% - Accent3 203 3" xfId="15704"/>
    <cellStyle name="40% - Accent3 203 3 2" xfId="15705"/>
    <cellStyle name="40% - Accent3 203 4" xfId="15706"/>
    <cellStyle name="40% - Accent3 204" xfId="15707"/>
    <cellStyle name="40% - Accent3 204 2" xfId="15708"/>
    <cellStyle name="40% - Accent3 204 2 2" xfId="15709"/>
    <cellStyle name="40% - Accent3 204 3" xfId="15710"/>
    <cellStyle name="40% - Accent3 204 3 2" xfId="15711"/>
    <cellStyle name="40% - Accent3 204 4" xfId="15712"/>
    <cellStyle name="40% - Accent3 205" xfId="15713"/>
    <cellStyle name="40% - Accent3 205 2" xfId="15714"/>
    <cellStyle name="40% - Accent3 205 2 2" xfId="15715"/>
    <cellStyle name="40% - Accent3 205 3" xfId="15716"/>
    <cellStyle name="40% - Accent3 205 3 2" xfId="15717"/>
    <cellStyle name="40% - Accent3 205 4" xfId="15718"/>
    <cellStyle name="40% - Accent3 206" xfId="15719"/>
    <cellStyle name="40% - Accent3 206 2" xfId="15720"/>
    <cellStyle name="40% - Accent3 206 2 2" xfId="15721"/>
    <cellStyle name="40% - Accent3 206 3" xfId="15722"/>
    <cellStyle name="40% - Accent3 206 3 2" xfId="15723"/>
    <cellStyle name="40% - Accent3 206 4" xfId="15724"/>
    <cellStyle name="40% - Accent3 207" xfId="15725"/>
    <cellStyle name="40% - Accent3 207 2" xfId="15726"/>
    <cellStyle name="40% - Accent3 207 2 2" xfId="15727"/>
    <cellStyle name="40% - Accent3 207 3" xfId="15728"/>
    <cellStyle name="40% - Accent3 207 3 2" xfId="15729"/>
    <cellStyle name="40% - Accent3 207 4" xfId="15730"/>
    <cellStyle name="40% - Accent3 208" xfId="15731"/>
    <cellStyle name="40% - Accent3 208 2" xfId="15732"/>
    <cellStyle name="40% - Accent3 208 2 2" xfId="15733"/>
    <cellStyle name="40% - Accent3 208 3" xfId="15734"/>
    <cellStyle name="40% - Accent3 208 3 2" xfId="15735"/>
    <cellStyle name="40% - Accent3 208 4" xfId="15736"/>
    <cellStyle name="40% - Accent3 209" xfId="15737"/>
    <cellStyle name="40% - Accent3 209 2" xfId="15738"/>
    <cellStyle name="40% - Accent3 209 2 2" xfId="15739"/>
    <cellStyle name="40% - Accent3 209 3" xfId="15740"/>
    <cellStyle name="40% - Accent3 209 3 2" xfId="15741"/>
    <cellStyle name="40% - Accent3 209 4" xfId="15742"/>
    <cellStyle name="40% - Accent3 21" xfId="15743"/>
    <cellStyle name="40% - Accent3 21 2" xfId="15744"/>
    <cellStyle name="40% - Accent3 21 2 2" xfId="15745"/>
    <cellStyle name="40% - Accent3 21 2 2 2" xfId="15746"/>
    <cellStyle name="40% - Accent3 21 2 3" xfId="15747"/>
    <cellStyle name="40% - Accent3 21 2 3 2" xfId="15748"/>
    <cellStyle name="40% - Accent3 21 2 4" xfId="15749"/>
    <cellStyle name="40% - Accent3 21 3" xfId="15750"/>
    <cellStyle name="40% - Accent3 21 3 2" xfId="15751"/>
    <cellStyle name="40% - Accent3 21 3 2 2" xfId="15752"/>
    <cellStyle name="40% - Accent3 21 3 3" xfId="15753"/>
    <cellStyle name="40% - Accent3 21 3 3 2" xfId="15754"/>
    <cellStyle name="40% - Accent3 21 3 4" xfId="15755"/>
    <cellStyle name="40% - Accent3 21 4" xfId="15756"/>
    <cellStyle name="40% - Accent3 21 4 2" xfId="15757"/>
    <cellStyle name="40% - Accent3 21 5" xfId="15758"/>
    <cellStyle name="40% - Accent3 21 5 2" xfId="15759"/>
    <cellStyle name="40% - Accent3 21 6" xfId="15760"/>
    <cellStyle name="40% - Accent3 210" xfId="15761"/>
    <cellStyle name="40% - Accent3 210 2" xfId="15762"/>
    <cellStyle name="40% - Accent3 210 2 2" xfId="15763"/>
    <cellStyle name="40% - Accent3 210 3" xfId="15764"/>
    <cellStyle name="40% - Accent3 210 3 2" xfId="15765"/>
    <cellStyle name="40% - Accent3 210 4" xfId="15766"/>
    <cellStyle name="40% - Accent3 211" xfId="15767"/>
    <cellStyle name="40% - Accent3 211 2" xfId="15768"/>
    <cellStyle name="40% - Accent3 211 2 2" xfId="15769"/>
    <cellStyle name="40% - Accent3 211 3" xfId="15770"/>
    <cellStyle name="40% - Accent3 211 3 2" xfId="15771"/>
    <cellStyle name="40% - Accent3 211 4" xfId="15772"/>
    <cellStyle name="40% - Accent3 212" xfId="15773"/>
    <cellStyle name="40% - Accent3 212 2" xfId="15774"/>
    <cellStyle name="40% - Accent3 212 2 2" xfId="15775"/>
    <cellStyle name="40% - Accent3 212 3" xfId="15776"/>
    <cellStyle name="40% - Accent3 212 3 2" xfId="15777"/>
    <cellStyle name="40% - Accent3 212 4" xfId="15778"/>
    <cellStyle name="40% - Accent3 213" xfId="15779"/>
    <cellStyle name="40% - Accent3 213 2" xfId="15780"/>
    <cellStyle name="40% - Accent3 213 2 2" xfId="15781"/>
    <cellStyle name="40% - Accent3 213 3" xfId="15782"/>
    <cellStyle name="40% - Accent3 213 3 2" xfId="15783"/>
    <cellStyle name="40% - Accent3 213 4" xfId="15784"/>
    <cellStyle name="40% - Accent3 214" xfId="15785"/>
    <cellStyle name="40% - Accent3 214 2" xfId="15786"/>
    <cellStyle name="40% - Accent3 214 2 2" xfId="15787"/>
    <cellStyle name="40% - Accent3 214 3" xfId="15788"/>
    <cellStyle name="40% - Accent3 214 3 2" xfId="15789"/>
    <cellStyle name="40% - Accent3 214 4" xfId="15790"/>
    <cellStyle name="40% - Accent3 215" xfId="15791"/>
    <cellStyle name="40% - Accent3 215 2" xfId="15792"/>
    <cellStyle name="40% - Accent3 215 2 2" xfId="15793"/>
    <cellStyle name="40% - Accent3 215 3" xfId="15794"/>
    <cellStyle name="40% - Accent3 215 3 2" xfId="15795"/>
    <cellStyle name="40% - Accent3 215 4" xfId="15796"/>
    <cellStyle name="40% - Accent3 216" xfId="15797"/>
    <cellStyle name="40% - Accent3 216 2" xfId="15798"/>
    <cellStyle name="40% - Accent3 216 2 2" xfId="15799"/>
    <cellStyle name="40% - Accent3 216 3" xfId="15800"/>
    <cellStyle name="40% - Accent3 216 3 2" xfId="15801"/>
    <cellStyle name="40% - Accent3 216 4" xfId="15802"/>
    <cellStyle name="40% - Accent3 217" xfId="15803"/>
    <cellStyle name="40% - Accent3 217 2" xfId="15804"/>
    <cellStyle name="40% - Accent3 217 2 2" xfId="15805"/>
    <cellStyle name="40% - Accent3 217 3" xfId="15806"/>
    <cellStyle name="40% - Accent3 217 3 2" xfId="15807"/>
    <cellStyle name="40% - Accent3 217 4" xfId="15808"/>
    <cellStyle name="40% - Accent3 218" xfId="15809"/>
    <cellStyle name="40% - Accent3 218 2" xfId="15810"/>
    <cellStyle name="40% - Accent3 218 2 2" xfId="15811"/>
    <cellStyle name="40% - Accent3 218 3" xfId="15812"/>
    <cellStyle name="40% - Accent3 218 3 2" xfId="15813"/>
    <cellStyle name="40% - Accent3 218 4" xfId="15814"/>
    <cellStyle name="40% - Accent3 219" xfId="15815"/>
    <cellStyle name="40% - Accent3 219 2" xfId="15816"/>
    <cellStyle name="40% - Accent3 219 2 2" xfId="15817"/>
    <cellStyle name="40% - Accent3 219 3" xfId="15818"/>
    <cellStyle name="40% - Accent3 219 3 2" xfId="15819"/>
    <cellStyle name="40% - Accent3 219 4" xfId="15820"/>
    <cellStyle name="40% - Accent3 22" xfId="15821"/>
    <cellStyle name="40% - Accent3 22 2" xfId="15822"/>
    <cellStyle name="40% - Accent3 22 2 2" xfId="15823"/>
    <cellStyle name="40% - Accent3 22 2 2 2" xfId="15824"/>
    <cellStyle name="40% - Accent3 22 2 3" xfId="15825"/>
    <cellStyle name="40% - Accent3 22 2 3 2" xfId="15826"/>
    <cellStyle name="40% - Accent3 22 2 4" xfId="15827"/>
    <cellStyle name="40% - Accent3 22 3" xfId="15828"/>
    <cellStyle name="40% - Accent3 22 3 2" xfId="15829"/>
    <cellStyle name="40% - Accent3 22 3 2 2" xfId="15830"/>
    <cellStyle name="40% - Accent3 22 3 3" xfId="15831"/>
    <cellStyle name="40% - Accent3 22 3 3 2" xfId="15832"/>
    <cellStyle name="40% - Accent3 22 3 4" xfId="15833"/>
    <cellStyle name="40% - Accent3 22 4" xfId="15834"/>
    <cellStyle name="40% - Accent3 22 4 2" xfId="15835"/>
    <cellStyle name="40% - Accent3 22 5" xfId="15836"/>
    <cellStyle name="40% - Accent3 22 5 2" xfId="15837"/>
    <cellStyle name="40% - Accent3 22 6" xfId="15838"/>
    <cellStyle name="40% - Accent3 220" xfId="15839"/>
    <cellStyle name="40% - Accent3 220 2" xfId="15840"/>
    <cellStyle name="40% - Accent3 220 2 2" xfId="15841"/>
    <cellStyle name="40% - Accent3 220 3" xfId="15842"/>
    <cellStyle name="40% - Accent3 220 3 2" xfId="15843"/>
    <cellStyle name="40% - Accent3 220 4" xfId="15844"/>
    <cellStyle name="40% - Accent3 221" xfId="15845"/>
    <cellStyle name="40% - Accent3 221 2" xfId="15846"/>
    <cellStyle name="40% - Accent3 221 2 2" xfId="15847"/>
    <cellStyle name="40% - Accent3 221 3" xfId="15848"/>
    <cellStyle name="40% - Accent3 221 3 2" xfId="15849"/>
    <cellStyle name="40% - Accent3 221 4" xfId="15850"/>
    <cellStyle name="40% - Accent3 222" xfId="15851"/>
    <cellStyle name="40% - Accent3 222 2" xfId="15852"/>
    <cellStyle name="40% - Accent3 223" xfId="15853"/>
    <cellStyle name="40% - Accent3 223 2" xfId="15854"/>
    <cellStyle name="40% - Accent3 224" xfId="15855"/>
    <cellStyle name="40% - Accent3 23" xfId="15856"/>
    <cellStyle name="40% - Accent3 23 2" xfId="15857"/>
    <cellStyle name="40% - Accent3 23 2 2" xfId="15858"/>
    <cellStyle name="40% - Accent3 23 2 2 2" xfId="15859"/>
    <cellStyle name="40% - Accent3 23 2 3" xfId="15860"/>
    <cellStyle name="40% - Accent3 23 2 3 2" xfId="15861"/>
    <cellStyle name="40% - Accent3 23 2 4" xfId="15862"/>
    <cellStyle name="40% - Accent3 23 3" xfId="15863"/>
    <cellStyle name="40% - Accent3 23 3 2" xfId="15864"/>
    <cellStyle name="40% - Accent3 23 3 2 2" xfId="15865"/>
    <cellStyle name="40% - Accent3 23 3 3" xfId="15866"/>
    <cellStyle name="40% - Accent3 23 3 3 2" xfId="15867"/>
    <cellStyle name="40% - Accent3 23 3 4" xfId="15868"/>
    <cellStyle name="40% - Accent3 23 4" xfId="15869"/>
    <cellStyle name="40% - Accent3 23 4 2" xfId="15870"/>
    <cellStyle name="40% - Accent3 23 5" xfId="15871"/>
    <cellStyle name="40% - Accent3 23 5 2" xfId="15872"/>
    <cellStyle name="40% - Accent3 23 6" xfId="15873"/>
    <cellStyle name="40% - Accent3 24" xfId="15874"/>
    <cellStyle name="40% - Accent3 24 2" xfId="15875"/>
    <cellStyle name="40% - Accent3 24 2 2" xfId="15876"/>
    <cellStyle name="40% - Accent3 24 2 2 2" xfId="15877"/>
    <cellStyle name="40% - Accent3 24 2 3" xfId="15878"/>
    <cellStyle name="40% - Accent3 24 2 3 2" xfId="15879"/>
    <cellStyle name="40% - Accent3 24 2 4" xfId="15880"/>
    <cellStyle name="40% - Accent3 24 3" xfId="15881"/>
    <cellStyle name="40% - Accent3 24 3 2" xfId="15882"/>
    <cellStyle name="40% - Accent3 24 3 2 2" xfId="15883"/>
    <cellStyle name="40% - Accent3 24 3 3" xfId="15884"/>
    <cellStyle name="40% - Accent3 24 3 3 2" xfId="15885"/>
    <cellStyle name="40% - Accent3 24 3 4" xfId="15886"/>
    <cellStyle name="40% - Accent3 24 4" xfId="15887"/>
    <cellStyle name="40% - Accent3 24 4 2" xfId="15888"/>
    <cellStyle name="40% - Accent3 24 5" xfId="15889"/>
    <cellStyle name="40% - Accent3 24 5 2" xfId="15890"/>
    <cellStyle name="40% - Accent3 24 6" xfId="15891"/>
    <cellStyle name="40% - Accent3 24 7" xfId="15892"/>
    <cellStyle name="40% - Accent3 25" xfId="15893"/>
    <cellStyle name="40% - Accent3 25 2" xfId="15894"/>
    <cellStyle name="40% - Accent3 25 2 2" xfId="15895"/>
    <cellStyle name="40% - Accent3 25 2 2 2" xfId="15896"/>
    <cellStyle name="40% - Accent3 25 2 3" xfId="15897"/>
    <cellStyle name="40% - Accent3 25 2 3 2" xfId="15898"/>
    <cellStyle name="40% - Accent3 25 2 4" xfId="15899"/>
    <cellStyle name="40% - Accent3 25 3" xfId="15900"/>
    <cellStyle name="40% - Accent3 25 3 2" xfId="15901"/>
    <cellStyle name="40% - Accent3 25 3 2 2" xfId="15902"/>
    <cellStyle name="40% - Accent3 25 3 3" xfId="15903"/>
    <cellStyle name="40% - Accent3 25 3 3 2" xfId="15904"/>
    <cellStyle name="40% - Accent3 25 3 4" xfId="15905"/>
    <cellStyle name="40% - Accent3 25 4" xfId="15906"/>
    <cellStyle name="40% - Accent3 25 4 2" xfId="15907"/>
    <cellStyle name="40% - Accent3 25 5" xfId="15908"/>
    <cellStyle name="40% - Accent3 25 5 2" xfId="15909"/>
    <cellStyle name="40% - Accent3 25 6" xfId="15910"/>
    <cellStyle name="40% - Accent3 25 7" xfId="15911"/>
    <cellStyle name="40% - Accent3 26" xfId="15912"/>
    <cellStyle name="40% - Accent3 26 2" xfId="15913"/>
    <cellStyle name="40% - Accent3 26 2 2" xfId="15914"/>
    <cellStyle name="40% - Accent3 26 2 2 2" xfId="15915"/>
    <cellStyle name="40% - Accent3 26 2 3" xfId="15916"/>
    <cellStyle name="40% - Accent3 26 2 3 2" xfId="15917"/>
    <cellStyle name="40% - Accent3 26 2 4" xfId="15918"/>
    <cellStyle name="40% - Accent3 26 3" xfId="15919"/>
    <cellStyle name="40% - Accent3 26 3 2" xfId="15920"/>
    <cellStyle name="40% - Accent3 26 3 2 2" xfId="15921"/>
    <cellStyle name="40% - Accent3 26 3 3" xfId="15922"/>
    <cellStyle name="40% - Accent3 26 3 3 2" xfId="15923"/>
    <cellStyle name="40% - Accent3 26 3 4" xfId="15924"/>
    <cellStyle name="40% - Accent3 26 4" xfId="15925"/>
    <cellStyle name="40% - Accent3 26 4 2" xfId="15926"/>
    <cellStyle name="40% - Accent3 26 5" xfId="15927"/>
    <cellStyle name="40% - Accent3 26 5 2" xfId="15928"/>
    <cellStyle name="40% - Accent3 26 6" xfId="15929"/>
    <cellStyle name="40% - Accent3 26 7" xfId="15930"/>
    <cellStyle name="40% - Accent3 27" xfId="15931"/>
    <cellStyle name="40% - Accent3 27 2" xfId="15932"/>
    <cellStyle name="40% - Accent3 27 2 2" xfId="15933"/>
    <cellStyle name="40% - Accent3 27 2 2 2" xfId="15934"/>
    <cellStyle name="40% - Accent3 27 2 3" xfId="15935"/>
    <cellStyle name="40% - Accent3 27 2 3 2" xfId="15936"/>
    <cellStyle name="40% - Accent3 27 2 4" xfId="15937"/>
    <cellStyle name="40% - Accent3 27 3" xfId="15938"/>
    <cellStyle name="40% - Accent3 27 3 2" xfId="15939"/>
    <cellStyle name="40% - Accent3 27 3 2 2" xfId="15940"/>
    <cellStyle name="40% - Accent3 27 3 3" xfId="15941"/>
    <cellStyle name="40% - Accent3 27 3 3 2" xfId="15942"/>
    <cellStyle name="40% - Accent3 27 3 4" xfId="15943"/>
    <cellStyle name="40% - Accent3 27 4" xfId="15944"/>
    <cellStyle name="40% - Accent3 27 4 2" xfId="15945"/>
    <cellStyle name="40% - Accent3 27 5" xfId="15946"/>
    <cellStyle name="40% - Accent3 27 5 2" xfId="15947"/>
    <cellStyle name="40% - Accent3 27 6" xfId="15948"/>
    <cellStyle name="40% - Accent3 27 7" xfId="15949"/>
    <cellStyle name="40% - Accent3 28" xfId="15950"/>
    <cellStyle name="40% - Accent3 28 2" xfId="15951"/>
    <cellStyle name="40% - Accent3 28 2 2" xfId="15952"/>
    <cellStyle name="40% - Accent3 28 2 2 2" xfId="15953"/>
    <cellStyle name="40% - Accent3 28 2 3" xfId="15954"/>
    <cellStyle name="40% - Accent3 28 2 3 2" xfId="15955"/>
    <cellStyle name="40% - Accent3 28 2 4" xfId="15956"/>
    <cellStyle name="40% - Accent3 28 3" xfId="15957"/>
    <cellStyle name="40% - Accent3 28 3 2" xfId="15958"/>
    <cellStyle name="40% - Accent3 28 3 2 2" xfId="15959"/>
    <cellStyle name="40% - Accent3 28 3 3" xfId="15960"/>
    <cellStyle name="40% - Accent3 28 3 3 2" xfId="15961"/>
    <cellStyle name="40% - Accent3 28 3 4" xfId="15962"/>
    <cellStyle name="40% - Accent3 28 4" xfId="15963"/>
    <cellStyle name="40% - Accent3 28 4 2" xfId="15964"/>
    <cellStyle name="40% - Accent3 28 5" xfId="15965"/>
    <cellStyle name="40% - Accent3 28 5 2" xfId="15966"/>
    <cellStyle name="40% - Accent3 28 6" xfId="15967"/>
    <cellStyle name="40% - Accent3 28 7" xfId="15968"/>
    <cellStyle name="40% - Accent3 29" xfId="15969"/>
    <cellStyle name="40% - Accent3 29 2" xfId="15970"/>
    <cellStyle name="40% - Accent3 29 2 2" xfId="15971"/>
    <cellStyle name="40% - Accent3 29 2 2 2" xfId="15972"/>
    <cellStyle name="40% - Accent3 29 2 3" xfId="15973"/>
    <cellStyle name="40% - Accent3 29 2 3 2" xfId="15974"/>
    <cellStyle name="40% - Accent3 29 2 4" xfId="15975"/>
    <cellStyle name="40% - Accent3 29 3" xfId="15976"/>
    <cellStyle name="40% - Accent3 29 3 2" xfId="15977"/>
    <cellStyle name="40% - Accent3 29 3 2 2" xfId="15978"/>
    <cellStyle name="40% - Accent3 29 3 3" xfId="15979"/>
    <cellStyle name="40% - Accent3 29 3 3 2" xfId="15980"/>
    <cellStyle name="40% - Accent3 29 3 4" xfId="15981"/>
    <cellStyle name="40% - Accent3 29 4" xfId="15982"/>
    <cellStyle name="40% - Accent3 29 4 2" xfId="15983"/>
    <cellStyle name="40% - Accent3 29 5" xfId="15984"/>
    <cellStyle name="40% - Accent3 29 5 2" xfId="15985"/>
    <cellStyle name="40% - Accent3 29 6" xfId="15986"/>
    <cellStyle name="40% - Accent3 29 7" xfId="15987"/>
    <cellStyle name="40% - Accent3 3" xfId="15988"/>
    <cellStyle name="40% - Accent3 3 2" xfId="15989"/>
    <cellStyle name="40% - Accent3 3 2 2" xfId="15990"/>
    <cellStyle name="40% - Accent3 3 2 2 2" xfId="15991"/>
    <cellStyle name="40% - Accent3 3 2 3" xfId="15992"/>
    <cellStyle name="40% - Accent3 3 2 3 2" xfId="15993"/>
    <cellStyle name="40% - Accent3 3 2 4" xfId="15994"/>
    <cellStyle name="40% - Accent3 3 3" xfId="15995"/>
    <cellStyle name="40% - Accent3 3 3 2" xfId="15996"/>
    <cellStyle name="40% - Accent3 3 3 2 2" xfId="15997"/>
    <cellStyle name="40% - Accent3 3 3 3" xfId="15998"/>
    <cellStyle name="40% - Accent3 3 3 3 2" xfId="15999"/>
    <cellStyle name="40% - Accent3 3 3 4" xfId="16000"/>
    <cellStyle name="40% - Accent3 3 4" xfId="16001"/>
    <cellStyle name="40% - Accent3 3 4 2" xfId="16002"/>
    <cellStyle name="40% - Accent3 3 5" xfId="16003"/>
    <cellStyle name="40% - Accent3 3 5 2" xfId="16004"/>
    <cellStyle name="40% - Accent3 3 6" xfId="16005"/>
    <cellStyle name="40% - Accent3 30" xfId="16006"/>
    <cellStyle name="40% - Accent3 30 2" xfId="16007"/>
    <cellStyle name="40% - Accent3 30 2 2" xfId="16008"/>
    <cellStyle name="40% - Accent3 30 2 2 2" xfId="16009"/>
    <cellStyle name="40% - Accent3 30 2 3" xfId="16010"/>
    <cellStyle name="40% - Accent3 30 2 3 2" xfId="16011"/>
    <cellStyle name="40% - Accent3 30 2 4" xfId="16012"/>
    <cellStyle name="40% - Accent3 30 3" xfId="16013"/>
    <cellStyle name="40% - Accent3 30 3 2" xfId="16014"/>
    <cellStyle name="40% - Accent3 30 3 2 2" xfId="16015"/>
    <cellStyle name="40% - Accent3 30 3 3" xfId="16016"/>
    <cellStyle name="40% - Accent3 30 3 3 2" xfId="16017"/>
    <cellStyle name="40% - Accent3 30 3 4" xfId="16018"/>
    <cellStyle name="40% - Accent3 30 4" xfId="16019"/>
    <cellStyle name="40% - Accent3 30 4 2" xfId="16020"/>
    <cellStyle name="40% - Accent3 30 5" xfId="16021"/>
    <cellStyle name="40% - Accent3 30 5 2" xfId="16022"/>
    <cellStyle name="40% - Accent3 30 6" xfId="16023"/>
    <cellStyle name="40% - Accent3 30 7" xfId="16024"/>
    <cellStyle name="40% - Accent3 31" xfId="16025"/>
    <cellStyle name="40% - Accent3 31 2" xfId="16026"/>
    <cellStyle name="40% - Accent3 31 2 2" xfId="16027"/>
    <cellStyle name="40% - Accent3 31 2 2 2" xfId="16028"/>
    <cellStyle name="40% - Accent3 31 2 3" xfId="16029"/>
    <cellStyle name="40% - Accent3 31 2 3 2" xfId="16030"/>
    <cellStyle name="40% - Accent3 31 2 4" xfId="16031"/>
    <cellStyle name="40% - Accent3 31 3" xfId="16032"/>
    <cellStyle name="40% - Accent3 31 3 2" xfId="16033"/>
    <cellStyle name="40% - Accent3 31 3 2 2" xfId="16034"/>
    <cellStyle name="40% - Accent3 31 3 3" xfId="16035"/>
    <cellStyle name="40% - Accent3 31 3 3 2" xfId="16036"/>
    <cellStyle name="40% - Accent3 31 3 4" xfId="16037"/>
    <cellStyle name="40% - Accent3 31 4" xfId="16038"/>
    <cellStyle name="40% - Accent3 31 4 2" xfId="16039"/>
    <cellStyle name="40% - Accent3 31 5" xfId="16040"/>
    <cellStyle name="40% - Accent3 31 5 2" xfId="16041"/>
    <cellStyle name="40% - Accent3 31 6" xfId="16042"/>
    <cellStyle name="40% - Accent3 31 7" xfId="16043"/>
    <cellStyle name="40% - Accent3 32" xfId="16044"/>
    <cellStyle name="40% - Accent3 32 2" xfId="16045"/>
    <cellStyle name="40% - Accent3 32 2 2" xfId="16046"/>
    <cellStyle name="40% - Accent3 32 2 2 2" xfId="16047"/>
    <cellStyle name="40% - Accent3 32 2 3" xfId="16048"/>
    <cellStyle name="40% - Accent3 32 2 3 2" xfId="16049"/>
    <cellStyle name="40% - Accent3 32 2 4" xfId="16050"/>
    <cellStyle name="40% - Accent3 32 3" xfId="16051"/>
    <cellStyle name="40% - Accent3 32 3 2" xfId="16052"/>
    <cellStyle name="40% - Accent3 32 3 2 2" xfId="16053"/>
    <cellStyle name="40% - Accent3 32 3 3" xfId="16054"/>
    <cellStyle name="40% - Accent3 32 3 3 2" xfId="16055"/>
    <cellStyle name="40% - Accent3 32 3 4" xfId="16056"/>
    <cellStyle name="40% - Accent3 32 4" xfId="16057"/>
    <cellStyle name="40% - Accent3 32 4 2" xfId="16058"/>
    <cellStyle name="40% - Accent3 32 5" xfId="16059"/>
    <cellStyle name="40% - Accent3 32 5 2" xfId="16060"/>
    <cellStyle name="40% - Accent3 32 6" xfId="16061"/>
    <cellStyle name="40% - Accent3 32 7" xfId="16062"/>
    <cellStyle name="40% - Accent3 33" xfId="16063"/>
    <cellStyle name="40% - Accent3 33 2" xfId="16064"/>
    <cellStyle name="40% - Accent3 33 2 2" xfId="16065"/>
    <cellStyle name="40% - Accent3 33 2 2 2" xfId="16066"/>
    <cellStyle name="40% - Accent3 33 2 3" xfId="16067"/>
    <cellStyle name="40% - Accent3 33 2 3 2" xfId="16068"/>
    <cellStyle name="40% - Accent3 33 2 4" xfId="16069"/>
    <cellStyle name="40% - Accent3 33 3" xfId="16070"/>
    <cellStyle name="40% - Accent3 33 3 2" xfId="16071"/>
    <cellStyle name="40% - Accent3 33 3 2 2" xfId="16072"/>
    <cellStyle name="40% - Accent3 33 3 3" xfId="16073"/>
    <cellStyle name="40% - Accent3 33 3 3 2" xfId="16074"/>
    <cellStyle name="40% - Accent3 33 3 4" xfId="16075"/>
    <cellStyle name="40% - Accent3 33 4" xfId="16076"/>
    <cellStyle name="40% - Accent3 33 4 2" xfId="16077"/>
    <cellStyle name="40% - Accent3 33 5" xfId="16078"/>
    <cellStyle name="40% - Accent3 33 5 2" xfId="16079"/>
    <cellStyle name="40% - Accent3 33 6" xfId="16080"/>
    <cellStyle name="40% - Accent3 33 7" xfId="16081"/>
    <cellStyle name="40% - Accent3 34" xfId="16082"/>
    <cellStyle name="40% - Accent3 34 2" xfId="16083"/>
    <cellStyle name="40% - Accent3 34 2 2" xfId="16084"/>
    <cellStyle name="40% - Accent3 34 2 2 2" xfId="16085"/>
    <cellStyle name="40% - Accent3 34 2 3" xfId="16086"/>
    <cellStyle name="40% - Accent3 34 2 3 2" xfId="16087"/>
    <cellStyle name="40% - Accent3 34 2 4" xfId="16088"/>
    <cellStyle name="40% - Accent3 34 3" xfId="16089"/>
    <cellStyle name="40% - Accent3 34 3 2" xfId="16090"/>
    <cellStyle name="40% - Accent3 34 3 2 2" xfId="16091"/>
    <cellStyle name="40% - Accent3 34 3 3" xfId="16092"/>
    <cellStyle name="40% - Accent3 34 3 3 2" xfId="16093"/>
    <cellStyle name="40% - Accent3 34 3 4" xfId="16094"/>
    <cellStyle name="40% - Accent3 34 4" xfId="16095"/>
    <cellStyle name="40% - Accent3 34 4 2" xfId="16096"/>
    <cellStyle name="40% - Accent3 34 5" xfId="16097"/>
    <cellStyle name="40% - Accent3 34 5 2" xfId="16098"/>
    <cellStyle name="40% - Accent3 34 6" xfId="16099"/>
    <cellStyle name="40% - Accent3 34 7" xfId="16100"/>
    <cellStyle name="40% - Accent3 35" xfId="16101"/>
    <cellStyle name="40% - Accent3 35 2" xfId="16102"/>
    <cellStyle name="40% - Accent3 35 2 2" xfId="16103"/>
    <cellStyle name="40% - Accent3 35 2 2 2" xfId="16104"/>
    <cellStyle name="40% - Accent3 35 2 3" xfId="16105"/>
    <cellStyle name="40% - Accent3 35 2 3 2" xfId="16106"/>
    <cellStyle name="40% - Accent3 35 2 4" xfId="16107"/>
    <cellStyle name="40% - Accent3 35 3" xfId="16108"/>
    <cellStyle name="40% - Accent3 35 3 2" xfId="16109"/>
    <cellStyle name="40% - Accent3 35 3 2 2" xfId="16110"/>
    <cellStyle name="40% - Accent3 35 3 3" xfId="16111"/>
    <cellStyle name="40% - Accent3 35 3 3 2" xfId="16112"/>
    <cellStyle name="40% - Accent3 35 3 4" xfId="16113"/>
    <cellStyle name="40% - Accent3 35 4" xfId="16114"/>
    <cellStyle name="40% - Accent3 35 4 2" xfId="16115"/>
    <cellStyle name="40% - Accent3 35 5" xfId="16116"/>
    <cellStyle name="40% - Accent3 35 5 2" xfId="16117"/>
    <cellStyle name="40% - Accent3 35 6" xfId="16118"/>
    <cellStyle name="40% - Accent3 35 7" xfId="16119"/>
    <cellStyle name="40% - Accent3 36" xfId="16120"/>
    <cellStyle name="40% - Accent3 36 2" xfId="16121"/>
    <cellStyle name="40% - Accent3 36 2 2" xfId="16122"/>
    <cellStyle name="40% - Accent3 36 2 2 2" xfId="16123"/>
    <cellStyle name="40% - Accent3 36 2 3" xfId="16124"/>
    <cellStyle name="40% - Accent3 36 2 3 2" xfId="16125"/>
    <cellStyle name="40% - Accent3 36 2 4" xfId="16126"/>
    <cellStyle name="40% - Accent3 36 3" xfId="16127"/>
    <cellStyle name="40% - Accent3 36 3 2" xfId="16128"/>
    <cellStyle name="40% - Accent3 36 3 2 2" xfId="16129"/>
    <cellStyle name="40% - Accent3 36 3 3" xfId="16130"/>
    <cellStyle name="40% - Accent3 36 3 3 2" xfId="16131"/>
    <cellStyle name="40% - Accent3 36 3 4" xfId="16132"/>
    <cellStyle name="40% - Accent3 36 4" xfId="16133"/>
    <cellStyle name="40% - Accent3 36 4 2" xfId="16134"/>
    <cellStyle name="40% - Accent3 36 5" xfId="16135"/>
    <cellStyle name="40% - Accent3 36 5 2" xfId="16136"/>
    <cellStyle name="40% - Accent3 36 6" xfId="16137"/>
    <cellStyle name="40% - Accent3 36 7" xfId="16138"/>
    <cellStyle name="40% - Accent3 37" xfId="16139"/>
    <cellStyle name="40% - Accent3 37 2" xfId="16140"/>
    <cellStyle name="40% - Accent3 37 2 2" xfId="16141"/>
    <cellStyle name="40% - Accent3 37 2 2 2" xfId="16142"/>
    <cellStyle name="40% - Accent3 37 2 3" xfId="16143"/>
    <cellStyle name="40% - Accent3 37 2 3 2" xfId="16144"/>
    <cellStyle name="40% - Accent3 37 2 4" xfId="16145"/>
    <cellStyle name="40% - Accent3 37 3" xfId="16146"/>
    <cellStyle name="40% - Accent3 37 3 2" xfId="16147"/>
    <cellStyle name="40% - Accent3 37 3 2 2" xfId="16148"/>
    <cellStyle name="40% - Accent3 37 3 3" xfId="16149"/>
    <cellStyle name="40% - Accent3 37 3 3 2" xfId="16150"/>
    <cellStyle name="40% - Accent3 37 3 4" xfId="16151"/>
    <cellStyle name="40% - Accent3 37 4" xfId="16152"/>
    <cellStyle name="40% - Accent3 37 4 2" xfId="16153"/>
    <cellStyle name="40% - Accent3 37 5" xfId="16154"/>
    <cellStyle name="40% - Accent3 37 5 2" xfId="16155"/>
    <cellStyle name="40% - Accent3 37 6" xfId="16156"/>
    <cellStyle name="40% - Accent3 37 7" xfId="16157"/>
    <cellStyle name="40% - Accent3 38" xfId="16158"/>
    <cellStyle name="40% - Accent3 38 2" xfId="16159"/>
    <cellStyle name="40% - Accent3 38 2 2" xfId="16160"/>
    <cellStyle name="40% - Accent3 38 2 2 2" xfId="16161"/>
    <cellStyle name="40% - Accent3 38 2 3" xfId="16162"/>
    <cellStyle name="40% - Accent3 38 2 3 2" xfId="16163"/>
    <cellStyle name="40% - Accent3 38 2 4" xfId="16164"/>
    <cellStyle name="40% - Accent3 38 3" xfId="16165"/>
    <cellStyle name="40% - Accent3 38 3 2" xfId="16166"/>
    <cellStyle name="40% - Accent3 38 3 2 2" xfId="16167"/>
    <cellStyle name="40% - Accent3 38 3 3" xfId="16168"/>
    <cellStyle name="40% - Accent3 38 3 3 2" xfId="16169"/>
    <cellStyle name="40% - Accent3 38 3 4" xfId="16170"/>
    <cellStyle name="40% - Accent3 38 4" xfId="16171"/>
    <cellStyle name="40% - Accent3 38 4 2" xfId="16172"/>
    <cellStyle name="40% - Accent3 38 5" xfId="16173"/>
    <cellStyle name="40% - Accent3 38 5 2" xfId="16174"/>
    <cellStyle name="40% - Accent3 38 6" xfId="16175"/>
    <cellStyle name="40% - Accent3 38 7" xfId="16176"/>
    <cellStyle name="40% - Accent3 39" xfId="16177"/>
    <cellStyle name="40% - Accent3 39 2" xfId="16178"/>
    <cellStyle name="40% - Accent3 39 2 2" xfId="16179"/>
    <cellStyle name="40% - Accent3 39 2 2 2" xfId="16180"/>
    <cellStyle name="40% - Accent3 39 2 3" xfId="16181"/>
    <cellStyle name="40% - Accent3 39 2 3 2" xfId="16182"/>
    <cellStyle name="40% - Accent3 39 2 4" xfId="16183"/>
    <cellStyle name="40% - Accent3 39 3" xfId="16184"/>
    <cellStyle name="40% - Accent3 39 3 2" xfId="16185"/>
    <cellStyle name="40% - Accent3 39 3 2 2" xfId="16186"/>
    <cellStyle name="40% - Accent3 39 3 3" xfId="16187"/>
    <cellStyle name="40% - Accent3 39 3 3 2" xfId="16188"/>
    <cellStyle name="40% - Accent3 39 3 4" xfId="16189"/>
    <cellStyle name="40% - Accent3 39 4" xfId="16190"/>
    <cellStyle name="40% - Accent3 39 4 2" xfId="16191"/>
    <cellStyle name="40% - Accent3 39 5" xfId="16192"/>
    <cellStyle name="40% - Accent3 39 5 2" xfId="16193"/>
    <cellStyle name="40% - Accent3 39 6" xfId="16194"/>
    <cellStyle name="40% - Accent3 39 7" xfId="16195"/>
    <cellStyle name="40% - Accent3 4" xfId="16196"/>
    <cellStyle name="40% - Accent3 4 2" xfId="16197"/>
    <cellStyle name="40% - Accent3 4 2 2" xfId="16198"/>
    <cellStyle name="40% - Accent3 4 2 2 2" xfId="16199"/>
    <cellStyle name="40% - Accent3 4 2 3" xfId="16200"/>
    <cellStyle name="40% - Accent3 4 2 3 2" xfId="16201"/>
    <cellStyle name="40% - Accent3 4 2 4" xfId="16202"/>
    <cellStyle name="40% - Accent3 4 3" xfId="16203"/>
    <cellStyle name="40% - Accent3 4 3 2" xfId="16204"/>
    <cellStyle name="40% - Accent3 4 3 2 2" xfId="16205"/>
    <cellStyle name="40% - Accent3 4 3 3" xfId="16206"/>
    <cellStyle name="40% - Accent3 4 3 3 2" xfId="16207"/>
    <cellStyle name="40% - Accent3 4 3 4" xfId="16208"/>
    <cellStyle name="40% - Accent3 4 4" xfId="16209"/>
    <cellStyle name="40% - Accent3 4 4 2" xfId="16210"/>
    <cellStyle name="40% - Accent3 4 5" xfId="16211"/>
    <cellStyle name="40% - Accent3 4 5 2" xfId="16212"/>
    <cellStyle name="40% - Accent3 4 6" xfId="16213"/>
    <cellStyle name="40% - Accent3 40" xfId="16214"/>
    <cellStyle name="40% - Accent3 40 2" xfId="16215"/>
    <cellStyle name="40% - Accent3 40 2 2" xfId="16216"/>
    <cellStyle name="40% - Accent3 40 2 2 2" xfId="16217"/>
    <cellStyle name="40% - Accent3 40 2 3" xfId="16218"/>
    <cellStyle name="40% - Accent3 40 2 3 2" xfId="16219"/>
    <cellStyle name="40% - Accent3 40 2 4" xfId="16220"/>
    <cellStyle name="40% - Accent3 40 3" xfId="16221"/>
    <cellStyle name="40% - Accent3 40 3 2" xfId="16222"/>
    <cellStyle name="40% - Accent3 40 3 2 2" xfId="16223"/>
    <cellStyle name="40% - Accent3 40 3 3" xfId="16224"/>
    <cellStyle name="40% - Accent3 40 3 3 2" xfId="16225"/>
    <cellStyle name="40% - Accent3 40 3 4" xfId="16226"/>
    <cellStyle name="40% - Accent3 40 4" xfId="16227"/>
    <cellStyle name="40% - Accent3 40 4 2" xfId="16228"/>
    <cellStyle name="40% - Accent3 40 5" xfId="16229"/>
    <cellStyle name="40% - Accent3 40 5 2" xfId="16230"/>
    <cellStyle name="40% - Accent3 40 6" xfId="16231"/>
    <cellStyle name="40% - Accent3 40 7" xfId="16232"/>
    <cellStyle name="40% - Accent3 41" xfId="16233"/>
    <cellStyle name="40% - Accent3 41 2" xfId="16234"/>
    <cellStyle name="40% - Accent3 41 2 2" xfId="16235"/>
    <cellStyle name="40% - Accent3 41 2 2 2" xfId="16236"/>
    <cellStyle name="40% - Accent3 41 2 3" xfId="16237"/>
    <cellStyle name="40% - Accent3 41 2 3 2" xfId="16238"/>
    <cellStyle name="40% - Accent3 41 2 4" xfId="16239"/>
    <cellStyle name="40% - Accent3 41 3" xfId="16240"/>
    <cellStyle name="40% - Accent3 41 3 2" xfId="16241"/>
    <cellStyle name="40% - Accent3 41 3 2 2" xfId="16242"/>
    <cellStyle name="40% - Accent3 41 3 3" xfId="16243"/>
    <cellStyle name="40% - Accent3 41 3 3 2" xfId="16244"/>
    <cellStyle name="40% - Accent3 41 3 4" xfId="16245"/>
    <cellStyle name="40% - Accent3 41 4" xfId="16246"/>
    <cellStyle name="40% - Accent3 41 4 2" xfId="16247"/>
    <cellStyle name="40% - Accent3 41 5" xfId="16248"/>
    <cellStyle name="40% - Accent3 41 5 2" xfId="16249"/>
    <cellStyle name="40% - Accent3 41 6" xfId="16250"/>
    <cellStyle name="40% - Accent3 41 7" xfId="16251"/>
    <cellStyle name="40% - Accent3 42" xfId="16252"/>
    <cellStyle name="40% - Accent3 42 2" xfId="16253"/>
    <cellStyle name="40% - Accent3 42 2 2" xfId="16254"/>
    <cellStyle name="40% - Accent3 42 3" xfId="16255"/>
    <cellStyle name="40% - Accent3 42 3 2" xfId="16256"/>
    <cellStyle name="40% - Accent3 42 4" xfId="16257"/>
    <cellStyle name="40% - Accent3 42 5" xfId="16258"/>
    <cellStyle name="40% - Accent3 43" xfId="16259"/>
    <cellStyle name="40% - Accent3 43 2" xfId="16260"/>
    <cellStyle name="40% - Accent3 43 2 2" xfId="16261"/>
    <cellStyle name="40% - Accent3 43 3" xfId="16262"/>
    <cellStyle name="40% - Accent3 43 3 2" xfId="16263"/>
    <cellStyle name="40% - Accent3 43 4" xfId="16264"/>
    <cellStyle name="40% - Accent3 43 5" xfId="16265"/>
    <cellStyle name="40% - Accent3 44" xfId="16266"/>
    <cellStyle name="40% - Accent3 44 2" xfId="16267"/>
    <cellStyle name="40% - Accent3 44 2 2" xfId="16268"/>
    <cellStyle name="40% - Accent3 44 3" xfId="16269"/>
    <cellStyle name="40% - Accent3 44 3 2" xfId="16270"/>
    <cellStyle name="40% - Accent3 44 4" xfId="16271"/>
    <cellStyle name="40% - Accent3 44 5" xfId="16272"/>
    <cellStyle name="40% - Accent3 45" xfId="16273"/>
    <cellStyle name="40% - Accent3 45 2" xfId="16274"/>
    <cellStyle name="40% - Accent3 45 2 2" xfId="16275"/>
    <cellStyle name="40% - Accent3 45 3" xfId="16276"/>
    <cellStyle name="40% - Accent3 45 3 2" xfId="16277"/>
    <cellStyle name="40% - Accent3 45 4" xfId="16278"/>
    <cellStyle name="40% - Accent3 45 5" xfId="16279"/>
    <cellStyle name="40% - Accent3 46" xfId="16280"/>
    <cellStyle name="40% - Accent3 46 2" xfId="16281"/>
    <cellStyle name="40% - Accent3 46 2 2" xfId="16282"/>
    <cellStyle name="40% - Accent3 46 3" xfId="16283"/>
    <cellStyle name="40% - Accent3 46 3 2" xfId="16284"/>
    <cellStyle name="40% - Accent3 46 4" xfId="16285"/>
    <cellStyle name="40% - Accent3 46 5" xfId="16286"/>
    <cellStyle name="40% - Accent3 47" xfId="16287"/>
    <cellStyle name="40% - Accent3 47 2" xfId="16288"/>
    <cellStyle name="40% - Accent3 47 2 2" xfId="16289"/>
    <cellStyle name="40% - Accent3 47 3" xfId="16290"/>
    <cellStyle name="40% - Accent3 47 3 2" xfId="16291"/>
    <cellStyle name="40% - Accent3 47 4" xfId="16292"/>
    <cellStyle name="40% - Accent3 47 5" xfId="16293"/>
    <cellStyle name="40% - Accent3 48" xfId="16294"/>
    <cellStyle name="40% - Accent3 48 2" xfId="16295"/>
    <cellStyle name="40% - Accent3 48 2 2" xfId="16296"/>
    <cellStyle name="40% - Accent3 48 3" xfId="16297"/>
    <cellStyle name="40% - Accent3 48 3 2" xfId="16298"/>
    <cellStyle name="40% - Accent3 48 4" xfId="16299"/>
    <cellStyle name="40% - Accent3 48 5" xfId="16300"/>
    <cellStyle name="40% - Accent3 49" xfId="16301"/>
    <cellStyle name="40% - Accent3 49 2" xfId="16302"/>
    <cellStyle name="40% - Accent3 49 2 2" xfId="16303"/>
    <cellStyle name="40% - Accent3 49 3" xfId="16304"/>
    <cellStyle name="40% - Accent3 49 3 2" xfId="16305"/>
    <cellStyle name="40% - Accent3 49 4" xfId="16306"/>
    <cellStyle name="40% - Accent3 49 5" xfId="16307"/>
    <cellStyle name="40% - Accent3 5" xfId="16308"/>
    <cellStyle name="40% - Accent3 5 2" xfId="16309"/>
    <cellStyle name="40% - Accent3 5 2 2" xfId="16310"/>
    <cellStyle name="40% - Accent3 5 2 2 2" xfId="16311"/>
    <cellStyle name="40% - Accent3 5 2 3" xfId="16312"/>
    <cellStyle name="40% - Accent3 5 2 3 2" xfId="16313"/>
    <cellStyle name="40% - Accent3 5 2 4" xfId="16314"/>
    <cellStyle name="40% - Accent3 5 3" xfId="16315"/>
    <cellStyle name="40% - Accent3 5 3 2" xfId="16316"/>
    <cellStyle name="40% - Accent3 5 3 2 2" xfId="16317"/>
    <cellStyle name="40% - Accent3 5 3 3" xfId="16318"/>
    <cellStyle name="40% - Accent3 5 3 3 2" xfId="16319"/>
    <cellStyle name="40% - Accent3 5 3 4" xfId="16320"/>
    <cellStyle name="40% - Accent3 5 4" xfId="16321"/>
    <cellStyle name="40% - Accent3 5 4 2" xfId="16322"/>
    <cellStyle name="40% - Accent3 5 5" xfId="16323"/>
    <cellStyle name="40% - Accent3 5 5 2" xfId="16324"/>
    <cellStyle name="40% - Accent3 5 6" xfId="16325"/>
    <cellStyle name="40% - Accent3 50" xfId="16326"/>
    <cellStyle name="40% - Accent3 50 2" xfId="16327"/>
    <cellStyle name="40% - Accent3 50 2 2" xfId="16328"/>
    <cellStyle name="40% - Accent3 50 3" xfId="16329"/>
    <cellStyle name="40% - Accent3 50 3 2" xfId="16330"/>
    <cellStyle name="40% - Accent3 50 4" xfId="16331"/>
    <cellStyle name="40% - Accent3 50 5" xfId="16332"/>
    <cellStyle name="40% - Accent3 51" xfId="16333"/>
    <cellStyle name="40% - Accent3 51 2" xfId="16334"/>
    <cellStyle name="40% - Accent3 51 2 2" xfId="16335"/>
    <cellStyle name="40% - Accent3 51 3" xfId="16336"/>
    <cellStyle name="40% - Accent3 51 3 2" xfId="16337"/>
    <cellStyle name="40% - Accent3 51 4" xfId="16338"/>
    <cellStyle name="40% - Accent3 51 5" xfId="16339"/>
    <cellStyle name="40% - Accent3 52" xfId="16340"/>
    <cellStyle name="40% - Accent3 52 2" xfId="16341"/>
    <cellStyle name="40% - Accent3 52 2 2" xfId="16342"/>
    <cellStyle name="40% - Accent3 52 3" xfId="16343"/>
    <cellStyle name="40% - Accent3 52 3 2" xfId="16344"/>
    <cellStyle name="40% - Accent3 52 4" xfId="16345"/>
    <cellStyle name="40% - Accent3 52 5" xfId="16346"/>
    <cellStyle name="40% - Accent3 53" xfId="16347"/>
    <cellStyle name="40% - Accent3 53 2" xfId="16348"/>
    <cellStyle name="40% - Accent3 53 2 2" xfId="16349"/>
    <cellStyle name="40% - Accent3 53 3" xfId="16350"/>
    <cellStyle name="40% - Accent3 53 3 2" xfId="16351"/>
    <cellStyle name="40% - Accent3 53 4" xfId="16352"/>
    <cellStyle name="40% - Accent3 53 5" xfId="16353"/>
    <cellStyle name="40% - Accent3 54" xfId="16354"/>
    <cellStyle name="40% - Accent3 54 2" xfId="16355"/>
    <cellStyle name="40% - Accent3 54 2 2" xfId="16356"/>
    <cellStyle name="40% - Accent3 54 3" xfId="16357"/>
    <cellStyle name="40% - Accent3 54 3 2" xfId="16358"/>
    <cellStyle name="40% - Accent3 54 4" xfId="16359"/>
    <cellStyle name="40% - Accent3 54 5" xfId="16360"/>
    <cellStyle name="40% - Accent3 55" xfId="16361"/>
    <cellStyle name="40% - Accent3 55 2" xfId="16362"/>
    <cellStyle name="40% - Accent3 55 2 2" xfId="16363"/>
    <cellStyle name="40% - Accent3 55 3" xfId="16364"/>
    <cellStyle name="40% - Accent3 55 3 2" xfId="16365"/>
    <cellStyle name="40% - Accent3 55 4" xfId="16366"/>
    <cellStyle name="40% - Accent3 55 5" xfId="16367"/>
    <cellStyle name="40% - Accent3 56" xfId="16368"/>
    <cellStyle name="40% - Accent3 56 2" xfId="16369"/>
    <cellStyle name="40% - Accent3 56 2 2" xfId="16370"/>
    <cellStyle name="40% - Accent3 56 3" xfId="16371"/>
    <cellStyle name="40% - Accent3 56 3 2" xfId="16372"/>
    <cellStyle name="40% - Accent3 56 4" xfId="16373"/>
    <cellStyle name="40% - Accent3 56 5" xfId="16374"/>
    <cellStyle name="40% - Accent3 57" xfId="16375"/>
    <cellStyle name="40% - Accent3 57 2" xfId="16376"/>
    <cellStyle name="40% - Accent3 57 2 2" xfId="16377"/>
    <cellStyle name="40% - Accent3 57 3" xfId="16378"/>
    <cellStyle name="40% - Accent3 57 3 2" xfId="16379"/>
    <cellStyle name="40% - Accent3 57 4" xfId="16380"/>
    <cellStyle name="40% - Accent3 57 5" xfId="16381"/>
    <cellStyle name="40% - Accent3 58" xfId="16382"/>
    <cellStyle name="40% - Accent3 58 2" xfId="16383"/>
    <cellStyle name="40% - Accent3 58 2 2" xfId="16384"/>
    <cellStyle name="40% - Accent3 58 3" xfId="16385"/>
    <cellStyle name="40% - Accent3 58 3 2" xfId="16386"/>
    <cellStyle name="40% - Accent3 58 4" xfId="16387"/>
    <cellStyle name="40% - Accent3 58 5" xfId="16388"/>
    <cellStyle name="40% - Accent3 59" xfId="16389"/>
    <cellStyle name="40% - Accent3 59 2" xfId="16390"/>
    <cellStyle name="40% - Accent3 59 2 2" xfId="16391"/>
    <cellStyle name="40% - Accent3 59 3" xfId="16392"/>
    <cellStyle name="40% - Accent3 59 3 2" xfId="16393"/>
    <cellStyle name="40% - Accent3 59 4" xfId="16394"/>
    <cellStyle name="40% - Accent3 59 5" xfId="16395"/>
    <cellStyle name="40% - Accent3 6" xfId="16396"/>
    <cellStyle name="40% - Accent3 6 2" xfId="16397"/>
    <cellStyle name="40% - Accent3 6 2 2" xfId="16398"/>
    <cellStyle name="40% - Accent3 6 2 2 2" xfId="16399"/>
    <cellStyle name="40% - Accent3 6 2 3" xfId="16400"/>
    <cellStyle name="40% - Accent3 6 2 3 2" xfId="16401"/>
    <cellStyle name="40% - Accent3 6 2 4" xfId="16402"/>
    <cellStyle name="40% - Accent3 6 3" xfId="16403"/>
    <cellStyle name="40% - Accent3 6 3 2" xfId="16404"/>
    <cellStyle name="40% - Accent3 6 3 2 2" xfId="16405"/>
    <cellStyle name="40% - Accent3 6 3 3" xfId="16406"/>
    <cellStyle name="40% - Accent3 6 3 3 2" xfId="16407"/>
    <cellStyle name="40% - Accent3 6 3 4" xfId="16408"/>
    <cellStyle name="40% - Accent3 6 4" xfId="16409"/>
    <cellStyle name="40% - Accent3 6 4 2" xfId="16410"/>
    <cellStyle name="40% - Accent3 6 5" xfId="16411"/>
    <cellStyle name="40% - Accent3 6 5 2" xfId="16412"/>
    <cellStyle name="40% - Accent3 6 6" xfId="16413"/>
    <cellStyle name="40% - Accent3 60" xfId="16414"/>
    <cellStyle name="40% - Accent3 60 2" xfId="16415"/>
    <cellStyle name="40% - Accent3 60 2 2" xfId="16416"/>
    <cellStyle name="40% - Accent3 60 3" xfId="16417"/>
    <cellStyle name="40% - Accent3 60 3 2" xfId="16418"/>
    <cellStyle name="40% - Accent3 60 4" xfId="16419"/>
    <cellStyle name="40% - Accent3 60 5" xfId="16420"/>
    <cellStyle name="40% - Accent3 61" xfId="16421"/>
    <cellStyle name="40% - Accent3 61 2" xfId="16422"/>
    <cellStyle name="40% - Accent3 61 2 2" xfId="16423"/>
    <cellStyle name="40% - Accent3 61 3" xfId="16424"/>
    <cellStyle name="40% - Accent3 61 3 2" xfId="16425"/>
    <cellStyle name="40% - Accent3 61 4" xfId="16426"/>
    <cellStyle name="40% - Accent3 61 5" xfId="16427"/>
    <cellStyle name="40% - Accent3 62" xfId="16428"/>
    <cellStyle name="40% - Accent3 62 2" xfId="16429"/>
    <cellStyle name="40% - Accent3 62 2 2" xfId="16430"/>
    <cellStyle name="40% - Accent3 62 3" xfId="16431"/>
    <cellStyle name="40% - Accent3 62 3 2" xfId="16432"/>
    <cellStyle name="40% - Accent3 62 4" xfId="16433"/>
    <cellStyle name="40% - Accent3 62 5" xfId="16434"/>
    <cellStyle name="40% - Accent3 63" xfId="16435"/>
    <cellStyle name="40% - Accent3 63 2" xfId="16436"/>
    <cellStyle name="40% - Accent3 63 2 2" xfId="16437"/>
    <cellStyle name="40% - Accent3 63 3" xfId="16438"/>
    <cellStyle name="40% - Accent3 63 3 2" xfId="16439"/>
    <cellStyle name="40% - Accent3 63 4" xfId="16440"/>
    <cellStyle name="40% - Accent3 63 5" xfId="16441"/>
    <cellStyle name="40% - Accent3 64" xfId="16442"/>
    <cellStyle name="40% - Accent3 64 2" xfId="16443"/>
    <cellStyle name="40% - Accent3 64 2 2" xfId="16444"/>
    <cellStyle name="40% - Accent3 64 3" xfId="16445"/>
    <cellStyle name="40% - Accent3 64 3 2" xfId="16446"/>
    <cellStyle name="40% - Accent3 64 4" xfId="16447"/>
    <cellStyle name="40% - Accent3 64 5" xfId="16448"/>
    <cellStyle name="40% - Accent3 65" xfId="16449"/>
    <cellStyle name="40% - Accent3 65 2" xfId="16450"/>
    <cellStyle name="40% - Accent3 65 2 2" xfId="16451"/>
    <cellStyle name="40% - Accent3 65 3" xfId="16452"/>
    <cellStyle name="40% - Accent3 65 3 2" xfId="16453"/>
    <cellStyle name="40% - Accent3 65 4" xfId="16454"/>
    <cellStyle name="40% - Accent3 65 5" xfId="16455"/>
    <cellStyle name="40% - Accent3 66" xfId="16456"/>
    <cellStyle name="40% - Accent3 66 2" xfId="16457"/>
    <cellStyle name="40% - Accent3 66 2 2" xfId="16458"/>
    <cellStyle name="40% - Accent3 66 3" xfId="16459"/>
    <cellStyle name="40% - Accent3 66 3 2" xfId="16460"/>
    <cellStyle name="40% - Accent3 66 4" xfId="16461"/>
    <cellStyle name="40% - Accent3 66 5" xfId="16462"/>
    <cellStyle name="40% - Accent3 67" xfId="16463"/>
    <cellStyle name="40% - Accent3 67 2" xfId="16464"/>
    <cellStyle name="40% - Accent3 67 2 2" xfId="16465"/>
    <cellStyle name="40% - Accent3 67 3" xfId="16466"/>
    <cellStyle name="40% - Accent3 67 3 2" xfId="16467"/>
    <cellStyle name="40% - Accent3 67 4" xfId="16468"/>
    <cellStyle name="40% - Accent3 67 5" xfId="16469"/>
    <cellStyle name="40% - Accent3 68" xfId="16470"/>
    <cellStyle name="40% - Accent3 68 2" xfId="16471"/>
    <cellStyle name="40% - Accent3 68 2 2" xfId="16472"/>
    <cellStyle name="40% - Accent3 68 3" xfId="16473"/>
    <cellStyle name="40% - Accent3 68 3 2" xfId="16474"/>
    <cellStyle name="40% - Accent3 68 4" xfId="16475"/>
    <cellStyle name="40% - Accent3 68 5" xfId="16476"/>
    <cellStyle name="40% - Accent3 69" xfId="16477"/>
    <cellStyle name="40% - Accent3 69 2" xfId="16478"/>
    <cellStyle name="40% - Accent3 69 2 2" xfId="16479"/>
    <cellStyle name="40% - Accent3 69 3" xfId="16480"/>
    <cellStyle name="40% - Accent3 69 3 2" xfId="16481"/>
    <cellStyle name="40% - Accent3 69 4" xfId="16482"/>
    <cellStyle name="40% - Accent3 69 5" xfId="16483"/>
    <cellStyle name="40% - Accent3 7" xfId="16484"/>
    <cellStyle name="40% - Accent3 7 2" xfId="16485"/>
    <cellStyle name="40% - Accent3 7 2 2" xfId="16486"/>
    <cellStyle name="40% - Accent3 7 2 2 2" xfId="16487"/>
    <cellStyle name="40% - Accent3 7 2 3" xfId="16488"/>
    <cellStyle name="40% - Accent3 7 2 3 2" xfId="16489"/>
    <cellStyle name="40% - Accent3 7 2 4" xfId="16490"/>
    <cellStyle name="40% - Accent3 7 3" xfId="16491"/>
    <cellStyle name="40% - Accent3 7 3 2" xfId="16492"/>
    <cellStyle name="40% - Accent3 7 3 2 2" xfId="16493"/>
    <cellStyle name="40% - Accent3 7 3 3" xfId="16494"/>
    <cellStyle name="40% - Accent3 7 3 3 2" xfId="16495"/>
    <cellStyle name="40% - Accent3 7 3 4" xfId="16496"/>
    <cellStyle name="40% - Accent3 7 4" xfId="16497"/>
    <cellStyle name="40% - Accent3 7 4 2" xfId="16498"/>
    <cellStyle name="40% - Accent3 7 5" xfId="16499"/>
    <cellStyle name="40% - Accent3 7 5 2" xfId="16500"/>
    <cellStyle name="40% - Accent3 7 6" xfId="16501"/>
    <cellStyle name="40% - Accent3 70" xfId="16502"/>
    <cellStyle name="40% - Accent3 70 2" xfId="16503"/>
    <cellStyle name="40% - Accent3 70 2 2" xfId="16504"/>
    <cellStyle name="40% - Accent3 70 3" xfId="16505"/>
    <cellStyle name="40% - Accent3 70 3 2" xfId="16506"/>
    <cellStyle name="40% - Accent3 70 4" xfId="16507"/>
    <cellStyle name="40% - Accent3 71" xfId="16508"/>
    <cellStyle name="40% - Accent3 71 2" xfId="16509"/>
    <cellStyle name="40% - Accent3 71 2 2" xfId="16510"/>
    <cellStyle name="40% - Accent3 71 3" xfId="16511"/>
    <cellStyle name="40% - Accent3 71 3 2" xfId="16512"/>
    <cellStyle name="40% - Accent3 71 4" xfId="16513"/>
    <cellStyle name="40% - Accent3 72" xfId="16514"/>
    <cellStyle name="40% - Accent3 72 2" xfId="16515"/>
    <cellStyle name="40% - Accent3 72 2 2" xfId="16516"/>
    <cellStyle name="40% - Accent3 72 3" xfId="16517"/>
    <cellStyle name="40% - Accent3 72 3 2" xfId="16518"/>
    <cellStyle name="40% - Accent3 72 4" xfId="16519"/>
    <cellStyle name="40% - Accent3 73" xfId="16520"/>
    <cellStyle name="40% - Accent3 73 2" xfId="16521"/>
    <cellStyle name="40% - Accent3 73 2 2" xfId="16522"/>
    <cellStyle name="40% - Accent3 73 3" xfId="16523"/>
    <cellStyle name="40% - Accent3 73 3 2" xfId="16524"/>
    <cellStyle name="40% - Accent3 73 4" xfId="16525"/>
    <cellStyle name="40% - Accent3 74" xfId="16526"/>
    <cellStyle name="40% - Accent3 74 2" xfId="16527"/>
    <cellStyle name="40% - Accent3 74 2 2" xfId="16528"/>
    <cellStyle name="40% - Accent3 74 3" xfId="16529"/>
    <cellStyle name="40% - Accent3 74 3 2" xfId="16530"/>
    <cellStyle name="40% - Accent3 74 4" xfId="16531"/>
    <cellStyle name="40% - Accent3 75" xfId="16532"/>
    <cellStyle name="40% - Accent3 75 2" xfId="16533"/>
    <cellStyle name="40% - Accent3 75 2 2" xfId="16534"/>
    <cellStyle name="40% - Accent3 75 3" xfId="16535"/>
    <cellStyle name="40% - Accent3 75 3 2" xfId="16536"/>
    <cellStyle name="40% - Accent3 75 4" xfId="16537"/>
    <cellStyle name="40% - Accent3 76" xfId="16538"/>
    <cellStyle name="40% - Accent3 76 2" xfId="16539"/>
    <cellStyle name="40% - Accent3 76 2 2" xfId="16540"/>
    <cellStyle name="40% - Accent3 76 3" xfId="16541"/>
    <cellStyle name="40% - Accent3 76 3 2" xfId="16542"/>
    <cellStyle name="40% - Accent3 76 4" xfId="16543"/>
    <cellStyle name="40% - Accent3 77" xfId="16544"/>
    <cellStyle name="40% - Accent3 77 2" xfId="16545"/>
    <cellStyle name="40% - Accent3 77 2 2" xfId="16546"/>
    <cellStyle name="40% - Accent3 77 3" xfId="16547"/>
    <cellStyle name="40% - Accent3 77 3 2" xfId="16548"/>
    <cellStyle name="40% - Accent3 77 4" xfId="16549"/>
    <cellStyle name="40% - Accent3 78" xfId="16550"/>
    <cellStyle name="40% - Accent3 78 2" xfId="16551"/>
    <cellStyle name="40% - Accent3 78 2 2" xfId="16552"/>
    <cellStyle name="40% - Accent3 78 3" xfId="16553"/>
    <cellStyle name="40% - Accent3 78 3 2" xfId="16554"/>
    <cellStyle name="40% - Accent3 78 4" xfId="16555"/>
    <cellStyle name="40% - Accent3 79" xfId="16556"/>
    <cellStyle name="40% - Accent3 79 2" xfId="16557"/>
    <cellStyle name="40% - Accent3 79 2 2" xfId="16558"/>
    <cellStyle name="40% - Accent3 79 3" xfId="16559"/>
    <cellStyle name="40% - Accent3 79 3 2" xfId="16560"/>
    <cellStyle name="40% - Accent3 79 4" xfId="16561"/>
    <cellStyle name="40% - Accent3 8" xfId="16562"/>
    <cellStyle name="40% - Accent3 8 2" xfId="16563"/>
    <cellStyle name="40% - Accent3 8 2 2" xfId="16564"/>
    <cellStyle name="40% - Accent3 8 2 2 2" xfId="16565"/>
    <cellStyle name="40% - Accent3 8 2 3" xfId="16566"/>
    <cellStyle name="40% - Accent3 8 2 3 2" xfId="16567"/>
    <cellStyle name="40% - Accent3 8 2 4" xfId="16568"/>
    <cellStyle name="40% - Accent3 8 3" xfId="16569"/>
    <cellStyle name="40% - Accent3 8 3 2" xfId="16570"/>
    <cellStyle name="40% - Accent3 8 3 2 2" xfId="16571"/>
    <cellStyle name="40% - Accent3 8 3 3" xfId="16572"/>
    <cellStyle name="40% - Accent3 8 3 3 2" xfId="16573"/>
    <cellStyle name="40% - Accent3 8 3 4" xfId="16574"/>
    <cellStyle name="40% - Accent3 8 4" xfId="16575"/>
    <cellStyle name="40% - Accent3 8 4 2" xfId="16576"/>
    <cellStyle name="40% - Accent3 8 5" xfId="16577"/>
    <cellStyle name="40% - Accent3 8 5 2" xfId="16578"/>
    <cellStyle name="40% - Accent3 8 6" xfId="16579"/>
    <cellStyle name="40% - Accent3 80" xfId="16580"/>
    <cellStyle name="40% - Accent3 80 2" xfId="16581"/>
    <cellStyle name="40% - Accent3 80 2 2" xfId="16582"/>
    <cellStyle name="40% - Accent3 80 3" xfId="16583"/>
    <cellStyle name="40% - Accent3 80 3 2" xfId="16584"/>
    <cellStyle name="40% - Accent3 80 4" xfId="16585"/>
    <cellStyle name="40% - Accent3 81" xfId="16586"/>
    <cellStyle name="40% - Accent3 81 2" xfId="16587"/>
    <cellStyle name="40% - Accent3 81 2 2" xfId="16588"/>
    <cellStyle name="40% - Accent3 81 3" xfId="16589"/>
    <cellStyle name="40% - Accent3 81 3 2" xfId="16590"/>
    <cellStyle name="40% - Accent3 81 4" xfId="16591"/>
    <cellStyle name="40% - Accent3 82" xfId="16592"/>
    <cellStyle name="40% - Accent3 82 2" xfId="16593"/>
    <cellStyle name="40% - Accent3 82 2 2" xfId="16594"/>
    <cellStyle name="40% - Accent3 82 3" xfId="16595"/>
    <cellStyle name="40% - Accent3 82 3 2" xfId="16596"/>
    <cellStyle name="40% - Accent3 82 4" xfId="16597"/>
    <cellStyle name="40% - Accent3 83" xfId="16598"/>
    <cellStyle name="40% - Accent3 83 2" xfId="16599"/>
    <cellStyle name="40% - Accent3 83 2 2" xfId="16600"/>
    <cellStyle name="40% - Accent3 83 3" xfId="16601"/>
    <cellStyle name="40% - Accent3 83 3 2" xfId="16602"/>
    <cellStyle name="40% - Accent3 83 4" xfId="16603"/>
    <cellStyle name="40% - Accent3 84" xfId="16604"/>
    <cellStyle name="40% - Accent3 84 2" xfId="16605"/>
    <cellStyle name="40% - Accent3 84 2 2" xfId="16606"/>
    <cellStyle name="40% - Accent3 84 3" xfId="16607"/>
    <cellStyle name="40% - Accent3 84 3 2" xfId="16608"/>
    <cellStyle name="40% - Accent3 84 4" xfId="16609"/>
    <cellStyle name="40% - Accent3 85" xfId="16610"/>
    <cellStyle name="40% - Accent3 85 2" xfId="16611"/>
    <cellStyle name="40% - Accent3 85 2 2" xfId="16612"/>
    <cellStyle name="40% - Accent3 85 3" xfId="16613"/>
    <cellStyle name="40% - Accent3 85 3 2" xfId="16614"/>
    <cellStyle name="40% - Accent3 85 4" xfId="16615"/>
    <cellStyle name="40% - Accent3 86" xfId="16616"/>
    <cellStyle name="40% - Accent3 86 2" xfId="16617"/>
    <cellStyle name="40% - Accent3 86 2 2" xfId="16618"/>
    <cellStyle name="40% - Accent3 86 3" xfId="16619"/>
    <cellStyle name="40% - Accent3 86 3 2" xfId="16620"/>
    <cellStyle name="40% - Accent3 86 4" xfId="16621"/>
    <cellStyle name="40% - Accent3 87" xfId="16622"/>
    <cellStyle name="40% - Accent3 87 2" xfId="16623"/>
    <cellStyle name="40% - Accent3 87 2 2" xfId="16624"/>
    <cellStyle name="40% - Accent3 87 3" xfId="16625"/>
    <cellStyle name="40% - Accent3 87 3 2" xfId="16626"/>
    <cellStyle name="40% - Accent3 87 4" xfId="16627"/>
    <cellStyle name="40% - Accent3 88" xfId="16628"/>
    <cellStyle name="40% - Accent3 88 2" xfId="16629"/>
    <cellStyle name="40% - Accent3 88 2 2" xfId="16630"/>
    <cellStyle name="40% - Accent3 88 3" xfId="16631"/>
    <cellStyle name="40% - Accent3 88 3 2" xfId="16632"/>
    <cellStyle name="40% - Accent3 88 4" xfId="16633"/>
    <cellStyle name="40% - Accent3 89" xfId="16634"/>
    <cellStyle name="40% - Accent3 89 2" xfId="16635"/>
    <cellStyle name="40% - Accent3 89 2 2" xfId="16636"/>
    <cellStyle name="40% - Accent3 89 3" xfId="16637"/>
    <cellStyle name="40% - Accent3 89 3 2" xfId="16638"/>
    <cellStyle name="40% - Accent3 89 4" xfId="16639"/>
    <cellStyle name="40% - Accent3 9" xfId="16640"/>
    <cellStyle name="40% - Accent3 9 2" xfId="16641"/>
    <cellStyle name="40% - Accent3 9 2 2" xfId="16642"/>
    <cellStyle name="40% - Accent3 9 2 2 2" xfId="16643"/>
    <cellStyle name="40% - Accent3 9 2 3" xfId="16644"/>
    <cellStyle name="40% - Accent3 9 2 3 2" xfId="16645"/>
    <cellStyle name="40% - Accent3 9 2 4" xfId="16646"/>
    <cellStyle name="40% - Accent3 9 3" xfId="16647"/>
    <cellStyle name="40% - Accent3 9 3 2" xfId="16648"/>
    <cellStyle name="40% - Accent3 9 3 2 2" xfId="16649"/>
    <cellStyle name="40% - Accent3 9 3 3" xfId="16650"/>
    <cellStyle name="40% - Accent3 9 3 3 2" xfId="16651"/>
    <cellStyle name="40% - Accent3 9 3 4" xfId="16652"/>
    <cellStyle name="40% - Accent3 9 4" xfId="16653"/>
    <cellStyle name="40% - Accent3 9 4 2" xfId="16654"/>
    <cellStyle name="40% - Accent3 9 5" xfId="16655"/>
    <cellStyle name="40% - Accent3 9 5 2" xfId="16656"/>
    <cellStyle name="40% - Accent3 9 6" xfId="16657"/>
    <cellStyle name="40% - Accent3 90" xfId="16658"/>
    <cellStyle name="40% - Accent3 90 2" xfId="16659"/>
    <cellStyle name="40% - Accent3 90 2 2" xfId="16660"/>
    <cellStyle name="40% - Accent3 90 3" xfId="16661"/>
    <cellStyle name="40% - Accent3 90 3 2" xfId="16662"/>
    <cellStyle name="40% - Accent3 90 4" xfId="16663"/>
    <cellStyle name="40% - Accent3 91" xfId="16664"/>
    <cellStyle name="40% - Accent3 91 2" xfId="16665"/>
    <cellStyle name="40% - Accent3 91 2 2" xfId="16666"/>
    <cellStyle name="40% - Accent3 91 3" xfId="16667"/>
    <cellStyle name="40% - Accent3 91 3 2" xfId="16668"/>
    <cellStyle name="40% - Accent3 91 4" xfId="16669"/>
    <cellStyle name="40% - Accent3 92" xfId="16670"/>
    <cellStyle name="40% - Accent3 92 2" xfId="16671"/>
    <cellStyle name="40% - Accent3 92 2 2" xfId="16672"/>
    <cellStyle name="40% - Accent3 92 3" xfId="16673"/>
    <cellStyle name="40% - Accent3 92 3 2" xfId="16674"/>
    <cellStyle name="40% - Accent3 92 4" xfId="16675"/>
    <cellStyle name="40% - Accent3 93" xfId="16676"/>
    <cellStyle name="40% - Accent3 93 2" xfId="16677"/>
    <cellStyle name="40% - Accent3 93 2 2" xfId="16678"/>
    <cellStyle name="40% - Accent3 93 3" xfId="16679"/>
    <cellStyle name="40% - Accent3 93 3 2" xfId="16680"/>
    <cellStyle name="40% - Accent3 93 4" xfId="16681"/>
    <cellStyle name="40% - Accent3 94" xfId="16682"/>
    <cellStyle name="40% - Accent3 94 2" xfId="16683"/>
    <cellStyle name="40% - Accent3 94 2 2" xfId="16684"/>
    <cellStyle name="40% - Accent3 94 3" xfId="16685"/>
    <cellStyle name="40% - Accent3 94 3 2" xfId="16686"/>
    <cellStyle name="40% - Accent3 94 4" xfId="16687"/>
    <cellStyle name="40% - Accent3 95" xfId="16688"/>
    <cellStyle name="40% - Accent3 95 2" xfId="16689"/>
    <cellStyle name="40% - Accent3 95 2 2" xfId="16690"/>
    <cellStyle name="40% - Accent3 95 3" xfId="16691"/>
    <cellStyle name="40% - Accent3 95 3 2" xfId="16692"/>
    <cellStyle name="40% - Accent3 95 4" xfId="16693"/>
    <cellStyle name="40% - Accent3 96" xfId="16694"/>
    <cellStyle name="40% - Accent3 96 2" xfId="16695"/>
    <cellStyle name="40% - Accent3 96 2 2" xfId="16696"/>
    <cellStyle name="40% - Accent3 96 3" xfId="16697"/>
    <cellStyle name="40% - Accent3 96 3 2" xfId="16698"/>
    <cellStyle name="40% - Accent3 96 4" xfId="16699"/>
    <cellStyle name="40% - Accent3 97" xfId="16700"/>
    <cellStyle name="40% - Accent3 97 2" xfId="16701"/>
    <cellStyle name="40% - Accent3 97 2 2" xfId="16702"/>
    <cellStyle name="40% - Accent3 97 3" xfId="16703"/>
    <cellStyle name="40% - Accent3 97 3 2" xfId="16704"/>
    <cellStyle name="40% - Accent3 97 4" xfId="16705"/>
    <cellStyle name="40% - Accent3 98" xfId="16706"/>
    <cellStyle name="40% - Accent3 98 2" xfId="16707"/>
    <cellStyle name="40% - Accent3 98 2 2" xfId="16708"/>
    <cellStyle name="40% - Accent3 98 3" xfId="16709"/>
    <cellStyle name="40% - Accent3 98 3 2" xfId="16710"/>
    <cellStyle name="40% - Accent3 98 4" xfId="16711"/>
    <cellStyle name="40% - Accent3 99" xfId="16712"/>
    <cellStyle name="40% - Accent3 99 2" xfId="16713"/>
    <cellStyle name="40% - Accent3 99 2 2" xfId="16714"/>
    <cellStyle name="40% - Accent3 99 3" xfId="16715"/>
    <cellStyle name="40% - Accent3 99 3 2" xfId="16716"/>
    <cellStyle name="40% - Accent3 99 4" xfId="16717"/>
    <cellStyle name="40% - Accent4 10" xfId="16718"/>
    <cellStyle name="40% - Accent4 10 2" xfId="16719"/>
    <cellStyle name="40% - Accent4 10 2 2" xfId="16720"/>
    <cellStyle name="40% - Accent4 10 2 2 2" xfId="16721"/>
    <cellStyle name="40% - Accent4 10 2 3" xfId="16722"/>
    <cellStyle name="40% - Accent4 10 2 3 2" xfId="16723"/>
    <cellStyle name="40% - Accent4 10 2 4" xfId="16724"/>
    <cellStyle name="40% - Accent4 10 3" xfId="16725"/>
    <cellStyle name="40% - Accent4 10 3 2" xfId="16726"/>
    <cellStyle name="40% - Accent4 10 3 2 2" xfId="16727"/>
    <cellStyle name="40% - Accent4 10 3 3" xfId="16728"/>
    <cellStyle name="40% - Accent4 10 3 3 2" xfId="16729"/>
    <cellStyle name="40% - Accent4 10 3 4" xfId="16730"/>
    <cellStyle name="40% - Accent4 10 4" xfId="16731"/>
    <cellStyle name="40% - Accent4 10 4 2" xfId="16732"/>
    <cellStyle name="40% - Accent4 10 5" xfId="16733"/>
    <cellStyle name="40% - Accent4 10 5 2" xfId="16734"/>
    <cellStyle name="40% - Accent4 10 6" xfId="16735"/>
    <cellStyle name="40% - Accent4 100" xfId="16736"/>
    <cellStyle name="40% - Accent4 100 2" xfId="16737"/>
    <cellStyle name="40% - Accent4 100 2 2" xfId="16738"/>
    <cellStyle name="40% - Accent4 100 3" xfId="16739"/>
    <cellStyle name="40% - Accent4 100 3 2" xfId="16740"/>
    <cellStyle name="40% - Accent4 100 4" xfId="16741"/>
    <cellStyle name="40% - Accent4 101" xfId="16742"/>
    <cellStyle name="40% - Accent4 101 2" xfId="16743"/>
    <cellStyle name="40% - Accent4 101 2 2" xfId="16744"/>
    <cellStyle name="40% - Accent4 101 3" xfId="16745"/>
    <cellStyle name="40% - Accent4 101 3 2" xfId="16746"/>
    <cellStyle name="40% - Accent4 101 4" xfId="16747"/>
    <cellStyle name="40% - Accent4 102" xfId="16748"/>
    <cellStyle name="40% - Accent4 102 2" xfId="16749"/>
    <cellStyle name="40% - Accent4 102 2 2" xfId="16750"/>
    <cellStyle name="40% - Accent4 102 3" xfId="16751"/>
    <cellStyle name="40% - Accent4 102 3 2" xfId="16752"/>
    <cellStyle name="40% - Accent4 102 4" xfId="16753"/>
    <cellStyle name="40% - Accent4 103" xfId="16754"/>
    <cellStyle name="40% - Accent4 103 2" xfId="16755"/>
    <cellStyle name="40% - Accent4 103 2 2" xfId="16756"/>
    <cellStyle name="40% - Accent4 103 3" xfId="16757"/>
    <cellStyle name="40% - Accent4 103 3 2" xfId="16758"/>
    <cellStyle name="40% - Accent4 103 4" xfId="16759"/>
    <cellStyle name="40% - Accent4 104" xfId="16760"/>
    <cellStyle name="40% - Accent4 104 2" xfId="16761"/>
    <cellStyle name="40% - Accent4 104 2 2" xfId="16762"/>
    <cellStyle name="40% - Accent4 104 3" xfId="16763"/>
    <cellStyle name="40% - Accent4 104 3 2" xfId="16764"/>
    <cellStyle name="40% - Accent4 104 4" xfId="16765"/>
    <cellStyle name="40% - Accent4 105" xfId="16766"/>
    <cellStyle name="40% - Accent4 105 2" xfId="16767"/>
    <cellStyle name="40% - Accent4 105 2 2" xfId="16768"/>
    <cellStyle name="40% - Accent4 105 3" xfId="16769"/>
    <cellStyle name="40% - Accent4 105 3 2" xfId="16770"/>
    <cellStyle name="40% - Accent4 105 4" xfId="16771"/>
    <cellStyle name="40% - Accent4 106" xfId="16772"/>
    <cellStyle name="40% - Accent4 106 2" xfId="16773"/>
    <cellStyle name="40% - Accent4 106 2 2" xfId="16774"/>
    <cellStyle name="40% - Accent4 106 3" xfId="16775"/>
    <cellStyle name="40% - Accent4 106 3 2" xfId="16776"/>
    <cellStyle name="40% - Accent4 106 4" xfId="16777"/>
    <cellStyle name="40% - Accent4 107" xfId="16778"/>
    <cellStyle name="40% - Accent4 107 2" xfId="16779"/>
    <cellStyle name="40% - Accent4 107 2 2" xfId="16780"/>
    <cellStyle name="40% - Accent4 107 3" xfId="16781"/>
    <cellStyle name="40% - Accent4 107 3 2" xfId="16782"/>
    <cellStyle name="40% - Accent4 107 4" xfId="16783"/>
    <cellStyle name="40% - Accent4 108" xfId="16784"/>
    <cellStyle name="40% - Accent4 108 2" xfId="16785"/>
    <cellStyle name="40% - Accent4 108 2 2" xfId="16786"/>
    <cellStyle name="40% - Accent4 108 3" xfId="16787"/>
    <cellStyle name="40% - Accent4 108 3 2" xfId="16788"/>
    <cellStyle name="40% - Accent4 108 4" xfId="16789"/>
    <cellStyle name="40% - Accent4 109" xfId="16790"/>
    <cellStyle name="40% - Accent4 109 2" xfId="16791"/>
    <cellStyle name="40% - Accent4 109 2 2" xfId="16792"/>
    <cellStyle name="40% - Accent4 109 3" xfId="16793"/>
    <cellStyle name="40% - Accent4 109 3 2" xfId="16794"/>
    <cellStyle name="40% - Accent4 109 4" xfId="16795"/>
    <cellStyle name="40% - Accent4 11" xfId="16796"/>
    <cellStyle name="40% - Accent4 11 2" xfId="16797"/>
    <cellStyle name="40% - Accent4 11 2 2" xfId="16798"/>
    <cellStyle name="40% - Accent4 11 2 2 2" xfId="16799"/>
    <cellStyle name="40% - Accent4 11 2 3" xfId="16800"/>
    <cellStyle name="40% - Accent4 11 2 3 2" xfId="16801"/>
    <cellStyle name="40% - Accent4 11 2 4" xfId="16802"/>
    <cellStyle name="40% - Accent4 11 3" xfId="16803"/>
    <cellStyle name="40% - Accent4 11 3 2" xfId="16804"/>
    <cellStyle name="40% - Accent4 11 3 2 2" xfId="16805"/>
    <cellStyle name="40% - Accent4 11 3 3" xfId="16806"/>
    <cellStyle name="40% - Accent4 11 3 3 2" xfId="16807"/>
    <cellStyle name="40% - Accent4 11 3 4" xfId="16808"/>
    <cellStyle name="40% - Accent4 11 4" xfId="16809"/>
    <cellStyle name="40% - Accent4 11 4 2" xfId="16810"/>
    <cellStyle name="40% - Accent4 11 5" xfId="16811"/>
    <cellStyle name="40% - Accent4 11 5 2" xfId="16812"/>
    <cellStyle name="40% - Accent4 11 6" xfId="16813"/>
    <cellStyle name="40% - Accent4 110" xfId="16814"/>
    <cellStyle name="40% - Accent4 110 2" xfId="16815"/>
    <cellStyle name="40% - Accent4 110 2 2" xfId="16816"/>
    <cellStyle name="40% - Accent4 110 3" xfId="16817"/>
    <cellStyle name="40% - Accent4 110 3 2" xfId="16818"/>
    <cellStyle name="40% - Accent4 110 4" xfId="16819"/>
    <cellStyle name="40% - Accent4 111" xfId="16820"/>
    <cellStyle name="40% - Accent4 111 2" xfId="16821"/>
    <cellStyle name="40% - Accent4 111 2 2" xfId="16822"/>
    <cellStyle name="40% - Accent4 111 3" xfId="16823"/>
    <cellStyle name="40% - Accent4 111 3 2" xfId="16824"/>
    <cellStyle name="40% - Accent4 111 4" xfId="16825"/>
    <cellStyle name="40% - Accent4 112" xfId="16826"/>
    <cellStyle name="40% - Accent4 112 2" xfId="16827"/>
    <cellStyle name="40% - Accent4 112 2 2" xfId="16828"/>
    <cellStyle name="40% - Accent4 112 3" xfId="16829"/>
    <cellStyle name="40% - Accent4 112 3 2" xfId="16830"/>
    <cellStyle name="40% - Accent4 112 4" xfId="16831"/>
    <cellStyle name="40% - Accent4 113" xfId="16832"/>
    <cellStyle name="40% - Accent4 113 2" xfId="16833"/>
    <cellStyle name="40% - Accent4 113 2 2" xfId="16834"/>
    <cellStyle name="40% - Accent4 113 3" xfId="16835"/>
    <cellStyle name="40% - Accent4 113 3 2" xfId="16836"/>
    <cellStyle name="40% - Accent4 113 4" xfId="16837"/>
    <cellStyle name="40% - Accent4 114" xfId="16838"/>
    <cellStyle name="40% - Accent4 114 2" xfId="16839"/>
    <cellStyle name="40% - Accent4 114 2 2" xfId="16840"/>
    <cellStyle name="40% - Accent4 114 3" xfId="16841"/>
    <cellStyle name="40% - Accent4 114 3 2" xfId="16842"/>
    <cellStyle name="40% - Accent4 114 4" xfId="16843"/>
    <cellStyle name="40% - Accent4 115" xfId="16844"/>
    <cellStyle name="40% - Accent4 115 2" xfId="16845"/>
    <cellStyle name="40% - Accent4 115 2 2" xfId="16846"/>
    <cellStyle name="40% - Accent4 115 3" xfId="16847"/>
    <cellStyle name="40% - Accent4 115 3 2" xfId="16848"/>
    <cellStyle name="40% - Accent4 115 4" xfId="16849"/>
    <cellStyle name="40% - Accent4 116" xfId="16850"/>
    <cellStyle name="40% - Accent4 116 2" xfId="16851"/>
    <cellStyle name="40% - Accent4 116 2 2" xfId="16852"/>
    <cellStyle name="40% - Accent4 116 3" xfId="16853"/>
    <cellStyle name="40% - Accent4 116 3 2" xfId="16854"/>
    <cellStyle name="40% - Accent4 116 4" xfId="16855"/>
    <cellStyle name="40% - Accent4 117" xfId="16856"/>
    <cellStyle name="40% - Accent4 117 2" xfId="16857"/>
    <cellStyle name="40% - Accent4 117 2 2" xfId="16858"/>
    <cellStyle name="40% - Accent4 117 3" xfId="16859"/>
    <cellStyle name="40% - Accent4 117 3 2" xfId="16860"/>
    <cellStyle name="40% - Accent4 117 4" xfId="16861"/>
    <cellStyle name="40% - Accent4 118" xfId="16862"/>
    <cellStyle name="40% - Accent4 118 2" xfId="16863"/>
    <cellStyle name="40% - Accent4 118 2 2" xfId="16864"/>
    <cellStyle name="40% - Accent4 118 3" xfId="16865"/>
    <cellStyle name="40% - Accent4 118 3 2" xfId="16866"/>
    <cellStyle name="40% - Accent4 118 4" xfId="16867"/>
    <cellStyle name="40% - Accent4 119" xfId="16868"/>
    <cellStyle name="40% - Accent4 119 2" xfId="16869"/>
    <cellStyle name="40% - Accent4 119 2 2" xfId="16870"/>
    <cellStyle name="40% - Accent4 119 3" xfId="16871"/>
    <cellStyle name="40% - Accent4 119 3 2" xfId="16872"/>
    <cellStyle name="40% - Accent4 119 4" xfId="16873"/>
    <cellStyle name="40% - Accent4 12" xfId="16874"/>
    <cellStyle name="40% - Accent4 12 2" xfId="16875"/>
    <cellStyle name="40% - Accent4 12 2 2" xfId="16876"/>
    <cellStyle name="40% - Accent4 12 2 2 2" xfId="16877"/>
    <cellStyle name="40% - Accent4 12 2 3" xfId="16878"/>
    <cellStyle name="40% - Accent4 12 2 3 2" xfId="16879"/>
    <cellStyle name="40% - Accent4 12 2 4" xfId="16880"/>
    <cellStyle name="40% - Accent4 12 3" xfId="16881"/>
    <cellStyle name="40% - Accent4 12 3 2" xfId="16882"/>
    <cellStyle name="40% - Accent4 12 3 2 2" xfId="16883"/>
    <cellStyle name="40% - Accent4 12 3 3" xfId="16884"/>
    <cellStyle name="40% - Accent4 12 3 3 2" xfId="16885"/>
    <cellStyle name="40% - Accent4 12 3 4" xfId="16886"/>
    <cellStyle name="40% - Accent4 12 4" xfId="16887"/>
    <cellStyle name="40% - Accent4 12 4 2" xfId="16888"/>
    <cellStyle name="40% - Accent4 12 5" xfId="16889"/>
    <cellStyle name="40% - Accent4 12 5 2" xfId="16890"/>
    <cellStyle name="40% - Accent4 12 6" xfId="16891"/>
    <cellStyle name="40% - Accent4 120" xfId="16892"/>
    <cellStyle name="40% - Accent4 120 2" xfId="16893"/>
    <cellStyle name="40% - Accent4 120 2 2" xfId="16894"/>
    <cellStyle name="40% - Accent4 120 3" xfId="16895"/>
    <cellStyle name="40% - Accent4 120 3 2" xfId="16896"/>
    <cellStyle name="40% - Accent4 120 4" xfId="16897"/>
    <cellStyle name="40% - Accent4 121" xfId="16898"/>
    <cellStyle name="40% - Accent4 121 2" xfId="16899"/>
    <cellStyle name="40% - Accent4 121 2 2" xfId="16900"/>
    <cellStyle name="40% - Accent4 121 3" xfId="16901"/>
    <cellStyle name="40% - Accent4 121 3 2" xfId="16902"/>
    <cellStyle name="40% - Accent4 121 4" xfId="16903"/>
    <cellStyle name="40% - Accent4 122" xfId="16904"/>
    <cellStyle name="40% - Accent4 122 2" xfId="16905"/>
    <cellStyle name="40% - Accent4 122 2 2" xfId="16906"/>
    <cellStyle name="40% - Accent4 122 3" xfId="16907"/>
    <cellStyle name="40% - Accent4 122 3 2" xfId="16908"/>
    <cellStyle name="40% - Accent4 122 4" xfId="16909"/>
    <cellStyle name="40% - Accent4 123" xfId="16910"/>
    <cellStyle name="40% - Accent4 123 2" xfId="16911"/>
    <cellStyle name="40% - Accent4 123 2 2" xfId="16912"/>
    <cellStyle name="40% - Accent4 123 3" xfId="16913"/>
    <cellStyle name="40% - Accent4 123 3 2" xfId="16914"/>
    <cellStyle name="40% - Accent4 123 4" xfId="16915"/>
    <cellStyle name="40% - Accent4 124" xfId="16916"/>
    <cellStyle name="40% - Accent4 124 2" xfId="16917"/>
    <cellStyle name="40% - Accent4 124 2 2" xfId="16918"/>
    <cellStyle name="40% - Accent4 124 3" xfId="16919"/>
    <cellStyle name="40% - Accent4 124 3 2" xfId="16920"/>
    <cellStyle name="40% - Accent4 124 4" xfId="16921"/>
    <cellStyle name="40% - Accent4 125" xfId="16922"/>
    <cellStyle name="40% - Accent4 125 2" xfId="16923"/>
    <cellStyle name="40% - Accent4 125 2 2" xfId="16924"/>
    <cellStyle name="40% - Accent4 125 3" xfId="16925"/>
    <cellStyle name="40% - Accent4 125 3 2" xfId="16926"/>
    <cellStyle name="40% - Accent4 125 4" xfId="16927"/>
    <cellStyle name="40% - Accent4 126" xfId="16928"/>
    <cellStyle name="40% - Accent4 126 2" xfId="16929"/>
    <cellStyle name="40% - Accent4 126 2 2" xfId="16930"/>
    <cellStyle name="40% - Accent4 126 3" xfId="16931"/>
    <cellStyle name="40% - Accent4 126 3 2" xfId="16932"/>
    <cellStyle name="40% - Accent4 126 4" xfId="16933"/>
    <cellStyle name="40% - Accent4 127" xfId="16934"/>
    <cellStyle name="40% - Accent4 127 2" xfId="16935"/>
    <cellStyle name="40% - Accent4 127 2 2" xfId="16936"/>
    <cellStyle name="40% - Accent4 127 3" xfId="16937"/>
    <cellStyle name="40% - Accent4 127 3 2" xfId="16938"/>
    <cellStyle name="40% - Accent4 127 4" xfId="16939"/>
    <cellStyle name="40% - Accent4 128" xfId="16940"/>
    <cellStyle name="40% - Accent4 128 2" xfId="16941"/>
    <cellStyle name="40% - Accent4 128 2 2" xfId="16942"/>
    <cellStyle name="40% - Accent4 128 3" xfId="16943"/>
    <cellStyle name="40% - Accent4 128 3 2" xfId="16944"/>
    <cellStyle name="40% - Accent4 128 4" xfId="16945"/>
    <cellStyle name="40% - Accent4 129" xfId="16946"/>
    <cellStyle name="40% - Accent4 129 2" xfId="16947"/>
    <cellStyle name="40% - Accent4 129 2 2" xfId="16948"/>
    <cellStyle name="40% - Accent4 129 3" xfId="16949"/>
    <cellStyle name="40% - Accent4 129 3 2" xfId="16950"/>
    <cellStyle name="40% - Accent4 129 4" xfId="16951"/>
    <cellStyle name="40% - Accent4 13" xfId="16952"/>
    <cellStyle name="40% - Accent4 13 2" xfId="16953"/>
    <cellStyle name="40% - Accent4 13 2 2" xfId="16954"/>
    <cellStyle name="40% - Accent4 13 2 2 2" xfId="16955"/>
    <cellStyle name="40% - Accent4 13 2 3" xfId="16956"/>
    <cellStyle name="40% - Accent4 13 2 3 2" xfId="16957"/>
    <cellStyle name="40% - Accent4 13 2 4" xfId="16958"/>
    <cellStyle name="40% - Accent4 13 3" xfId="16959"/>
    <cellStyle name="40% - Accent4 13 3 2" xfId="16960"/>
    <cellStyle name="40% - Accent4 13 3 2 2" xfId="16961"/>
    <cellStyle name="40% - Accent4 13 3 3" xfId="16962"/>
    <cellStyle name="40% - Accent4 13 3 3 2" xfId="16963"/>
    <cellStyle name="40% - Accent4 13 3 4" xfId="16964"/>
    <cellStyle name="40% - Accent4 13 4" xfId="16965"/>
    <cellStyle name="40% - Accent4 13 4 2" xfId="16966"/>
    <cellStyle name="40% - Accent4 13 5" xfId="16967"/>
    <cellStyle name="40% - Accent4 13 5 2" xfId="16968"/>
    <cellStyle name="40% - Accent4 13 6" xfId="16969"/>
    <cellStyle name="40% - Accent4 130" xfId="16970"/>
    <cellStyle name="40% - Accent4 130 2" xfId="16971"/>
    <cellStyle name="40% - Accent4 130 2 2" xfId="16972"/>
    <cellStyle name="40% - Accent4 130 3" xfId="16973"/>
    <cellStyle name="40% - Accent4 130 3 2" xfId="16974"/>
    <cellStyle name="40% - Accent4 130 4" xfId="16975"/>
    <cellStyle name="40% - Accent4 131" xfId="16976"/>
    <cellStyle name="40% - Accent4 131 2" xfId="16977"/>
    <cellStyle name="40% - Accent4 131 2 2" xfId="16978"/>
    <cellStyle name="40% - Accent4 131 3" xfId="16979"/>
    <cellStyle name="40% - Accent4 131 3 2" xfId="16980"/>
    <cellStyle name="40% - Accent4 131 4" xfId="16981"/>
    <cellStyle name="40% - Accent4 132" xfId="16982"/>
    <cellStyle name="40% - Accent4 132 2" xfId="16983"/>
    <cellStyle name="40% - Accent4 132 2 2" xfId="16984"/>
    <cellStyle name="40% - Accent4 132 3" xfId="16985"/>
    <cellStyle name="40% - Accent4 132 3 2" xfId="16986"/>
    <cellStyle name="40% - Accent4 132 4" xfId="16987"/>
    <cellStyle name="40% - Accent4 133" xfId="16988"/>
    <cellStyle name="40% - Accent4 133 2" xfId="16989"/>
    <cellStyle name="40% - Accent4 133 2 2" xfId="16990"/>
    <cellStyle name="40% - Accent4 133 3" xfId="16991"/>
    <cellStyle name="40% - Accent4 133 3 2" xfId="16992"/>
    <cellStyle name="40% - Accent4 133 4" xfId="16993"/>
    <cellStyle name="40% - Accent4 134" xfId="16994"/>
    <cellStyle name="40% - Accent4 134 2" xfId="16995"/>
    <cellStyle name="40% - Accent4 134 2 2" xfId="16996"/>
    <cellStyle name="40% - Accent4 134 3" xfId="16997"/>
    <cellStyle name="40% - Accent4 134 3 2" xfId="16998"/>
    <cellStyle name="40% - Accent4 134 4" xfId="16999"/>
    <cellStyle name="40% - Accent4 135" xfId="17000"/>
    <cellStyle name="40% - Accent4 135 2" xfId="17001"/>
    <cellStyle name="40% - Accent4 135 2 2" xfId="17002"/>
    <cellStyle name="40% - Accent4 135 3" xfId="17003"/>
    <cellStyle name="40% - Accent4 135 3 2" xfId="17004"/>
    <cellStyle name="40% - Accent4 135 4" xfId="17005"/>
    <cellStyle name="40% - Accent4 136" xfId="17006"/>
    <cellStyle name="40% - Accent4 136 2" xfId="17007"/>
    <cellStyle name="40% - Accent4 136 2 2" xfId="17008"/>
    <cellStyle name="40% - Accent4 136 3" xfId="17009"/>
    <cellStyle name="40% - Accent4 136 3 2" xfId="17010"/>
    <cellStyle name="40% - Accent4 136 4" xfId="17011"/>
    <cellStyle name="40% - Accent4 137" xfId="17012"/>
    <cellStyle name="40% - Accent4 137 2" xfId="17013"/>
    <cellStyle name="40% - Accent4 137 2 2" xfId="17014"/>
    <cellStyle name="40% - Accent4 137 3" xfId="17015"/>
    <cellStyle name="40% - Accent4 137 3 2" xfId="17016"/>
    <cellStyle name="40% - Accent4 137 4" xfId="17017"/>
    <cellStyle name="40% - Accent4 138" xfId="17018"/>
    <cellStyle name="40% - Accent4 138 2" xfId="17019"/>
    <cellStyle name="40% - Accent4 138 2 2" xfId="17020"/>
    <cellStyle name="40% - Accent4 138 3" xfId="17021"/>
    <cellStyle name="40% - Accent4 138 3 2" xfId="17022"/>
    <cellStyle name="40% - Accent4 138 4" xfId="17023"/>
    <cellStyle name="40% - Accent4 139" xfId="17024"/>
    <cellStyle name="40% - Accent4 139 2" xfId="17025"/>
    <cellStyle name="40% - Accent4 139 2 2" xfId="17026"/>
    <cellStyle name="40% - Accent4 139 3" xfId="17027"/>
    <cellStyle name="40% - Accent4 139 3 2" xfId="17028"/>
    <cellStyle name="40% - Accent4 139 4" xfId="17029"/>
    <cellStyle name="40% - Accent4 14" xfId="17030"/>
    <cellStyle name="40% - Accent4 14 2" xfId="17031"/>
    <cellStyle name="40% - Accent4 14 2 2" xfId="17032"/>
    <cellStyle name="40% - Accent4 14 2 2 2" xfId="17033"/>
    <cellStyle name="40% - Accent4 14 2 3" xfId="17034"/>
    <cellStyle name="40% - Accent4 14 2 3 2" xfId="17035"/>
    <cellStyle name="40% - Accent4 14 2 4" xfId="17036"/>
    <cellStyle name="40% - Accent4 14 3" xfId="17037"/>
    <cellStyle name="40% - Accent4 14 3 2" xfId="17038"/>
    <cellStyle name="40% - Accent4 14 3 2 2" xfId="17039"/>
    <cellStyle name="40% - Accent4 14 3 3" xfId="17040"/>
    <cellStyle name="40% - Accent4 14 3 3 2" xfId="17041"/>
    <cellStyle name="40% - Accent4 14 3 4" xfId="17042"/>
    <cellStyle name="40% - Accent4 14 4" xfId="17043"/>
    <cellStyle name="40% - Accent4 14 4 2" xfId="17044"/>
    <cellStyle name="40% - Accent4 14 5" xfId="17045"/>
    <cellStyle name="40% - Accent4 14 5 2" xfId="17046"/>
    <cellStyle name="40% - Accent4 14 6" xfId="17047"/>
    <cellStyle name="40% - Accent4 140" xfId="17048"/>
    <cellStyle name="40% - Accent4 140 2" xfId="17049"/>
    <cellStyle name="40% - Accent4 140 2 2" xfId="17050"/>
    <cellStyle name="40% - Accent4 140 3" xfId="17051"/>
    <cellStyle name="40% - Accent4 140 3 2" xfId="17052"/>
    <cellStyle name="40% - Accent4 140 4" xfId="17053"/>
    <cellStyle name="40% - Accent4 141" xfId="17054"/>
    <cellStyle name="40% - Accent4 141 2" xfId="17055"/>
    <cellStyle name="40% - Accent4 141 2 2" xfId="17056"/>
    <cellStyle name="40% - Accent4 141 3" xfId="17057"/>
    <cellStyle name="40% - Accent4 141 3 2" xfId="17058"/>
    <cellStyle name="40% - Accent4 141 4" xfId="17059"/>
    <cellStyle name="40% - Accent4 142" xfId="17060"/>
    <cellStyle name="40% - Accent4 142 2" xfId="17061"/>
    <cellStyle name="40% - Accent4 142 2 2" xfId="17062"/>
    <cellStyle name="40% - Accent4 142 3" xfId="17063"/>
    <cellStyle name="40% - Accent4 142 3 2" xfId="17064"/>
    <cellStyle name="40% - Accent4 142 4" xfId="17065"/>
    <cellStyle name="40% - Accent4 143" xfId="17066"/>
    <cellStyle name="40% - Accent4 143 2" xfId="17067"/>
    <cellStyle name="40% - Accent4 143 2 2" xfId="17068"/>
    <cellStyle name="40% - Accent4 143 3" xfId="17069"/>
    <cellStyle name="40% - Accent4 143 3 2" xfId="17070"/>
    <cellStyle name="40% - Accent4 143 4" xfId="17071"/>
    <cellStyle name="40% - Accent4 144" xfId="17072"/>
    <cellStyle name="40% - Accent4 144 2" xfId="17073"/>
    <cellStyle name="40% - Accent4 144 2 2" xfId="17074"/>
    <cellStyle name="40% - Accent4 144 3" xfId="17075"/>
    <cellStyle name="40% - Accent4 144 3 2" xfId="17076"/>
    <cellStyle name="40% - Accent4 144 4" xfId="17077"/>
    <cellStyle name="40% - Accent4 145" xfId="17078"/>
    <cellStyle name="40% - Accent4 145 2" xfId="17079"/>
    <cellStyle name="40% - Accent4 145 2 2" xfId="17080"/>
    <cellStyle name="40% - Accent4 145 3" xfId="17081"/>
    <cellStyle name="40% - Accent4 145 3 2" xfId="17082"/>
    <cellStyle name="40% - Accent4 145 4" xfId="17083"/>
    <cellStyle name="40% - Accent4 146" xfId="17084"/>
    <cellStyle name="40% - Accent4 146 2" xfId="17085"/>
    <cellStyle name="40% - Accent4 146 2 2" xfId="17086"/>
    <cellStyle name="40% - Accent4 146 3" xfId="17087"/>
    <cellStyle name="40% - Accent4 146 3 2" xfId="17088"/>
    <cellStyle name="40% - Accent4 146 4" xfId="17089"/>
    <cellStyle name="40% - Accent4 147" xfId="17090"/>
    <cellStyle name="40% - Accent4 147 2" xfId="17091"/>
    <cellStyle name="40% - Accent4 147 2 2" xfId="17092"/>
    <cellStyle name="40% - Accent4 147 3" xfId="17093"/>
    <cellStyle name="40% - Accent4 147 3 2" xfId="17094"/>
    <cellStyle name="40% - Accent4 147 4" xfId="17095"/>
    <cellStyle name="40% - Accent4 148" xfId="17096"/>
    <cellStyle name="40% - Accent4 148 2" xfId="17097"/>
    <cellStyle name="40% - Accent4 148 2 2" xfId="17098"/>
    <cellStyle name="40% - Accent4 148 3" xfId="17099"/>
    <cellStyle name="40% - Accent4 148 3 2" xfId="17100"/>
    <cellStyle name="40% - Accent4 148 4" xfId="17101"/>
    <cellStyle name="40% - Accent4 149" xfId="17102"/>
    <cellStyle name="40% - Accent4 149 2" xfId="17103"/>
    <cellStyle name="40% - Accent4 149 2 2" xfId="17104"/>
    <cellStyle name="40% - Accent4 149 3" xfId="17105"/>
    <cellStyle name="40% - Accent4 149 3 2" xfId="17106"/>
    <cellStyle name="40% - Accent4 149 4" xfId="17107"/>
    <cellStyle name="40% - Accent4 15" xfId="17108"/>
    <cellStyle name="40% - Accent4 15 2" xfId="17109"/>
    <cellStyle name="40% - Accent4 15 2 2" xfId="17110"/>
    <cellStyle name="40% - Accent4 15 2 2 2" xfId="17111"/>
    <cellStyle name="40% - Accent4 15 2 3" xfId="17112"/>
    <cellStyle name="40% - Accent4 15 2 3 2" xfId="17113"/>
    <cellStyle name="40% - Accent4 15 2 4" xfId="17114"/>
    <cellStyle name="40% - Accent4 15 3" xfId="17115"/>
    <cellStyle name="40% - Accent4 15 3 2" xfId="17116"/>
    <cellStyle name="40% - Accent4 15 3 2 2" xfId="17117"/>
    <cellStyle name="40% - Accent4 15 3 3" xfId="17118"/>
    <cellStyle name="40% - Accent4 15 3 3 2" xfId="17119"/>
    <cellStyle name="40% - Accent4 15 3 4" xfId="17120"/>
    <cellStyle name="40% - Accent4 15 4" xfId="17121"/>
    <cellStyle name="40% - Accent4 15 4 2" xfId="17122"/>
    <cellStyle name="40% - Accent4 15 5" xfId="17123"/>
    <cellStyle name="40% - Accent4 15 5 2" xfId="17124"/>
    <cellStyle name="40% - Accent4 15 6" xfId="17125"/>
    <cellStyle name="40% - Accent4 150" xfId="17126"/>
    <cellStyle name="40% - Accent4 150 2" xfId="17127"/>
    <cellStyle name="40% - Accent4 150 2 2" xfId="17128"/>
    <cellStyle name="40% - Accent4 150 3" xfId="17129"/>
    <cellStyle name="40% - Accent4 150 3 2" xfId="17130"/>
    <cellStyle name="40% - Accent4 150 4" xfId="17131"/>
    <cellStyle name="40% - Accent4 151" xfId="17132"/>
    <cellStyle name="40% - Accent4 151 2" xfId="17133"/>
    <cellStyle name="40% - Accent4 151 2 2" xfId="17134"/>
    <cellStyle name="40% - Accent4 151 3" xfId="17135"/>
    <cellStyle name="40% - Accent4 151 3 2" xfId="17136"/>
    <cellStyle name="40% - Accent4 151 4" xfId="17137"/>
    <cellStyle name="40% - Accent4 152" xfId="17138"/>
    <cellStyle name="40% - Accent4 152 2" xfId="17139"/>
    <cellStyle name="40% - Accent4 152 2 2" xfId="17140"/>
    <cellStyle name="40% - Accent4 152 3" xfId="17141"/>
    <cellStyle name="40% - Accent4 152 3 2" xfId="17142"/>
    <cellStyle name="40% - Accent4 152 4" xfId="17143"/>
    <cellStyle name="40% - Accent4 153" xfId="17144"/>
    <cellStyle name="40% - Accent4 153 2" xfId="17145"/>
    <cellStyle name="40% - Accent4 153 2 2" xfId="17146"/>
    <cellStyle name="40% - Accent4 153 3" xfId="17147"/>
    <cellStyle name="40% - Accent4 153 3 2" xfId="17148"/>
    <cellStyle name="40% - Accent4 153 4" xfId="17149"/>
    <cellStyle name="40% - Accent4 154" xfId="17150"/>
    <cellStyle name="40% - Accent4 154 2" xfId="17151"/>
    <cellStyle name="40% - Accent4 154 2 2" xfId="17152"/>
    <cellStyle name="40% - Accent4 154 3" xfId="17153"/>
    <cellStyle name="40% - Accent4 154 3 2" xfId="17154"/>
    <cellStyle name="40% - Accent4 154 4" xfId="17155"/>
    <cellStyle name="40% - Accent4 155" xfId="17156"/>
    <cellStyle name="40% - Accent4 155 2" xfId="17157"/>
    <cellStyle name="40% - Accent4 155 2 2" xfId="17158"/>
    <cellStyle name="40% - Accent4 155 3" xfId="17159"/>
    <cellStyle name="40% - Accent4 155 3 2" xfId="17160"/>
    <cellStyle name="40% - Accent4 155 4" xfId="17161"/>
    <cellStyle name="40% - Accent4 156" xfId="17162"/>
    <cellStyle name="40% - Accent4 156 2" xfId="17163"/>
    <cellStyle name="40% - Accent4 156 2 2" xfId="17164"/>
    <cellStyle name="40% - Accent4 156 3" xfId="17165"/>
    <cellStyle name="40% - Accent4 156 3 2" xfId="17166"/>
    <cellStyle name="40% - Accent4 156 4" xfId="17167"/>
    <cellStyle name="40% - Accent4 157" xfId="17168"/>
    <cellStyle name="40% - Accent4 157 2" xfId="17169"/>
    <cellStyle name="40% - Accent4 157 2 2" xfId="17170"/>
    <cellStyle name="40% - Accent4 157 3" xfId="17171"/>
    <cellStyle name="40% - Accent4 157 3 2" xfId="17172"/>
    <cellStyle name="40% - Accent4 157 4" xfId="17173"/>
    <cellStyle name="40% - Accent4 158" xfId="17174"/>
    <cellStyle name="40% - Accent4 158 2" xfId="17175"/>
    <cellStyle name="40% - Accent4 158 2 2" xfId="17176"/>
    <cellStyle name="40% - Accent4 158 3" xfId="17177"/>
    <cellStyle name="40% - Accent4 158 3 2" xfId="17178"/>
    <cellStyle name="40% - Accent4 158 4" xfId="17179"/>
    <cellStyle name="40% - Accent4 159" xfId="17180"/>
    <cellStyle name="40% - Accent4 159 2" xfId="17181"/>
    <cellStyle name="40% - Accent4 159 2 2" xfId="17182"/>
    <cellStyle name="40% - Accent4 159 3" xfId="17183"/>
    <cellStyle name="40% - Accent4 159 3 2" xfId="17184"/>
    <cellStyle name="40% - Accent4 159 4" xfId="17185"/>
    <cellStyle name="40% - Accent4 16" xfId="17186"/>
    <cellStyle name="40% - Accent4 16 2" xfId="17187"/>
    <cellStyle name="40% - Accent4 16 2 2" xfId="17188"/>
    <cellStyle name="40% - Accent4 16 2 2 2" xfId="17189"/>
    <cellStyle name="40% - Accent4 16 2 3" xfId="17190"/>
    <cellStyle name="40% - Accent4 16 2 3 2" xfId="17191"/>
    <cellStyle name="40% - Accent4 16 2 4" xfId="17192"/>
    <cellStyle name="40% - Accent4 16 3" xfId="17193"/>
    <cellStyle name="40% - Accent4 16 3 2" xfId="17194"/>
    <cellStyle name="40% - Accent4 16 3 2 2" xfId="17195"/>
    <cellStyle name="40% - Accent4 16 3 3" xfId="17196"/>
    <cellStyle name="40% - Accent4 16 3 3 2" xfId="17197"/>
    <cellStyle name="40% - Accent4 16 3 4" xfId="17198"/>
    <cellStyle name="40% - Accent4 16 4" xfId="17199"/>
    <cellStyle name="40% - Accent4 16 4 2" xfId="17200"/>
    <cellStyle name="40% - Accent4 16 5" xfId="17201"/>
    <cellStyle name="40% - Accent4 16 5 2" xfId="17202"/>
    <cellStyle name="40% - Accent4 16 6" xfId="17203"/>
    <cellStyle name="40% - Accent4 160" xfId="17204"/>
    <cellStyle name="40% - Accent4 160 2" xfId="17205"/>
    <cellStyle name="40% - Accent4 160 2 2" xfId="17206"/>
    <cellStyle name="40% - Accent4 160 3" xfId="17207"/>
    <cellStyle name="40% - Accent4 160 3 2" xfId="17208"/>
    <cellStyle name="40% - Accent4 160 4" xfId="17209"/>
    <cellStyle name="40% - Accent4 161" xfId="17210"/>
    <cellStyle name="40% - Accent4 161 2" xfId="17211"/>
    <cellStyle name="40% - Accent4 161 2 2" xfId="17212"/>
    <cellStyle name="40% - Accent4 161 3" xfId="17213"/>
    <cellStyle name="40% - Accent4 161 3 2" xfId="17214"/>
    <cellStyle name="40% - Accent4 161 4" xfId="17215"/>
    <cellStyle name="40% - Accent4 162" xfId="17216"/>
    <cellStyle name="40% - Accent4 162 2" xfId="17217"/>
    <cellStyle name="40% - Accent4 162 2 2" xfId="17218"/>
    <cellStyle name="40% - Accent4 162 3" xfId="17219"/>
    <cellStyle name="40% - Accent4 162 3 2" xfId="17220"/>
    <cellStyle name="40% - Accent4 162 4" xfId="17221"/>
    <cellStyle name="40% - Accent4 163" xfId="17222"/>
    <cellStyle name="40% - Accent4 163 2" xfId="17223"/>
    <cellStyle name="40% - Accent4 163 2 2" xfId="17224"/>
    <cellStyle name="40% - Accent4 163 3" xfId="17225"/>
    <cellStyle name="40% - Accent4 163 3 2" xfId="17226"/>
    <cellStyle name="40% - Accent4 163 4" xfId="17227"/>
    <cellStyle name="40% - Accent4 164" xfId="17228"/>
    <cellStyle name="40% - Accent4 164 2" xfId="17229"/>
    <cellStyle name="40% - Accent4 164 2 2" xfId="17230"/>
    <cellStyle name="40% - Accent4 164 3" xfId="17231"/>
    <cellStyle name="40% - Accent4 164 3 2" xfId="17232"/>
    <cellStyle name="40% - Accent4 164 4" xfId="17233"/>
    <cellStyle name="40% - Accent4 165" xfId="17234"/>
    <cellStyle name="40% - Accent4 165 2" xfId="17235"/>
    <cellStyle name="40% - Accent4 165 2 2" xfId="17236"/>
    <cellStyle name="40% - Accent4 165 3" xfId="17237"/>
    <cellStyle name="40% - Accent4 165 3 2" xfId="17238"/>
    <cellStyle name="40% - Accent4 165 4" xfId="17239"/>
    <cellStyle name="40% - Accent4 166" xfId="17240"/>
    <cellStyle name="40% - Accent4 166 2" xfId="17241"/>
    <cellStyle name="40% - Accent4 166 2 2" xfId="17242"/>
    <cellStyle name="40% - Accent4 166 3" xfId="17243"/>
    <cellStyle name="40% - Accent4 166 3 2" xfId="17244"/>
    <cellStyle name="40% - Accent4 166 4" xfId="17245"/>
    <cellStyle name="40% - Accent4 167" xfId="17246"/>
    <cellStyle name="40% - Accent4 167 2" xfId="17247"/>
    <cellStyle name="40% - Accent4 167 2 2" xfId="17248"/>
    <cellStyle name="40% - Accent4 167 3" xfId="17249"/>
    <cellStyle name="40% - Accent4 167 3 2" xfId="17250"/>
    <cellStyle name="40% - Accent4 167 4" xfId="17251"/>
    <cellStyle name="40% - Accent4 168" xfId="17252"/>
    <cellStyle name="40% - Accent4 168 2" xfId="17253"/>
    <cellStyle name="40% - Accent4 168 2 2" xfId="17254"/>
    <cellStyle name="40% - Accent4 168 3" xfId="17255"/>
    <cellStyle name="40% - Accent4 168 3 2" xfId="17256"/>
    <cellStyle name="40% - Accent4 168 4" xfId="17257"/>
    <cellStyle name="40% - Accent4 169" xfId="17258"/>
    <cellStyle name="40% - Accent4 169 2" xfId="17259"/>
    <cellStyle name="40% - Accent4 169 2 2" xfId="17260"/>
    <cellStyle name="40% - Accent4 169 3" xfId="17261"/>
    <cellStyle name="40% - Accent4 169 3 2" xfId="17262"/>
    <cellStyle name="40% - Accent4 169 4" xfId="17263"/>
    <cellStyle name="40% - Accent4 17" xfId="17264"/>
    <cellStyle name="40% - Accent4 17 2" xfId="17265"/>
    <cellStyle name="40% - Accent4 17 2 2" xfId="17266"/>
    <cellStyle name="40% - Accent4 17 2 2 2" xfId="17267"/>
    <cellStyle name="40% - Accent4 17 2 3" xfId="17268"/>
    <cellStyle name="40% - Accent4 17 2 3 2" xfId="17269"/>
    <cellStyle name="40% - Accent4 17 2 4" xfId="17270"/>
    <cellStyle name="40% - Accent4 17 3" xfId="17271"/>
    <cellStyle name="40% - Accent4 17 3 2" xfId="17272"/>
    <cellStyle name="40% - Accent4 17 3 2 2" xfId="17273"/>
    <cellStyle name="40% - Accent4 17 3 3" xfId="17274"/>
    <cellStyle name="40% - Accent4 17 3 3 2" xfId="17275"/>
    <cellStyle name="40% - Accent4 17 3 4" xfId="17276"/>
    <cellStyle name="40% - Accent4 17 4" xfId="17277"/>
    <cellStyle name="40% - Accent4 17 4 2" xfId="17278"/>
    <cellStyle name="40% - Accent4 17 5" xfId="17279"/>
    <cellStyle name="40% - Accent4 17 5 2" xfId="17280"/>
    <cellStyle name="40% - Accent4 17 6" xfId="17281"/>
    <cellStyle name="40% - Accent4 170" xfId="17282"/>
    <cellStyle name="40% - Accent4 170 2" xfId="17283"/>
    <cellStyle name="40% - Accent4 170 2 2" xfId="17284"/>
    <cellStyle name="40% - Accent4 170 3" xfId="17285"/>
    <cellStyle name="40% - Accent4 170 3 2" xfId="17286"/>
    <cellStyle name="40% - Accent4 170 4" xfId="17287"/>
    <cellStyle name="40% - Accent4 171" xfId="17288"/>
    <cellStyle name="40% - Accent4 171 2" xfId="17289"/>
    <cellStyle name="40% - Accent4 171 2 2" xfId="17290"/>
    <cellStyle name="40% - Accent4 171 3" xfId="17291"/>
    <cellStyle name="40% - Accent4 171 3 2" xfId="17292"/>
    <cellStyle name="40% - Accent4 171 4" xfId="17293"/>
    <cellStyle name="40% - Accent4 172" xfId="17294"/>
    <cellStyle name="40% - Accent4 172 2" xfId="17295"/>
    <cellStyle name="40% - Accent4 172 2 2" xfId="17296"/>
    <cellStyle name="40% - Accent4 172 3" xfId="17297"/>
    <cellStyle name="40% - Accent4 172 3 2" xfId="17298"/>
    <cellStyle name="40% - Accent4 172 4" xfId="17299"/>
    <cellStyle name="40% - Accent4 173" xfId="17300"/>
    <cellStyle name="40% - Accent4 173 2" xfId="17301"/>
    <cellStyle name="40% - Accent4 173 2 2" xfId="17302"/>
    <cellStyle name="40% - Accent4 173 3" xfId="17303"/>
    <cellStyle name="40% - Accent4 173 3 2" xfId="17304"/>
    <cellStyle name="40% - Accent4 173 4" xfId="17305"/>
    <cellStyle name="40% - Accent4 174" xfId="17306"/>
    <cellStyle name="40% - Accent4 174 2" xfId="17307"/>
    <cellStyle name="40% - Accent4 174 2 2" xfId="17308"/>
    <cellStyle name="40% - Accent4 174 3" xfId="17309"/>
    <cellStyle name="40% - Accent4 174 3 2" xfId="17310"/>
    <cellStyle name="40% - Accent4 174 4" xfId="17311"/>
    <cellStyle name="40% - Accent4 175" xfId="17312"/>
    <cellStyle name="40% - Accent4 175 2" xfId="17313"/>
    <cellStyle name="40% - Accent4 175 2 2" xfId="17314"/>
    <cellStyle name="40% - Accent4 175 3" xfId="17315"/>
    <cellStyle name="40% - Accent4 175 3 2" xfId="17316"/>
    <cellStyle name="40% - Accent4 175 4" xfId="17317"/>
    <cellStyle name="40% - Accent4 176" xfId="17318"/>
    <cellStyle name="40% - Accent4 176 2" xfId="17319"/>
    <cellStyle name="40% - Accent4 176 2 2" xfId="17320"/>
    <cellStyle name="40% - Accent4 176 3" xfId="17321"/>
    <cellStyle name="40% - Accent4 176 3 2" xfId="17322"/>
    <cellStyle name="40% - Accent4 176 4" xfId="17323"/>
    <cellStyle name="40% - Accent4 177" xfId="17324"/>
    <cellStyle name="40% - Accent4 177 2" xfId="17325"/>
    <cellStyle name="40% - Accent4 177 2 2" xfId="17326"/>
    <cellStyle name="40% - Accent4 177 3" xfId="17327"/>
    <cellStyle name="40% - Accent4 177 3 2" xfId="17328"/>
    <cellStyle name="40% - Accent4 177 4" xfId="17329"/>
    <cellStyle name="40% - Accent4 178" xfId="17330"/>
    <cellStyle name="40% - Accent4 178 2" xfId="17331"/>
    <cellStyle name="40% - Accent4 178 2 2" xfId="17332"/>
    <cellStyle name="40% - Accent4 178 3" xfId="17333"/>
    <cellStyle name="40% - Accent4 178 3 2" xfId="17334"/>
    <cellStyle name="40% - Accent4 178 4" xfId="17335"/>
    <cellStyle name="40% - Accent4 179" xfId="17336"/>
    <cellStyle name="40% - Accent4 179 2" xfId="17337"/>
    <cellStyle name="40% - Accent4 179 2 2" xfId="17338"/>
    <cellStyle name="40% - Accent4 179 3" xfId="17339"/>
    <cellStyle name="40% - Accent4 179 3 2" xfId="17340"/>
    <cellStyle name="40% - Accent4 179 4" xfId="17341"/>
    <cellStyle name="40% - Accent4 18" xfId="17342"/>
    <cellStyle name="40% - Accent4 18 2" xfId="17343"/>
    <cellStyle name="40% - Accent4 18 2 2" xfId="17344"/>
    <cellStyle name="40% - Accent4 18 2 2 2" xfId="17345"/>
    <cellStyle name="40% - Accent4 18 2 3" xfId="17346"/>
    <cellStyle name="40% - Accent4 18 2 3 2" xfId="17347"/>
    <cellStyle name="40% - Accent4 18 2 4" xfId="17348"/>
    <cellStyle name="40% - Accent4 18 3" xfId="17349"/>
    <cellStyle name="40% - Accent4 18 3 2" xfId="17350"/>
    <cellStyle name="40% - Accent4 18 3 2 2" xfId="17351"/>
    <cellStyle name="40% - Accent4 18 3 3" xfId="17352"/>
    <cellStyle name="40% - Accent4 18 3 3 2" xfId="17353"/>
    <cellStyle name="40% - Accent4 18 3 4" xfId="17354"/>
    <cellStyle name="40% - Accent4 18 4" xfId="17355"/>
    <cellStyle name="40% - Accent4 18 4 2" xfId="17356"/>
    <cellStyle name="40% - Accent4 18 5" xfId="17357"/>
    <cellStyle name="40% - Accent4 18 5 2" xfId="17358"/>
    <cellStyle name="40% - Accent4 18 6" xfId="17359"/>
    <cellStyle name="40% - Accent4 180" xfId="17360"/>
    <cellStyle name="40% - Accent4 180 2" xfId="17361"/>
    <cellStyle name="40% - Accent4 180 2 2" xfId="17362"/>
    <cellStyle name="40% - Accent4 180 3" xfId="17363"/>
    <cellStyle name="40% - Accent4 180 3 2" xfId="17364"/>
    <cellStyle name="40% - Accent4 180 4" xfId="17365"/>
    <cellStyle name="40% - Accent4 181" xfId="17366"/>
    <cellStyle name="40% - Accent4 181 2" xfId="17367"/>
    <cellStyle name="40% - Accent4 181 2 2" xfId="17368"/>
    <cellStyle name="40% - Accent4 181 3" xfId="17369"/>
    <cellStyle name="40% - Accent4 181 3 2" xfId="17370"/>
    <cellStyle name="40% - Accent4 181 4" xfId="17371"/>
    <cellStyle name="40% - Accent4 182" xfId="17372"/>
    <cellStyle name="40% - Accent4 182 2" xfId="17373"/>
    <cellStyle name="40% - Accent4 182 2 2" xfId="17374"/>
    <cellStyle name="40% - Accent4 182 3" xfId="17375"/>
    <cellStyle name="40% - Accent4 182 3 2" xfId="17376"/>
    <cellStyle name="40% - Accent4 182 4" xfId="17377"/>
    <cellStyle name="40% - Accent4 183" xfId="17378"/>
    <cellStyle name="40% - Accent4 183 2" xfId="17379"/>
    <cellStyle name="40% - Accent4 183 2 2" xfId="17380"/>
    <cellStyle name="40% - Accent4 183 3" xfId="17381"/>
    <cellStyle name="40% - Accent4 183 3 2" xfId="17382"/>
    <cellStyle name="40% - Accent4 183 4" xfId="17383"/>
    <cellStyle name="40% - Accent4 184" xfId="17384"/>
    <cellStyle name="40% - Accent4 184 2" xfId="17385"/>
    <cellStyle name="40% - Accent4 184 2 2" xfId="17386"/>
    <cellStyle name="40% - Accent4 184 3" xfId="17387"/>
    <cellStyle name="40% - Accent4 184 3 2" xfId="17388"/>
    <cellStyle name="40% - Accent4 184 4" xfId="17389"/>
    <cellStyle name="40% - Accent4 185" xfId="17390"/>
    <cellStyle name="40% - Accent4 185 2" xfId="17391"/>
    <cellStyle name="40% - Accent4 185 2 2" xfId="17392"/>
    <cellStyle name="40% - Accent4 185 3" xfId="17393"/>
    <cellStyle name="40% - Accent4 185 3 2" xfId="17394"/>
    <cellStyle name="40% - Accent4 185 4" xfId="17395"/>
    <cellStyle name="40% - Accent4 186" xfId="17396"/>
    <cellStyle name="40% - Accent4 186 2" xfId="17397"/>
    <cellStyle name="40% - Accent4 186 2 2" xfId="17398"/>
    <cellStyle name="40% - Accent4 186 3" xfId="17399"/>
    <cellStyle name="40% - Accent4 186 3 2" xfId="17400"/>
    <cellStyle name="40% - Accent4 186 4" xfId="17401"/>
    <cellStyle name="40% - Accent4 187" xfId="17402"/>
    <cellStyle name="40% - Accent4 187 2" xfId="17403"/>
    <cellStyle name="40% - Accent4 187 2 2" xfId="17404"/>
    <cellStyle name="40% - Accent4 187 3" xfId="17405"/>
    <cellStyle name="40% - Accent4 187 3 2" xfId="17406"/>
    <cellStyle name="40% - Accent4 187 4" xfId="17407"/>
    <cellStyle name="40% - Accent4 188" xfId="17408"/>
    <cellStyle name="40% - Accent4 188 2" xfId="17409"/>
    <cellStyle name="40% - Accent4 188 2 2" xfId="17410"/>
    <cellStyle name="40% - Accent4 188 3" xfId="17411"/>
    <cellStyle name="40% - Accent4 188 3 2" xfId="17412"/>
    <cellStyle name="40% - Accent4 188 4" xfId="17413"/>
    <cellStyle name="40% - Accent4 189" xfId="17414"/>
    <cellStyle name="40% - Accent4 189 2" xfId="17415"/>
    <cellStyle name="40% - Accent4 189 2 2" xfId="17416"/>
    <cellStyle name="40% - Accent4 189 3" xfId="17417"/>
    <cellStyle name="40% - Accent4 189 3 2" xfId="17418"/>
    <cellStyle name="40% - Accent4 189 4" xfId="17419"/>
    <cellStyle name="40% - Accent4 19" xfId="17420"/>
    <cellStyle name="40% - Accent4 19 2" xfId="17421"/>
    <cellStyle name="40% - Accent4 19 2 2" xfId="17422"/>
    <cellStyle name="40% - Accent4 19 2 2 2" xfId="17423"/>
    <cellStyle name="40% - Accent4 19 2 3" xfId="17424"/>
    <cellStyle name="40% - Accent4 19 2 3 2" xfId="17425"/>
    <cellStyle name="40% - Accent4 19 2 4" xfId="17426"/>
    <cellStyle name="40% - Accent4 19 3" xfId="17427"/>
    <cellStyle name="40% - Accent4 19 3 2" xfId="17428"/>
    <cellStyle name="40% - Accent4 19 3 2 2" xfId="17429"/>
    <cellStyle name="40% - Accent4 19 3 3" xfId="17430"/>
    <cellStyle name="40% - Accent4 19 3 3 2" xfId="17431"/>
    <cellStyle name="40% - Accent4 19 3 4" xfId="17432"/>
    <cellStyle name="40% - Accent4 19 4" xfId="17433"/>
    <cellStyle name="40% - Accent4 19 4 2" xfId="17434"/>
    <cellStyle name="40% - Accent4 19 5" xfId="17435"/>
    <cellStyle name="40% - Accent4 19 5 2" xfId="17436"/>
    <cellStyle name="40% - Accent4 19 6" xfId="17437"/>
    <cellStyle name="40% - Accent4 190" xfId="17438"/>
    <cellStyle name="40% - Accent4 190 2" xfId="17439"/>
    <cellStyle name="40% - Accent4 190 2 2" xfId="17440"/>
    <cellStyle name="40% - Accent4 190 3" xfId="17441"/>
    <cellStyle name="40% - Accent4 190 3 2" xfId="17442"/>
    <cellStyle name="40% - Accent4 190 4" xfId="17443"/>
    <cellStyle name="40% - Accent4 191" xfId="17444"/>
    <cellStyle name="40% - Accent4 191 2" xfId="17445"/>
    <cellStyle name="40% - Accent4 191 2 2" xfId="17446"/>
    <cellStyle name="40% - Accent4 191 3" xfId="17447"/>
    <cellStyle name="40% - Accent4 191 3 2" xfId="17448"/>
    <cellStyle name="40% - Accent4 191 4" xfId="17449"/>
    <cellStyle name="40% - Accent4 192" xfId="17450"/>
    <cellStyle name="40% - Accent4 192 2" xfId="17451"/>
    <cellStyle name="40% - Accent4 192 2 2" xfId="17452"/>
    <cellStyle name="40% - Accent4 192 3" xfId="17453"/>
    <cellStyle name="40% - Accent4 192 3 2" xfId="17454"/>
    <cellStyle name="40% - Accent4 192 4" xfId="17455"/>
    <cellStyle name="40% - Accent4 193" xfId="17456"/>
    <cellStyle name="40% - Accent4 193 2" xfId="17457"/>
    <cellStyle name="40% - Accent4 193 2 2" xfId="17458"/>
    <cellStyle name="40% - Accent4 193 3" xfId="17459"/>
    <cellStyle name="40% - Accent4 193 3 2" xfId="17460"/>
    <cellStyle name="40% - Accent4 193 4" xfId="17461"/>
    <cellStyle name="40% - Accent4 194" xfId="17462"/>
    <cellStyle name="40% - Accent4 194 2" xfId="17463"/>
    <cellStyle name="40% - Accent4 194 2 2" xfId="17464"/>
    <cellStyle name="40% - Accent4 194 3" xfId="17465"/>
    <cellStyle name="40% - Accent4 194 3 2" xfId="17466"/>
    <cellStyle name="40% - Accent4 194 4" xfId="17467"/>
    <cellStyle name="40% - Accent4 195" xfId="17468"/>
    <cellStyle name="40% - Accent4 195 2" xfId="17469"/>
    <cellStyle name="40% - Accent4 195 2 2" xfId="17470"/>
    <cellStyle name="40% - Accent4 195 3" xfId="17471"/>
    <cellStyle name="40% - Accent4 195 3 2" xfId="17472"/>
    <cellStyle name="40% - Accent4 195 4" xfId="17473"/>
    <cellStyle name="40% - Accent4 196" xfId="17474"/>
    <cellStyle name="40% - Accent4 196 2" xfId="17475"/>
    <cellStyle name="40% - Accent4 196 2 2" xfId="17476"/>
    <cellStyle name="40% - Accent4 196 3" xfId="17477"/>
    <cellStyle name="40% - Accent4 196 3 2" xfId="17478"/>
    <cellStyle name="40% - Accent4 196 4" xfId="17479"/>
    <cellStyle name="40% - Accent4 197" xfId="17480"/>
    <cellStyle name="40% - Accent4 197 2" xfId="17481"/>
    <cellStyle name="40% - Accent4 197 2 2" xfId="17482"/>
    <cellStyle name="40% - Accent4 197 3" xfId="17483"/>
    <cellStyle name="40% - Accent4 197 3 2" xfId="17484"/>
    <cellStyle name="40% - Accent4 197 4" xfId="17485"/>
    <cellStyle name="40% - Accent4 198" xfId="17486"/>
    <cellStyle name="40% - Accent4 198 2" xfId="17487"/>
    <cellStyle name="40% - Accent4 198 2 2" xfId="17488"/>
    <cellStyle name="40% - Accent4 198 3" xfId="17489"/>
    <cellStyle name="40% - Accent4 198 3 2" xfId="17490"/>
    <cellStyle name="40% - Accent4 198 4" xfId="17491"/>
    <cellStyle name="40% - Accent4 199" xfId="17492"/>
    <cellStyle name="40% - Accent4 199 2" xfId="17493"/>
    <cellStyle name="40% - Accent4 199 2 2" xfId="17494"/>
    <cellStyle name="40% - Accent4 199 3" xfId="17495"/>
    <cellStyle name="40% - Accent4 199 3 2" xfId="17496"/>
    <cellStyle name="40% - Accent4 199 4" xfId="17497"/>
    <cellStyle name="40% - Accent4 2" xfId="17498"/>
    <cellStyle name="40% - Accent4 2 2" xfId="17499"/>
    <cellStyle name="40% - Accent4 2 2 2" xfId="17500"/>
    <cellStyle name="40% - Accent4 2 2 2 2" xfId="17501"/>
    <cellStyle name="40% - Accent4 2 2 3" xfId="17502"/>
    <cellStyle name="40% - Accent4 2 2 3 2" xfId="17503"/>
    <cellStyle name="40% - Accent4 2 2 4" xfId="17504"/>
    <cellStyle name="40% - Accent4 2 3" xfId="17505"/>
    <cellStyle name="40% - Accent4 2 3 2" xfId="17506"/>
    <cellStyle name="40% - Accent4 2 3 2 2" xfId="17507"/>
    <cellStyle name="40% - Accent4 2 3 3" xfId="17508"/>
    <cellStyle name="40% - Accent4 2 3 3 2" xfId="17509"/>
    <cellStyle name="40% - Accent4 2 3 4" xfId="17510"/>
    <cellStyle name="40% - Accent4 2 4" xfId="17511"/>
    <cellStyle name="40% - Accent4 2 4 2" xfId="17512"/>
    <cellStyle name="40% - Accent4 2 5" xfId="17513"/>
    <cellStyle name="40% - Accent4 2 5 2" xfId="17514"/>
    <cellStyle name="40% - Accent4 2 6" xfId="17515"/>
    <cellStyle name="40% - Accent4 20" xfId="17516"/>
    <cellStyle name="40% - Accent4 20 2" xfId="17517"/>
    <cellStyle name="40% - Accent4 20 2 2" xfId="17518"/>
    <cellStyle name="40% - Accent4 20 2 2 2" xfId="17519"/>
    <cellStyle name="40% - Accent4 20 2 3" xfId="17520"/>
    <cellStyle name="40% - Accent4 20 2 3 2" xfId="17521"/>
    <cellStyle name="40% - Accent4 20 2 4" xfId="17522"/>
    <cellStyle name="40% - Accent4 20 3" xfId="17523"/>
    <cellStyle name="40% - Accent4 20 3 2" xfId="17524"/>
    <cellStyle name="40% - Accent4 20 3 2 2" xfId="17525"/>
    <cellStyle name="40% - Accent4 20 3 3" xfId="17526"/>
    <cellStyle name="40% - Accent4 20 3 3 2" xfId="17527"/>
    <cellStyle name="40% - Accent4 20 3 4" xfId="17528"/>
    <cellStyle name="40% - Accent4 20 4" xfId="17529"/>
    <cellStyle name="40% - Accent4 20 4 2" xfId="17530"/>
    <cellStyle name="40% - Accent4 20 5" xfId="17531"/>
    <cellStyle name="40% - Accent4 20 5 2" xfId="17532"/>
    <cellStyle name="40% - Accent4 20 6" xfId="17533"/>
    <cellStyle name="40% - Accent4 200" xfId="17534"/>
    <cellStyle name="40% - Accent4 200 2" xfId="17535"/>
    <cellStyle name="40% - Accent4 200 2 2" xfId="17536"/>
    <cellStyle name="40% - Accent4 200 3" xfId="17537"/>
    <cellStyle name="40% - Accent4 200 3 2" xfId="17538"/>
    <cellStyle name="40% - Accent4 200 4" xfId="17539"/>
    <cellStyle name="40% - Accent4 201" xfId="17540"/>
    <cellStyle name="40% - Accent4 201 2" xfId="17541"/>
    <cellStyle name="40% - Accent4 201 2 2" xfId="17542"/>
    <cellStyle name="40% - Accent4 201 3" xfId="17543"/>
    <cellStyle name="40% - Accent4 201 3 2" xfId="17544"/>
    <cellStyle name="40% - Accent4 201 4" xfId="17545"/>
    <cellStyle name="40% - Accent4 202" xfId="17546"/>
    <cellStyle name="40% - Accent4 202 2" xfId="17547"/>
    <cellStyle name="40% - Accent4 202 2 2" xfId="17548"/>
    <cellStyle name="40% - Accent4 202 3" xfId="17549"/>
    <cellStyle name="40% - Accent4 202 3 2" xfId="17550"/>
    <cellStyle name="40% - Accent4 202 4" xfId="17551"/>
    <cellStyle name="40% - Accent4 203" xfId="17552"/>
    <cellStyle name="40% - Accent4 203 2" xfId="17553"/>
    <cellStyle name="40% - Accent4 203 2 2" xfId="17554"/>
    <cellStyle name="40% - Accent4 203 3" xfId="17555"/>
    <cellStyle name="40% - Accent4 203 3 2" xfId="17556"/>
    <cellStyle name="40% - Accent4 203 4" xfId="17557"/>
    <cellStyle name="40% - Accent4 204" xfId="17558"/>
    <cellStyle name="40% - Accent4 204 2" xfId="17559"/>
    <cellStyle name="40% - Accent4 204 2 2" xfId="17560"/>
    <cellStyle name="40% - Accent4 204 3" xfId="17561"/>
    <cellStyle name="40% - Accent4 204 3 2" xfId="17562"/>
    <cellStyle name="40% - Accent4 204 4" xfId="17563"/>
    <cellStyle name="40% - Accent4 205" xfId="17564"/>
    <cellStyle name="40% - Accent4 205 2" xfId="17565"/>
    <cellStyle name="40% - Accent4 205 2 2" xfId="17566"/>
    <cellStyle name="40% - Accent4 205 3" xfId="17567"/>
    <cellStyle name="40% - Accent4 205 3 2" xfId="17568"/>
    <cellStyle name="40% - Accent4 205 4" xfId="17569"/>
    <cellStyle name="40% - Accent4 206" xfId="17570"/>
    <cellStyle name="40% - Accent4 206 2" xfId="17571"/>
    <cellStyle name="40% - Accent4 206 2 2" xfId="17572"/>
    <cellStyle name="40% - Accent4 206 3" xfId="17573"/>
    <cellStyle name="40% - Accent4 206 3 2" xfId="17574"/>
    <cellStyle name="40% - Accent4 206 4" xfId="17575"/>
    <cellStyle name="40% - Accent4 207" xfId="17576"/>
    <cellStyle name="40% - Accent4 207 2" xfId="17577"/>
    <cellStyle name="40% - Accent4 207 2 2" xfId="17578"/>
    <cellStyle name="40% - Accent4 207 3" xfId="17579"/>
    <cellStyle name="40% - Accent4 207 3 2" xfId="17580"/>
    <cellStyle name="40% - Accent4 207 4" xfId="17581"/>
    <cellStyle name="40% - Accent4 208" xfId="17582"/>
    <cellStyle name="40% - Accent4 208 2" xfId="17583"/>
    <cellStyle name="40% - Accent4 208 2 2" xfId="17584"/>
    <cellStyle name="40% - Accent4 208 3" xfId="17585"/>
    <cellStyle name="40% - Accent4 208 3 2" xfId="17586"/>
    <cellStyle name="40% - Accent4 208 4" xfId="17587"/>
    <cellStyle name="40% - Accent4 209" xfId="17588"/>
    <cellStyle name="40% - Accent4 209 2" xfId="17589"/>
    <cellStyle name="40% - Accent4 209 2 2" xfId="17590"/>
    <cellStyle name="40% - Accent4 209 3" xfId="17591"/>
    <cellStyle name="40% - Accent4 209 3 2" xfId="17592"/>
    <cellStyle name="40% - Accent4 209 4" xfId="17593"/>
    <cellStyle name="40% - Accent4 21" xfId="17594"/>
    <cellStyle name="40% - Accent4 21 2" xfId="17595"/>
    <cellStyle name="40% - Accent4 21 2 2" xfId="17596"/>
    <cellStyle name="40% - Accent4 21 2 2 2" xfId="17597"/>
    <cellStyle name="40% - Accent4 21 2 3" xfId="17598"/>
    <cellStyle name="40% - Accent4 21 2 3 2" xfId="17599"/>
    <cellStyle name="40% - Accent4 21 2 4" xfId="17600"/>
    <cellStyle name="40% - Accent4 21 3" xfId="17601"/>
    <cellStyle name="40% - Accent4 21 3 2" xfId="17602"/>
    <cellStyle name="40% - Accent4 21 3 2 2" xfId="17603"/>
    <cellStyle name="40% - Accent4 21 3 3" xfId="17604"/>
    <cellStyle name="40% - Accent4 21 3 3 2" xfId="17605"/>
    <cellStyle name="40% - Accent4 21 3 4" xfId="17606"/>
    <cellStyle name="40% - Accent4 21 4" xfId="17607"/>
    <cellStyle name="40% - Accent4 21 4 2" xfId="17608"/>
    <cellStyle name="40% - Accent4 21 5" xfId="17609"/>
    <cellStyle name="40% - Accent4 21 5 2" xfId="17610"/>
    <cellStyle name="40% - Accent4 21 6" xfId="17611"/>
    <cellStyle name="40% - Accent4 210" xfId="17612"/>
    <cellStyle name="40% - Accent4 210 2" xfId="17613"/>
    <cellStyle name="40% - Accent4 210 2 2" xfId="17614"/>
    <cellStyle name="40% - Accent4 210 3" xfId="17615"/>
    <cellStyle name="40% - Accent4 210 3 2" xfId="17616"/>
    <cellStyle name="40% - Accent4 210 4" xfId="17617"/>
    <cellStyle name="40% - Accent4 211" xfId="17618"/>
    <cellStyle name="40% - Accent4 211 2" xfId="17619"/>
    <cellStyle name="40% - Accent4 211 2 2" xfId="17620"/>
    <cellStyle name="40% - Accent4 211 3" xfId="17621"/>
    <cellStyle name="40% - Accent4 211 3 2" xfId="17622"/>
    <cellStyle name="40% - Accent4 211 4" xfId="17623"/>
    <cellStyle name="40% - Accent4 212" xfId="17624"/>
    <cellStyle name="40% - Accent4 212 2" xfId="17625"/>
    <cellStyle name="40% - Accent4 212 2 2" xfId="17626"/>
    <cellStyle name="40% - Accent4 212 3" xfId="17627"/>
    <cellStyle name="40% - Accent4 212 3 2" xfId="17628"/>
    <cellStyle name="40% - Accent4 212 4" xfId="17629"/>
    <cellStyle name="40% - Accent4 213" xfId="17630"/>
    <cellStyle name="40% - Accent4 213 2" xfId="17631"/>
    <cellStyle name="40% - Accent4 213 2 2" xfId="17632"/>
    <cellStyle name="40% - Accent4 213 3" xfId="17633"/>
    <cellStyle name="40% - Accent4 213 3 2" xfId="17634"/>
    <cellStyle name="40% - Accent4 213 4" xfId="17635"/>
    <cellStyle name="40% - Accent4 214" xfId="17636"/>
    <cellStyle name="40% - Accent4 214 2" xfId="17637"/>
    <cellStyle name="40% - Accent4 214 2 2" xfId="17638"/>
    <cellStyle name="40% - Accent4 214 3" xfId="17639"/>
    <cellStyle name="40% - Accent4 214 3 2" xfId="17640"/>
    <cellStyle name="40% - Accent4 214 4" xfId="17641"/>
    <cellStyle name="40% - Accent4 215" xfId="17642"/>
    <cellStyle name="40% - Accent4 215 2" xfId="17643"/>
    <cellStyle name="40% - Accent4 215 2 2" xfId="17644"/>
    <cellStyle name="40% - Accent4 215 3" xfId="17645"/>
    <cellStyle name="40% - Accent4 215 3 2" xfId="17646"/>
    <cellStyle name="40% - Accent4 215 4" xfId="17647"/>
    <cellStyle name="40% - Accent4 216" xfId="17648"/>
    <cellStyle name="40% - Accent4 216 2" xfId="17649"/>
    <cellStyle name="40% - Accent4 216 2 2" xfId="17650"/>
    <cellStyle name="40% - Accent4 216 3" xfId="17651"/>
    <cellStyle name="40% - Accent4 216 3 2" xfId="17652"/>
    <cellStyle name="40% - Accent4 216 4" xfId="17653"/>
    <cellStyle name="40% - Accent4 217" xfId="17654"/>
    <cellStyle name="40% - Accent4 217 2" xfId="17655"/>
    <cellStyle name="40% - Accent4 217 2 2" xfId="17656"/>
    <cellStyle name="40% - Accent4 217 3" xfId="17657"/>
    <cellStyle name="40% - Accent4 217 3 2" xfId="17658"/>
    <cellStyle name="40% - Accent4 217 4" xfId="17659"/>
    <cellStyle name="40% - Accent4 218" xfId="17660"/>
    <cellStyle name="40% - Accent4 218 2" xfId="17661"/>
    <cellStyle name="40% - Accent4 218 2 2" xfId="17662"/>
    <cellStyle name="40% - Accent4 218 3" xfId="17663"/>
    <cellStyle name="40% - Accent4 218 3 2" xfId="17664"/>
    <cellStyle name="40% - Accent4 218 4" xfId="17665"/>
    <cellStyle name="40% - Accent4 219" xfId="17666"/>
    <cellStyle name="40% - Accent4 219 2" xfId="17667"/>
    <cellStyle name="40% - Accent4 219 2 2" xfId="17668"/>
    <cellStyle name="40% - Accent4 219 3" xfId="17669"/>
    <cellStyle name="40% - Accent4 219 3 2" xfId="17670"/>
    <cellStyle name="40% - Accent4 219 4" xfId="17671"/>
    <cellStyle name="40% - Accent4 22" xfId="17672"/>
    <cellStyle name="40% - Accent4 22 2" xfId="17673"/>
    <cellStyle name="40% - Accent4 22 2 2" xfId="17674"/>
    <cellStyle name="40% - Accent4 22 2 2 2" xfId="17675"/>
    <cellStyle name="40% - Accent4 22 2 3" xfId="17676"/>
    <cellStyle name="40% - Accent4 22 2 3 2" xfId="17677"/>
    <cellStyle name="40% - Accent4 22 2 4" xfId="17678"/>
    <cellStyle name="40% - Accent4 22 3" xfId="17679"/>
    <cellStyle name="40% - Accent4 22 3 2" xfId="17680"/>
    <cellStyle name="40% - Accent4 22 3 2 2" xfId="17681"/>
    <cellStyle name="40% - Accent4 22 3 3" xfId="17682"/>
    <cellStyle name="40% - Accent4 22 3 3 2" xfId="17683"/>
    <cellStyle name="40% - Accent4 22 3 4" xfId="17684"/>
    <cellStyle name="40% - Accent4 22 4" xfId="17685"/>
    <cellStyle name="40% - Accent4 22 4 2" xfId="17686"/>
    <cellStyle name="40% - Accent4 22 5" xfId="17687"/>
    <cellStyle name="40% - Accent4 22 5 2" xfId="17688"/>
    <cellStyle name="40% - Accent4 22 6" xfId="17689"/>
    <cellStyle name="40% - Accent4 220" xfId="17690"/>
    <cellStyle name="40% - Accent4 220 2" xfId="17691"/>
    <cellStyle name="40% - Accent4 220 2 2" xfId="17692"/>
    <cellStyle name="40% - Accent4 220 3" xfId="17693"/>
    <cellStyle name="40% - Accent4 220 3 2" xfId="17694"/>
    <cellStyle name="40% - Accent4 220 4" xfId="17695"/>
    <cellStyle name="40% - Accent4 221" xfId="17696"/>
    <cellStyle name="40% - Accent4 221 2" xfId="17697"/>
    <cellStyle name="40% - Accent4 221 2 2" xfId="17698"/>
    <cellStyle name="40% - Accent4 221 3" xfId="17699"/>
    <cellStyle name="40% - Accent4 221 3 2" xfId="17700"/>
    <cellStyle name="40% - Accent4 221 4" xfId="17701"/>
    <cellStyle name="40% - Accent4 222" xfId="17702"/>
    <cellStyle name="40% - Accent4 222 2" xfId="17703"/>
    <cellStyle name="40% - Accent4 223" xfId="17704"/>
    <cellStyle name="40% - Accent4 223 2" xfId="17705"/>
    <cellStyle name="40% - Accent4 224" xfId="17706"/>
    <cellStyle name="40% - Accent4 23" xfId="17707"/>
    <cellStyle name="40% - Accent4 23 2" xfId="17708"/>
    <cellStyle name="40% - Accent4 23 2 2" xfId="17709"/>
    <cellStyle name="40% - Accent4 23 2 2 2" xfId="17710"/>
    <cellStyle name="40% - Accent4 23 2 3" xfId="17711"/>
    <cellStyle name="40% - Accent4 23 2 3 2" xfId="17712"/>
    <cellStyle name="40% - Accent4 23 2 4" xfId="17713"/>
    <cellStyle name="40% - Accent4 23 3" xfId="17714"/>
    <cellStyle name="40% - Accent4 23 3 2" xfId="17715"/>
    <cellStyle name="40% - Accent4 23 3 2 2" xfId="17716"/>
    <cellStyle name="40% - Accent4 23 3 3" xfId="17717"/>
    <cellStyle name="40% - Accent4 23 3 3 2" xfId="17718"/>
    <cellStyle name="40% - Accent4 23 3 4" xfId="17719"/>
    <cellStyle name="40% - Accent4 23 4" xfId="17720"/>
    <cellStyle name="40% - Accent4 23 4 2" xfId="17721"/>
    <cellStyle name="40% - Accent4 23 5" xfId="17722"/>
    <cellStyle name="40% - Accent4 23 5 2" xfId="17723"/>
    <cellStyle name="40% - Accent4 23 6" xfId="17724"/>
    <cellStyle name="40% - Accent4 24" xfId="17725"/>
    <cellStyle name="40% - Accent4 24 2" xfId="17726"/>
    <cellStyle name="40% - Accent4 24 2 2" xfId="17727"/>
    <cellStyle name="40% - Accent4 24 2 2 2" xfId="17728"/>
    <cellStyle name="40% - Accent4 24 2 3" xfId="17729"/>
    <cellStyle name="40% - Accent4 24 2 3 2" xfId="17730"/>
    <cellStyle name="40% - Accent4 24 2 4" xfId="17731"/>
    <cellStyle name="40% - Accent4 24 3" xfId="17732"/>
    <cellStyle name="40% - Accent4 24 3 2" xfId="17733"/>
    <cellStyle name="40% - Accent4 24 3 2 2" xfId="17734"/>
    <cellStyle name="40% - Accent4 24 3 3" xfId="17735"/>
    <cellStyle name="40% - Accent4 24 3 3 2" xfId="17736"/>
    <cellStyle name="40% - Accent4 24 3 4" xfId="17737"/>
    <cellStyle name="40% - Accent4 24 4" xfId="17738"/>
    <cellStyle name="40% - Accent4 24 4 2" xfId="17739"/>
    <cellStyle name="40% - Accent4 24 5" xfId="17740"/>
    <cellStyle name="40% - Accent4 24 5 2" xfId="17741"/>
    <cellStyle name="40% - Accent4 24 6" xfId="17742"/>
    <cellStyle name="40% - Accent4 24 7" xfId="17743"/>
    <cellStyle name="40% - Accent4 25" xfId="17744"/>
    <cellStyle name="40% - Accent4 25 2" xfId="17745"/>
    <cellStyle name="40% - Accent4 25 2 2" xfId="17746"/>
    <cellStyle name="40% - Accent4 25 2 2 2" xfId="17747"/>
    <cellStyle name="40% - Accent4 25 2 3" xfId="17748"/>
    <cellStyle name="40% - Accent4 25 2 3 2" xfId="17749"/>
    <cellStyle name="40% - Accent4 25 2 4" xfId="17750"/>
    <cellStyle name="40% - Accent4 25 3" xfId="17751"/>
    <cellStyle name="40% - Accent4 25 3 2" xfId="17752"/>
    <cellStyle name="40% - Accent4 25 3 2 2" xfId="17753"/>
    <cellStyle name="40% - Accent4 25 3 3" xfId="17754"/>
    <cellStyle name="40% - Accent4 25 3 3 2" xfId="17755"/>
    <cellStyle name="40% - Accent4 25 3 4" xfId="17756"/>
    <cellStyle name="40% - Accent4 25 4" xfId="17757"/>
    <cellStyle name="40% - Accent4 25 4 2" xfId="17758"/>
    <cellStyle name="40% - Accent4 25 5" xfId="17759"/>
    <cellStyle name="40% - Accent4 25 5 2" xfId="17760"/>
    <cellStyle name="40% - Accent4 25 6" xfId="17761"/>
    <cellStyle name="40% - Accent4 25 7" xfId="17762"/>
    <cellStyle name="40% - Accent4 26" xfId="17763"/>
    <cellStyle name="40% - Accent4 26 2" xfId="17764"/>
    <cellStyle name="40% - Accent4 26 2 2" xfId="17765"/>
    <cellStyle name="40% - Accent4 26 2 2 2" xfId="17766"/>
    <cellStyle name="40% - Accent4 26 2 3" xfId="17767"/>
    <cellStyle name="40% - Accent4 26 2 3 2" xfId="17768"/>
    <cellStyle name="40% - Accent4 26 2 4" xfId="17769"/>
    <cellStyle name="40% - Accent4 26 3" xfId="17770"/>
    <cellStyle name="40% - Accent4 26 3 2" xfId="17771"/>
    <cellStyle name="40% - Accent4 26 3 2 2" xfId="17772"/>
    <cellStyle name="40% - Accent4 26 3 3" xfId="17773"/>
    <cellStyle name="40% - Accent4 26 3 3 2" xfId="17774"/>
    <cellStyle name="40% - Accent4 26 3 4" xfId="17775"/>
    <cellStyle name="40% - Accent4 26 4" xfId="17776"/>
    <cellStyle name="40% - Accent4 26 4 2" xfId="17777"/>
    <cellStyle name="40% - Accent4 26 5" xfId="17778"/>
    <cellStyle name="40% - Accent4 26 5 2" xfId="17779"/>
    <cellStyle name="40% - Accent4 26 6" xfId="17780"/>
    <cellStyle name="40% - Accent4 26 7" xfId="17781"/>
    <cellStyle name="40% - Accent4 27" xfId="17782"/>
    <cellStyle name="40% - Accent4 27 2" xfId="17783"/>
    <cellStyle name="40% - Accent4 27 2 2" xfId="17784"/>
    <cellStyle name="40% - Accent4 27 2 2 2" xfId="17785"/>
    <cellStyle name="40% - Accent4 27 2 3" xfId="17786"/>
    <cellStyle name="40% - Accent4 27 2 3 2" xfId="17787"/>
    <cellStyle name="40% - Accent4 27 2 4" xfId="17788"/>
    <cellStyle name="40% - Accent4 27 3" xfId="17789"/>
    <cellStyle name="40% - Accent4 27 3 2" xfId="17790"/>
    <cellStyle name="40% - Accent4 27 3 2 2" xfId="17791"/>
    <cellStyle name="40% - Accent4 27 3 3" xfId="17792"/>
    <cellStyle name="40% - Accent4 27 3 3 2" xfId="17793"/>
    <cellStyle name="40% - Accent4 27 3 4" xfId="17794"/>
    <cellStyle name="40% - Accent4 27 4" xfId="17795"/>
    <cellStyle name="40% - Accent4 27 4 2" xfId="17796"/>
    <cellStyle name="40% - Accent4 27 5" xfId="17797"/>
    <cellStyle name="40% - Accent4 27 5 2" xfId="17798"/>
    <cellStyle name="40% - Accent4 27 6" xfId="17799"/>
    <cellStyle name="40% - Accent4 27 7" xfId="17800"/>
    <cellStyle name="40% - Accent4 28" xfId="17801"/>
    <cellStyle name="40% - Accent4 28 2" xfId="17802"/>
    <cellStyle name="40% - Accent4 28 2 2" xfId="17803"/>
    <cellStyle name="40% - Accent4 28 2 2 2" xfId="17804"/>
    <cellStyle name="40% - Accent4 28 2 3" xfId="17805"/>
    <cellStyle name="40% - Accent4 28 2 3 2" xfId="17806"/>
    <cellStyle name="40% - Accent4 28 2 4" xfId="17807"/>
    <cellStyle name="40% - Accent4 28 3" xfId="17808"/>
    <cellStyle name="40% - Accent4 28 3 2" xfId="17809"/>
    <cellStyle name="40% - Accent4 28 3 2 2" xfId="17810"/>
    <cellStyle name="40% - Accent4 28 3 3" xfId="17811"/>
    <cellStyle name="40% - Accent4 28 3 3 2" xfId="17812"/>
    <cellStyle name="40% - Accent4 28 3 4" xfId="17813"/>
    <cellStyle name="40% - Accent4 28 4" xfId="17814"/>
    <cellStyle name="40% - Accent4 28 4 2" xfId="17815"/>
    <cellStyle name="40% - Accent4 28 5" xfId="17816"/>
    <cellStyle name="40% - Accent4 28 5 2" xfId="17817"/>
    <cellStyle name="40% - Accent4 28 6" xfId="17818"/>
    <cellStyle name="40% - Accent4 28 7" xfId="17819"/>
    <cellStyle name="40% - Accent4 29" xfId="17820"/>
    <cellStyle name="40% - Accent4 29 2" xfId="17821"/>
    <cellStyle name="40% - Accent4 29 2 2" xfId="17822"/>
    <cellStyle name="40% - Accent4 29 2 2 2" xfId="17823"/>
    <cellStyle name="40% - Accent4 29 2 3" xfId="17824"/>
    <cellStyle name="40% - Accent4 29 2 3 2" xfId="17825"/>
    <cellStyle name="40% - Accent4 29 2 4" xfId="17826"/>
    <cellStyle name="40% - Accent4 29 3" xfId="17827"/>
    <cellStyle name="40% - Accent4 29 3 2" xfId="17828"/>
    <cellStyle name="40% - Accent4 29 3 2 2" xfId="17829"/>
    <cellStyle name="40% - Accent4 29 3 3" xfId="17830"/>
    <cellStyle name="40% - Accent4 29 3 3 2" xfId="17831"/>
    <cellStyle name="40% - Accent4 29 3 4" xfId="17832"/>
    <cellStyle name="40% - Accent4 29 4" xfId="17833"/>
    <cellStyle name="40% - Accent4 29 4 2" xfId="17834"/>
    <cellStyle name="40% - Accent4 29 5" xfId="17835"/>
    <cellStyle name="40% - Accent4 29 5 2" xfId="17836"/>
    <cellStyle name="40% - Accent4 29 6" xfId="17837"/>
    <cellStyle name="40% - Accent4 29 7" xfId="17838"/>
    <cellStyle name="40% - Accent4 3" xfId="17839"/>
    <cellStyle name="40% - Accent4 3 2" xfId="17840"/>
    <cellStyle name="40% - Accent4 3 2 2" xfId="17841"/>
    <cellStyle name="40% - Accent4 3 2 2 2" xfId="17842"/>
    <cellStyle name="40% - Accent4 3 2 3" xfId="17843"/>
    <cellStyle name="40% - Accent4 3 2 3 2" xfId="17844"/>
    <cellStyle name="40% - Accent4 3 2 4" xfId="17845"/>
    <cellStyle name="40% - Accent4 3 3" xfId="17846"/>
    <cellStyle name="40% - Accent4 3 3 2" xfId="17847"/>
    <cellStyle name="40% - Accent4 3 3 2 2" xfId="17848"/>
    <cellStyle name="40% - Accent4 3 3 3" xfId="17849"/>
    <cellStyle name="40% - Accent4 3 3 3 2" xfId="17850"/>
    <cellStyle name="40% - Accent4 3 3 4" xfId="17851"/>
    <cellStyle name="40% - Accent4 3 4" xfId="17852"/>
    <cellStyle name="40% - Accent4 3 4 2" xfId="17853"/>
    <cellStyle name="40% - Accent4 3 5" xfId="17854"/>
    <cellStyle name="40% - Accent4 3 5 2" xfId="17855"/>
    <cellStyle name="40% - Accent4 3 6" xfId="17856"/>
    <cellStyle name="40% - Accent4 30" xfId="17857"/>
    <cellStyle name="40% - Accent4 30 2" xfId="17858"/>
    <cellStyle name="40% - Accent4 30 2 2" xfId="17859"/>
    <cellStyle name="40% - Accent4 30 2 2 2" xfId="17860"/>
    <cellStyle name="40% - Accent4 30 2 3" xfId="17861"/>
    <cellStyle name="40% - Accent4 30 2 3 2" xfId="17862"/>
    <cellStyle name="40% - Accent4 30 2 4" xfId="17863"/>
    <cellStyle name="40% - Accent4 30 3" xfId="17864"/>
    <cellStyle name="40% - Accent4 30 3 2" xfId="17865"/>
    <cellStyle name="40% - Accent4 30 3 2 2" xfId="17866"/>
    <cellStyle name="40% - Accent4 30 3 3" xfId="17867"/>
    <cellStyle name="40% - Accent4 30 3 3 2" xfId="17868"/>
    <cellStyle name="40% - Accent4 30 3 4" xfId="17869"/>
    <cellStyle name="40% - Accent4 30 4" xfId="17870"/>
    <cellStyle name="40% - Accent4 30 4 2" xfId="17871"/>
    <cellStyle name="40% - Accent4 30 5" xfId="17872"/>
    <cellStyle name="40% - Accent4 30 5 2" xfId="17873"/>
    <cellStyle name="40% - Accent4 30 6" xfId="17874"/>
    <cellStyle name="40% - Accent4 30 7" xfId="17875"/>
    <cellStyle name="40% - Accent4 31" xfId="17876"/>
    <cellStyle name="40% - Accent4 31 2" xfId="17877"/>
    <cellStyle name="40% - Accent4 31 2 2" xfId="17878"/>
    <cellStyle name="40% - Accent4 31 2 2 2" xfId="17879"/>
    <cellStyle name="40% - Accent4 31 2 3" xfId="17880"/>
    <cellStyle name="40% - Accent4 31 2 3 2" xfId="17881"/>
    <cellStyle name="40% - Accent4 31 2 4" xfId="17882"/>
    <cellStyle name="40% - Accent4 31 3" xfId="17883"/>
    <cellStyle name="40% - Accent4 31 3 2" xfId="17884"/>
    <cellStyle name="40% - Accent4 31 3 2 2" xfId="17885"/>
    <cellStyle name="40% - Accent4 31 3 3" xfId="17886"/>
    <cellStyle name="40% - Accent4 31 3 3 2" xfId="17887"/>
    <cellStyle name="40% - Accent4 31 3 4" xfId="17888"/>
    <cellStyle name="40% - Accent4 31 4" xfId="17889"/>
    <cellStyle name="40% - Accent4 31 4 2" xfId="17890"/>
    <cellStyle name="40% - Accent4 31 5" xfId="17891"/>
    <cellStyle name="40% - Accent4 31 5 2" xfId="17892"/>
    <cellStyle name="40% - Accent4 31 6" xfId="17893"/>
    <cellStyle name="40% - Accent4 31 7" xfId="17894"/>
    <cellStyle name="40% - Accent4 32" xfId="17895"/>
    <cellStyle name="40% - Accent4 32 2" xfId="17896"/>
    <cellStyle name="40% - Accent4 32 2 2" xfId="17897"/>
    <cellStyle name="40% - Accent4 32 2 2 2" xfId="17898"/>
    <cellStyle name="40% - Accent4 32 2 3" xfId="17899"/>
    <cellStyle name="40% - Accent4 32 2 3 2" xfId="17900"/>
    <cellStyle name="40% - Accent4 32 2 4" xfId="17901"/>
    <cellStyle name="40% - Accent4 32 3" xfId="17902"/>
    <cellStyle name="40% - Accent4 32 3 2" xfId="17903"/>
    <cellStyle name="40% - Accent4 32 3 2 2" xfId="17904"/>
    <cellStyle name="40% - Accent4 32 3 3" xfId="17905"/>
    <cellStyle name="40% - Accent4 32 3 3 2" xfId="17906"/>
    <cellStyle name="40% - Accent4 32 3 4" xfId="17907"/>
    <cellStyle name="40% - Accent4 32 4" xfId="17908"/>
    <cellStyle name="40% - Accent4 32 4 2" xfId="17909"/>
    <cellStyle name="40% - Accent4 32 5" xfId="17910"/>
    <cellStyle name="40% - Accent4 32 5 2" xfId="17911"/>
    <cellStyle name="40% - Accent4 32 6" xfId="17912"/>
    <cellStyle name="40% - Accent4 32 7" xfId="17913"/>
    <cellStyle name="40% - Accent4 33" xfId="17914"/>
    <cellStyle name="40% - Accent4 33 2" xfId="17915"/>
    <cellStyle name="40% - Accent4 33 2 2" xfId="17916"/>
    <cellStyle name="40% - Accent4 33 2 2 2" xfId="17917"/>
    <cellStyle name="40% - Accent4 33 2 3" xfId="17918"/>
    <cellStyle name="40% - Accent4 33 2 3 2" xfId="17919"/>
    <cellStyle name="40% - Accent4 33 2 4" xfId="17920"/>
    <cellStyle name="40% - Accent4 33 3" xfId="17921"/>
    <cellStyle name="40% - Accent4 33 3 2" xfId="17922"/>
    <cellStyle name="40% - Accent4 33 3 2 2" xfId="17923"/>
    <cellStyle name="40% - Accent4 33 3 3" xfId="17924"/>
    <cellStyle name="40% - Accent4 33 3 3 2" xfId="17925"/>
    <cellStyle name="40% - Accent4 33 3 4" xfId="17926"/>
    <cellStyle name="40% - Accent4 33 4" xfId="17927"/>
    <cellStyle name="40% - Accent4 33 4 2" xfId="17928"/>
    <cellStyle name="40% - Accent4 33 5" xfId="17929"/>
    <cellStyle name="40% - Accent4 33 5 2" xfId="17930"/>
    <cellStyle name="40% - Accent4 33 6" xfId="17931"/>
    <cellStyle name="40% - Accent4 33 7" xfId="17932"/>
    <cellStyle name="40% - Accent4 34" xfId="17933"/>
    <cellStyle name="40% - Accent4 34 2" xfId="17934"/>
    <cellStyle name="40% - Accent4 34 2 2" xfId="17935"/>
    <cellStyle name="40% - Accent4 34 2 2 2" xfId="17936"/>
    <cellStyle name="40% - Accent4 34 2 3" xfId="17937"/>
    <cellStyle name="40% - Accent4 34 2 3 2" xfId="17938"/>
    <cellStyle name="40% - Accent4 34 2 4" xfId="17939"/>
    <cellStyle name="40% - Accent4 34 3" xfId="17940"/>
    <cellStyle name="40% - Accent4 34 3 2" xfId="17941"/>
    <cellStyle name="40% - Accent4 34 3 2 2" xfId="17942"/>
    <cellStyle name="40% - Accent4 34 3 3" xfId="17943"/>
    <cellStyle name="40% - Accent4 34 3 3 2" xfId="17944"/>
    <cellStyle name="40% - Accent4 34 3 4" xfId="17945"/>
    <cellStyle name="40% - Accent4 34 4" xfId="17946"/>
    <cellStyle name="40% - Accent4 34 4 2" xfId="17947"/>
    <cellStyle name="40% - Accent4 34 5" xfId="17948"/>
    <cellStyle name="40% - Accent4 34 5 2" xfId="17949"/>
    <cellStyle name="40% - Accent4 34 6" xfId="17950"/>
    <cellStyle name="40% - Accent4 34 7" xfId="17951"/>
    <cellStyle name="40% - Accent4 35" xfId="17952"/>
    <cellStyle name="40% - Accent4 35 2" xfId="17953"/>
    <cellStyle name="40% - Accent4 35 2 2" xfId="17954"/>
    <cellStyle name="40% - Accent4 35 2 2 2" xfId="17955"/>
    <cellStyle name="40% - Accent4 35 2 3" xfId="17956"/>
    <cellStyle name="40% - Accent4 35 2 3 2" xfId="17957"/>
    <cellStyle name="40% - Accent4 35 2 4" xfId="17958"/>
    <cellStyle name="40% - Accent4 35 3" xfId="17959"/>
    <cellStyle name="40% - Accent4 35 3 2" xfId="17960"/>
    <cellStyle name="40% - Accent4 35 3 2 2" xfId="17961"/>
    <cellStyle name="40% - Accent4 35 3 3" xfId="17962"/>
    <cellStyle name="40% - Accent4 35 3 3 2" xfId="17963"/>
    <cellStyle name="40% - Accent4 35 3 4" xfId="17964"/>
    <cellStyle name="40% - Accent4 35 4" xfId="17965"/>
    <cellStyle name="40% - Accent4 35 4 2" xfId="17966"/>
    <cellStyle name="40% - Accent4 35 5" xfId="17967"/>
    <cellStyle name="40% - Accent4 35 5 2" xfId="17968"/>
    <cellStyle name="40% - Accent4 35 6" xfId="17969"/>
    <cellStyle name="40% - Accent4 35 7" xfId="17970"/>
    <cellStyle name="40% - Accent4 36" xfId="17971"/>
    <cellStyle name="40% - Accent4 36 2" xfId="17972"/>
    <cellStyle name="40% - Accent4 36 2 2" xfId="17973"/>
    <cellStyle name="40% - Accent4 36 2 2 2" xfId="17974"/>
    <cellStyle name="40% - Accent4 36 2 3" xfId="17975"/>
    <cellStyle name="40% - Accent4 36 2 3 2" xfId="17976"/>
    <cellStyle name="40% - Accent4 36 2 4" xfId="17977"/>
    <cellStyle name="40% - Accent4 36 3" xfId="17978"/>
    <cellStyle name="40% - Accent4 36 3 2" xfId="17979"/>
    <cellStyle name="40% - Accent4 36 3 2 2" xfId="17980"/>
    <cellStyle name="40% - Accent4 36 3 3" xfId="17981"/>
    <cellStyle name="40% - Accent4 36 3 3 2" xfId="17982"/>
    <cellStyle name="40% - Accent4 36 3 4" xfId="17983"/>
    <cellStyle name="40% - Accent4 36 4" xfId="17984"/>
    <cellStyle name="40% - Accent4 36 4 2" xfId="17985"/>
    <cellStyle name="40% - Accent4 36 5" xfId="17986"/>
    <cellStyle name="40% - Accent4 36 5 2" xfId="17987"/>
    <cellStyle name="40% - Accent4 36 6" xfId="17988"/>
    <cellStyle name="40% - Accent4 36 7" xfId="17989"/>
    <cellStyle name="40% - Accent4 37" xfId="17990"/>
    <cellStyle name="40% - Accent4 37 2" xfId="17991"/>
    <cellStyle name="40% - Accent4 37 2 2" xfId="17992"/>
    <cellStyle name="40% - Accent4 37 2 2 2" xfId="17993"/>
    <cellStyle name="40% - Accent4 37 2 3" xfId="17994"/>
    <cellStyle name="40% - Accent4 37 2 3 2" xfId="17995"/>
    <cellStyle name="40% - Accent4 37 2 4" xfId="17996"/>
    <cellStyle name="40% - Accent4 37 3" xfId="17997"/>
    <cellStyle name="40% - Accent4 37 3 2" xfId="17998"/>
    <cellStyle name="40% - Accent4 37 3 2 2" xfId="17999"/>
    <cellStyle name="40% - Accent4 37 3 3" xfId="18000"/>
    <cellStyle name="40% - Accent4 37 3 3 2" xfId="18001"/>
    <cellStyle name="40% - Accent4 37 3 4" xfId="18002"/>
    <cellStyle name="40% - Accent4 37 4" xfId="18003"/>
    <cellStyle name="40% - Accent4 37 4 2" xfId="18004"/>
    <cellStyle name="40% - Accent4 37 5" xfId="18005"/>
    <cellStyle name="40% - Accent4 37 5 2" xfId="18006"/>
    <cellStyle name="40% - Accent4 37 6" xfId="18007"/>
    <cellStyle name="40% - Accent4 37 7" xfId="18008"/>
    <cellStyle name="40% - Accent4 38" xfId="18009"/>
    <cellStyle name="40% - Accent4 38 2" xfId="18010"/>
    <cellStyle name="40% - Accent4 38 2 2" xfId="18011"/>
    <cellStyle name="40% - Accent4 38 2 2 2" xfId="18012"/>
    <cellStyle name="40% - Accent4 38 2 3" xfId="18013"/>
    <cellStyle name="40% - Accent4 38 2 3 2" xfId="18014"/>
    <cellStyle name="40% - Accent4 38 2 4" xfId="18015"/>
    <cellStyle name="40% - Accent4 38 3" xfId="18016"/>
    <cellStyle name="40% - Accent4 38 3 2" xfId="18017"/>
    <cellStyle name="40% - Accent4 38 3 2 2" xfId="18018"/>
    <cellStyle name="40% - Accent4 38 3 3" xfId="18019"/>
    <cellStyle name="40% - Accent4 38 3 3 2" xfId="18020"/>
    <cellStyle name="40% - Accent4 38 3 4" xfId="18021"/>
    <cellStyle name="40% - Accent4 38 4" xfId="18022"/>
    <cellStyle name="40% - Accent4 38 4 2" xfId="18023"/>
    <cellStyle name="40% - Accent4 38 5" xfId="18024"/>
    <cellStyle name="40% - Accent4 38 5 2" xfId="18025"/>
    <cellStyle name="40% - Accent4 38 6" xfId="18026"/>
    <cellStyle name="40% - Accent4 38 7" xfId="18027"/>
    <cellStyle name="40% - Accent4 39" xfId="18028"/>
    <cellStyle name="40% - Accent4 39 2" xfId="18029"/>
    <cellStyle name="40% - Accent4 39 2 2" xfId="18030"/>
    <cellStyle name="40% - Accent4 39 2 2 2" xfId="18031"/>
    <cellStyle name="40% - Accent4 39 2 3" xfId="18032"/>
    <cellStyle name="40% - Accent4 39 2 3 2" xfId="18033"/>
    <cellStyle name="40% - Accent4 39 2 4" xfId="18034"/>
    <cellStyle name="40% - Accent4 39 3" xfId="18035"/>
    <cellStyle name="40% - Accent4 39 3 2" xfId="18036"/>
    <cellStyle name="40% - Accent4 39 3 2 2" xfId="18037"/>
    <cellStyle name="40% - Accent4 39 3 3" xfId="18038"/>
    <cellStyle name="40% - Accent4 39 3 3 2" xfId="18039"/>
    <cellStyle name="40% - Accent4 39 3 4" xfId="18040"/>
    <cellStyle name="40% - Accent4 39 4" xfId="18041"/>
    <cellStyle name="40% - Accent4 39 4 2" xfId="18042"/>
    <cellStyle name="40% - Accent4 39 5" xfId="18043"/>
    <cellStyle name="40% - Accent4 39 5 2" xfId="18044"/>
    <cellStyle name="40% - Accent4 39 6" xfId="18045"/>
    <cellStyle name="40% - Accent4 39 7" xfId="18046"/>
    <cellStyle name="40% - Accent4 4" xfId="18047"/>
    <cellStyle name="40% - Accent4 4 2" xfId="18048"/>
    <cellStyle name="40% - Accent4 4 2 2" xfId="18049"/>
    <cellStyle name="40% - Accent4 4 2 2 2" xfId="18050"/>
    <cellStyle name="40% - Accent4 4 2 3" xfId="18051"/>
    <cellStyle name="40% - Accent4 4 2 3 2" xfId="18052"/>
    <cellStyle name="40% - Accent4 4 2 4" xfId="18053"/>
    <cellStyle name="40% - Accent4 4 3" xfId="18054"/>
    <cellStyle name="40% - Accent4 4 3 2" xfId="18055"/>
    <cellStyle name="40% - Accent4 4 3 2 2" xfId="18056"/>
    <cellStyle name="40% - Accent4 4 3 3" xfId="18057"/>
    <cellStyle name="40% - Accent4 4 3 3 2" xfId="18058"/>
    <cellStyle name="40% - Accent4 4 3 4" xfId="18059"/>
    <cellStyle name="40% - Accent4 4 4" xfId="18060"/>
    <cellStyle name="40% - Accent4 4 4 2" xfId="18061"/>
    <cellStyle name="40% - Accent4 4 5" xfId="18062"/>
    <cellStyle name="40% - Accent4 4 5 2" xfId="18063"/>
    <cellStyle name="40% - Accent4 4 6" xfId="18064"/>
    <cellStyle name="40% - Accent4 40" xfId="18065"/>
    <cellStyle name="40% - Accent4 40 2" xfId="18066"/>
    <cellStyle name="40% - Accent4 40 2 2" xfId="18067"/>
    <cellStyle name="40% - Accent4 40 2 2 2" xfId="18068"/>
    <cellStyle name="40% - Accent4 40 2 3" xfId="18069"/>
    <cellStyle name="40% - Accent4 40 2 3 2" xfId="18070"/>
    <cellStyle name="40% - Accent4 40 2 4" xfId="18071"/>
    <cellStyle name="40% - Accent4 40 3" xfId="18072"/>
    <cellStyle name="40% - Accent4 40 3 2" xfId="18073"/>
    <cellStyle name="40% - Accent4 40 3 2 2" xfId="18074"/>
    <cellStyle name="40% - Accent4 40 3 3" xfId="18075"/>
    <cellStyle name="40% - Accent4 40 3 3 2" xfId="18076"/>
    <cellStyle name="40% - Accent4 40 3 4" xfId="18077"/>
    <cellStyle name="40% - Accent4 40 4" xfId="18078"/>
    <cellStyle name="40% - Accent4 40 4 2" xfId="18079"/>
    <cellStyle name="40% - Accent4 40 5" xfId="18080"/>
    <cellStyle name="40% - Accent4 40 5 2" xfId="18081"/>
    <cellStyle name="40% - Accent4 40 6" xfId="18082"/>
    <cellStyle name="40% - Accent4 40 7" xfId="18083"/>
    <cellStyle name="40% - Accent4 41" xfId="18084"/>
    <cellStyle name="40% - Accent4 41 2" xfId="18085"/>
    <cellStyle name="40% - Accent4 41 2 2" xfId="18086"/>
    <cellStyle name="40% - Accent4 41 2 2 2" xfId="18087"/>
    <cellStyle name="40% - Accent4 41 2 3" xfId="18088"/>
    <cellStyle name="40% - Accent4 41 2 3 2" xfId="18089"/>
    <cellStyle name="40% - Accent4 41 2 4" xfId="18090"/>
    <cellStyle name="40% - Accent4 41 3" xfId="18091"/>
    <cellStyle name="40% - Accent4 41 3 2" xfId="18092"/>
    <cellStyle name="40% - Accent4 41 3 2 2" xfId="18093"/>
    <cellStyle name="40% - Accent4 41 3 3" xfId="18094"/>
    <cellStyle name="40% - Accent4 41 3 3 2" xfId="18095"/>
    <cellStyle name="40% - Accent4 41 3 4" xfId="18096"/>
    <cellStyle name="40% - Accent4 41 4" xfId="18097"/>
    <cellStyle name="40% - Accent4 41 4 2" xfId="18098"/>
    <cellStyle name="40% - Accent4 41 5" xfId="18099"/>
    <cellStyle name="40% - Accent4 41 5 2" xfId="18100"/>
    <cellStyle name="40% - Accent4 41 6" xfId="18101"/>
    <cellStyle name="40% - Accent4 41 7" xfId="18102"/>
    <cellStyle name="40% - Accent4 42" xfId="18103"/>
    <cellStyle name="40% - Accent4 42 2" xfId="18104"/>
    <cellStyle name="40% - Accent4 42 2 2" xfId="18105"/>
    <cellStyle name="40% - Accent4 42 3" xfId="18106"/>
    <cellStyle name="40% - Accent4 42 3 2" xfId="18107"/>
    <cellStyle name="40% - Accent4 42 4" xfId="18108"/>
    <cellStyle name="40% - Accent4 42 5" xfId="18109"/>
    <cellStyle name="40% - Accent4 43" xfId="18110"/>
    <cellStyle name="40% - Accent4 43 2" xfId="18111"/>
    <cellStyle name="40% - Accent4 43 2 2" xfId="18112"/>
    <cellStyle name="40% - Accent4 43 3" xfId="18113"/>
    <cellStyle name="40% - Accent4 43 3 2" xfId="18114"/>
    <cellStyle name="40% - Accent4 43 4" xfId="18115"/>
    <cellStyle name="40% - Accent4 43 5" xfId="18116"/>
    <cellStyle name="40% - Accent4 44" xfId="18117"/>
    <cellStyle name="40% - Accent4 44 2" xfId="18118"/>
    <cellStyle name="40% - Accent4 44 2 2" xfId="18119"/>
    <cellStyle name="40% - Accent4 44 3" xfId="18120"/>
    <cellStyle name="40% - Accent4 44 3 2" xfId="18121"/>
    <cellStyle name="40% - Accent4 44 4" xfId="18122"/>
    <cellStyle name="40% - Accent4 44 5" xfId="18123"/>
    <cellStyle name="40% - Accent4 45" xfId="18124"/>
    <cellStyle name="40% - Accent4 45 2" xfId="18125"/>
    <cellStyle name="40% - Accent4 45 2 2" xfId="18126"/>
    <cellStyle name="40% - Accent4 45 3" xfId="18127"/>
    <cellStyle name="40% - Accent4 45 3 2" xfId="18128"/>
    <cellStyle name="40% - Accent4 45 4" xfId="18129"/>
    <cellStyle name="40% - Accent4 45 5" xfId="18130"/>
    <cellStyle name="40% - Accent4 46" xfId="18131"/>
    <cellStyle name="40% - Accent4 46 2" xfId="18132"/>
    <cellStyle name="40% - Accent4 46 2 2" xfId="18133"/>
    <cellStyle name="40% - Accent4 46 3" xfId="18134"/>
    <cellStyle name="40% - Accent4 46 3 2" xfId="18135"/>
    <cellStyle name="40% - Accent4 46 4" xfId="18136"/>
    <cellStyle name="40% - Accent4 46 5" xfId="18137"/>
    <cellStyle name="40% - Accent4 47" xfId="18138"/>
    <cellStyle name="40% - Accent4 47 2" xfId="18139"/>
    <cellStyle name="40% - Accent4 47 2 2" xfId="18140"/>
    <cellStyle name="40% - Accent4 47 3" xfId="18141"/>
    <cellStyle name="40% - Accent4 47 3 2" xfId="18142"/>
    <cellStyle name="40% - Accent4 47 4" xfId="18143"/>
    <cellStyle name="40% - Accent4 47 5" xfId="18144"/>
    <cellStyle name="40% - Accent4 48" xfId="18145"/>
    <cellStyle name="40% - Accent4 48 2" xfId="18146"/>
    <cellStyle name="40% - Accent4 48 2 2" xfId="18147"/>
    <cellStyle name="40% - Accent4 48 3" xfId="18148"/>
    <cellStyle name="40% - Accent4 48 3 2" xfId="18149"/>
    <cellStyle name="40% - Accent4 48 4" xfId="18150"/>
    <cellStyle name="40% - Accent4 48 5" xfId="18151"/>
    <cellStyle name="40% - Accent4 49" xfId="18152"/>
    <cellStyle name="40% - Accent4 49 2" xfId="18153"/>
    <cellStyle name="40% - Accent4 49 2 2" xfId="18154"/>
    <cellStyle name="40% - Accent4 49 3" xfId="18155"/>
    <cellStyle name="40% - Accent4 49 3 2" xfId="18156"/>
    <cellStyle name="40% - Accent4 49 4" xfId="18157"/>
    <cellStyle name="40% - Accent4 49 5" xfId="18158"/>
    <cellStyle name="40% - Accent4 5" xfId="18159"/>
    <cellStyle name="40% - Accent4 5 2" xfId="18160"/>
    <cellStyle name="40% - Accent4 5 2 2" xfId="18161"/>
    <cellStyle name="40% - Accent4 5 2 2 2" xfId="18162"/>
    <cellStyle name="40% - Accent4 5 2 3" xfId="18163"/>
    <cellStyle name="40% - Accent4 5 2 3 2" xfId="18164"/>
    <cellStyle name="40% - Accent4 5 2 4" xfId="18165"/>
    <cellStyle name="40% - Accent4 5 3" xfId="18166"/>
    <cellStyle name="40% - Accent4 5 3 2" xfId="18167"/>
    <cellStyle name="40% - Accent4 5 3 2 2" xfId="18168"/>
    <cellStyle name="40% - Accent4 5 3 3" xfId="18169"/>
    <cellStyle name="40% - Accent4 5 3 3 2" xfId="18170"/>
    <cellStyle name="40% - Accent4 5 3 4" xfId="18171"/>
    <cellStyle name="40% - Accent4 5 4" xfId="18172"/>
    <cellStyle name="40% - Accent4 5 4 2" xfId="18173"/>
    <cellStyle name="40% - Accent4 5 5" xfId="18174"/>
    <cellStyle name="40% - Accent4 5 5 2" xfId="18175"/>
    <cellStyle name="40% - Accent4 5 6" xfId="18176"/>
    <cellStyle name="40% - Accent4 50" xfId="18177"/>
    <cellStyle name="40% - Accent4 50 2" xfId="18178"/>
    <cellStyle name="40% - Accent4 50 2 2" xfId="18179"/>
    <cellStyle name="40% - Accent4 50 3" xfId="18180"/>
    <cellStyle name="40% - Accent4 50 3 2" xfId="18181"/>
    <cellStyle name="40% - Accent4 50 4" xfId="18182"/>
    <cellStyle name="40% - Accent4 50 5" xfId="18183"/>
    <cellStyle name="40% - Accent4 51" xfId="18184"/>
    <cellStyle name="40% - Accent4 51 2" xfId="18185"/>
    <cellStyle name="40% - Accent4 51 2 2" xfId="18186"/>
    <cellStyle name="40% - Accent4 51 3" xfId="18187"/>
    <cellStyle name="40% - Accent4 51 3 2" xfId="18188"/>
    <cellStyle name="40% - Accent4 51 4" xfId="18189"/>
    <cellStyle name="40% - Accent4 51 5" xfId="18190"/>
    <cellStyle name="40% - Accent4 52" xfId="18191"/>
    <cellStyle name="40% - Accent4 52 2" xfId="18192"/>
    <cellStyle name="40% - Accent4 52 2 2" xfId="18193"/>
    <cellStyle name="40% - Accent4 52 3" xfId="18194"/>
    <cellStyle name="40% - Accent4 52 3 2" xfId="18195"/>
    <cellStyle name="40% - Accent4 52 4" xfId="18196"/>
    <cellStyle name="40% - Accent4 52 5" xfId="18197"/>
    <cellStyle name="40% - Accent4 53" xfId="18198"/>
    <cellStyle name="40% - Accent4 53 2" xfId="18199"/>
    <cellStyle name="40% - Accent4 53 2 2" xfId="18200"/>
    <cellStyle name="40% - Accent4 53 3" xfId="18201"/>
    <cellStyle name="40% - Accent4 53 3 2" xfId="18202"/>
    <cellStyle name="40% - Accent4 53 4" xfId="18203"/>
    <cellStyle name="40% - Accent4 53 5" xfId="18204"/>
    <cellStyle name="40% - Accent4 54" xfId="18205"/>
    <cellStyle name="40% - Accent4 54 2" xfId="18206"/>
    <cellStyle name="40% - Accent4 54 2 2" xfId="18207"/>
    <cellStyle name="40% - Accent4 54 3" xfId="18208"/>
    <cellStyle name="40% - Accent4 54 3 2" xfId="18209"/>
    <cellStyle name="40% - Accent4 54 4" xfId="18210"/>
    <cellStyle name="40% - Accent4 54 5" xfId="18211"/>
    <cellStyle name="40% - Accent4 55" xfId="18212"/>
    <cellStyle name="40% - Accent4 55 2" xfId="18213"/>
    <cellStyle name="40% - Accent4 55 2 2" xfId="18214"/>
    <cellStyle name="40% - Accent4 55 3" xfId="18215"/>
    <cellStyle name="40% - Accent4 55 3 2" xfId="18216"/>
    <cellStyle name="40% - Accent4 55 4" xfId="18217"/>
    <cellStyle name="40% - Accent4 55 5" xfId="18218"/>
    <cellStyle name="40% - Accent4 56" xfId="18219"/>
    <cellStyle name="40% - Accent4 56 2" xfId="18220"/>
    <cellStyle name="40% - Accent4 56 2 2" xfId="18221"/>
    <cellStyle name="40% - Accent4 56 3" xfId="18222"/>
    <cellStyle name="40% - Accent4 56 3 2" xfId="18223"/>
    <cellStyle name="40% - Accent4 56 4" xfId="18224"/>
    <cellStyle name="40% - Accent4 56 5" xfId="18225"/>
    <cellStyle name="40% - Accent4 57" xfId="18226"/>
    <cellStyle name="40% - Accent4 57 2" xfId="18227"/>
    <cellStyle name="40% - Accent4 57 2 2" xfId="18228"/>
    <cellStyle name="40% - Accent4 57 3" xfId="18229"/>
    <cellStyle name="40% - Accent4 57 3 2" xfId="18230"/>
    <cellStyle name="40% - Accent4 57 4" xfId="18231"/>
    <cellStyle name="40% - Accent4 57 5" xfId="18232"/>
    <cellStyle name="40% - Accent4 58" xfId="18233"/>
    <cellStyle name="40% - Accent4 58 2" xfId="18234"/>
    <cellStyle name="40% - Accent4 58 2 2" xfId="18235"/>
    <cellStyle name="40% - Accent4 58 3" xfId="18236"/>
    <cellStyle name="40% - Accent4 58 3 2" xfId="18237"/>
    <cellStyle name="40% - Accent4 58 4" xfId="18238"/>
    <cellStyle name="40% - Accent4 58 5" xfId="18239"/>
    <cellStyle name="40% - Accent4 59" xfId="18240"/>
    <cellStyle name="40% - Accent4 59 2" xfId="18241"/>
    <cellStyle name="40% - Accent4 59 2 2" xfId="18242"/>
    <cellStyle name="40% - Accent4 59 3" xfId="18243"/>
    <cellStyle name="40% - Accent4 59 3 2" xfId="18244"/>
    <cellStyle name="40% - Accent4 59 4" xfId="18245"/>
    <cellStyle name="40% - Accent4 59 5" xfId="18246"/>
    <cellStyle name="40% - Accent4 6" xfId="18247"/>
    <cellStyle name="40% - Accent4 6 2" xfId="18248"/>
    <cellStyle name="40% - Accent4 6 2 2" xfId="18249"/>
    <cellStyle name="40% - Accent4 6 2 2 2" xfId="18250"/>
    <cellStyle name="40% - Accent4 6 2 3" xfId="18251"/>
    <cellStyle name="40% - Accent4 6 2 3 2" xfId="18252"/>
    <cellStyle name="40% - Accent4 6 2 4" xfId="18253"/>
    <cellStyle name="40% - Accent4 6 3" xfId="18254"/>
    <cellStyle name="40% - Accent4 6 3 2" xfId="18255"/>
    <cellStyle name="40% - Accent4 6 3 2 2" xfId="18256"/>
    <cellStyle name="40% - Accent4 6 3 3" xfId="18257"/>
    <cellStyle name="40% - Accent4 6 3 3 2" xfId="18258"/>
    <cellStyle name="40% - Accent4 6 3 4" xfId="18259"/>
    <cellStyle name="40% - Accent4 6 4" xfId="18260"/>
    <cellStyle name="40% - Accent4 6 4 2" xfId="18261"/>
    <cellStyle name="40% - Accent4 6 5" xfId="18262"/>
    <cellStyle name="40% - Accent4 6 5 2" xfId="18263"/>
    <cellStyle name="40% - Accent4 6 6" xfId="18264"/>
    <cellStyle name="40% - Accent4 60" xfId="18265"/>
    <cellStyle name="40% - Accent4 60 2" xfId="18266"/>
    <cellStyle name="40% - Accent4 60 2 2" xfId="18267"/>
    <cellStyle name="40% - Accent4 60 3" xfId="18268"/>
    <cellStyle name="40% - Accent4 60 3 2" xfId="18269"/>
    <cellStyle name="40% - Accent4 60 4" xfId="18270"/>
    <cellStyle name="40% - Accent4 60 5" xfId="18271"/>
    <cellStyle name="40% - Accent4 61" xfId="18272"/>
    <cellStyle name="40% - Accent4 61 2" xfId="18273"/>
    <cellStyle name="40% - Accent4 61 2 2" xfId="18274"/>
    <cellStyle name="40% - Accent4 61 3" xfId="18275"/>
    <cellStyle name="40% - Accent4 61 3 2" xfId="18276"/>
    <cellStyle name="40% - Accent4 61 4" xfId="18277"/>
    <cellStyle name="40% - Accent4 61 5" xfId="18278"/>
    <cellStyle name="40% - Accent4 62" xfId="18279"/>
    <cellStyle name="40% - Accent4 62 2" xfId="18280"/>
    <cellStyle name="40% - Accent4 62 2 2" xfId="18281"/>
    <cellStyle name="40% - Accent4 62 3" xfId="18282"/>
    <cellStyle name="40% - Accent4 62 3 2" xfId="18283"/>
    <cellStyle name="40% - Accent4 62 4" xfId="18284"/>
    <cellStyle name="40% - Accent4 62 5" xfId="18285"/>
    <cellStyle name="40% - Accent4 63" xfId="18286"/>
    <cellStyle name="40% - Accent4 63 2" xfId="18287"/>
    <cellStyle name="40% - Accent4 63 2 2" xfId="18288"/>
    <cellStyle name="40% - Accent4 63 3" xfId="18289"/>
    <cellStyle name="40% - Accent4 63 3 2" xfId="18290"/>
    <cellStyle name="40% - Accent4 63 4" xfId="18291"/>
    <cellStyle name="40% - Accent4 63 5" xfId="18292"/>
    <cellStyle name="40% - Accent4 64" xfId="18293"/>
    <cellStyle name="40% - Accent4 64 2" xfId="18294"/>
    <cellStyle name="40% - Accent4 64 2 2" xfId="18295"/>
    <cellStyle name="40% - Accent4 64 3" xfId="18296"/>
    <cellStyle name="40% - Accent4 64 3 2" xfId="18297"/>
    <cellStyle name="40% - Accent4 64 4" xfId="18298"/>
    <cellStyle name="40% - Accent4 64 5" xfId="18299"/>
    <cellStyle name="40% - Accent4 65" xfId="18300"/>
    <cellStyle name="40% - Accent4 65 2" xfId="18301"/>
    <cellStyle name="40% - Accent4 65 2 2" xfId="18302"/>
    <cellStyle name="40% - Accent4 65 3" xfId="18303"/>
    <cellStyle name="40% - Accent4 65 3 2" xfId="18304"/>
    <cellStyle name="40% - Accent4 65 4" xfId="18305"/>
    <cellStyle name="40% - Accent4 65 5" xfId="18306"/>
    <cellStyle name="40% - Accent4 66" xfId="18307"/>
    <cellStyle name="40% - Accent4 66 2" xfId="18308"/>
    <cellStyle name="40% - Accent4 66 2 2" xfId="18309"/>
    <cellStyle name="40% - Accent4 66 3" xfId="18310"/>
    <cellStyle name="40% - Accent4 66 3 2" xfId="18311"/>
    <cellStyle name="40% - Accent4 66 4" xfId="18312"/>
    <cellStyle name="40% - Accent4 66 5" xfId="18313"/>
    <cellStyle name="40% - Accent4 67" xfId="18314"/>
    <cellStyle name="40% - Accent4 67 2" xfId="18315"/>
    <cellStyle name="40% - Accent4 67 2 2" xfId="18316"/>
    <cellStyle name="40% - Accent4 67 3" xfId="18317"/>
    <cellStyle name="40% - Accent4 67 3 2" xfId="18318"/>
    <cellStyle name="40% - Accent4 67 4" xfId="18319"/>
    <cellStyle name="40% - Accent4 67 5" xfId="18320"/>
    <cellStyle name="40% - Accent4 68" xfId="18321"/>
    <cellStyle name="40% - Accent4 68 2" xfId="18322"/>
    <cellStyle name="40% - Accent4 68 2 2" xfId="18323"/>
    <cellStyle name="40% - Accent4 68 3" xfId="18324"/>
    <cellStyle name="40% - Accent4 68 3 2" xfId="18325"/>
    <cellStyle name="40% - Accent4 68 4" xfId="18326"/>
    <cellStyle name="40% - Accent4 68 5" xfId="18327"/>
    <cellStyle name="40% - Accent4 69" xfId="18328"/>
    <cellStyle name="40% - Accent4 69 2" xfId="18329"/>
    <cellStyle name="40% - Accent4 69 2 2" xfId="18330"/>
    <cellStyle name="40% - Accent4 69 3" xfId="18331"/>
    <cellStyle name="40% - Accent4 69 3 2" xfId="18332"/>
    <cellStyle name="40% - Accent4 69 4" xfId="18333"/>
    <cellStyle name="40% - Accent4 69 5" xfId="18334"/>
    <cellStyle name="40% - Accent4 7" xfId="18335"/>
    <cellStyle name="40% - Accent4 7 2" xfId="18336"/>
    <cellStyle name="40% - Accent4 7 2 2" xfId="18337"/>
    <cellStyle name="40% - Accent4 7 2 2 2" xfId="18338"/>
    <cellStyle name="40% - Accent4 7 2 3" xfId="18339"/>
    <cellStyle name="40% - Accent4 7 2 3 2" xfId="18340"/>
    <cellStyle name="40% - Accent4 7 2 4" xfId="18341"/>
    <cellStyle name="40% - Accent4 7 3" xfId="18342"/>
    <cellStyle name="40% - Accent4 7 3 2" xfId="18343"/>
    <cellStyle name="40% - Accent4 7 3 2 2" xfId="18344"/>
    <cellStyle name="40% - Accent4 7 3 3" xfId="18345"/>
    <cellStyle name="40% - Accent4 7 3 3 2" xfId="18346"/>
    <cellStyle name="40% - Accent4 7 3 4" xfId="18347"/>
    <cellStyle name="40% - Accent4 7 4" xfId="18348"/>
    <cellStyle name="40% - Accent4 7 4 2" xfId="18349"/>
    <cellStyle name="40% - Accent4 7 5" xfId="18350"/>
    <cellStyle name="40% - Accent4 7 5 2" xfId="18351"/>
    <cellStyle name="40% - Accent4 7 6" xfId="18352"/>
    <cellStyle name="40% - Accent4 70" xfId="18353"/>
    <cellStyle name="40% - Accent4 70 2" xfId="18354"/>
    <cellStyle name="40% - Accent4 70 2 2" xfId="18355"/>
    <cellStyle name="40% - Accent4 70 3" xfId="18356"/>
    <cellStyle name="40% - Accent4 70 3 2" xfId="18357"/>
    <cellStyle name="40% - Accent4 70 4" xfId="18358"/>
    <cellStyle name="40% - Accent4 71" xfId="18359"/>
    <cellStyle name="40% - Accent4 71 2" xfId="18360"/>
    <cellStyle name="40% - Accent4 71 2 2" xfId="18361"/>
    <cellStyle name="40% - Accent4 71 3" xfId="18362"/>
    <cellStyle name="40% - Accent4 71 3 2" xfId="18363"/>
    <cellStyle name="40% - Accent4 71 4" xfId="18364"/>
    <cellStyle name="40% - Accent4 72" xfId="18365"/>
    <cellStyle name="40% - Accent4 72 2" xfId="18366"/>
    <cellStyle name="40% - Accent4 72 2 2" xfId="18367"/>
    <cellStyle name="40% - Accent4 72 3" xfId="18368"/>
    <cellStyle name="40% - Accent4 72 3 2" xfId="18369"/>
    <cellStyle name="40% - Accent4 72 4" xfId="18370"/>
    <cellStyle name="40% - Accent4 73" xfId="18371"/>
    <cellStyle name="40% - Accent4 73 2" xfId="18372"/>
    <cellStyle name="40% - Accent4 73 2 2" xfId="18373"/>
    <cellStyle name="40% - Accent4 73 3" xfId="18374"/>
    <cellStyle name="40% - Accent4 73 3 2" xfId="18375"/>
    <cellStyle name="40% - Accent4 73 4" xfId="18376"/>
    <cellStyle name="40% - Accent4 74" xfId="18377"/>
    <cellStyle name="40% - Accent4 74 2" xfId="18378"/>
    <cellStyle name="40% - Accent4 74 2 2" xfId="18379"/>
    <cellStyle name="40% - Accent4 74 3" xfId="18380"/>
    <cellStyle name="40% - Accent4 74 3 2" xfId="18381"/>
    <cellStyle name="40% - Accent4 74 4" xfId="18382"/>
    <cellStyle name="40% - Accent4 75" xfId="18383"/>
    <cellStyle name="40% - Accent4 75 2" xfId="18384"/>
    <cellStyle name="40% - Accent4 75 2 2" xfId="18385"/>
    <cellStyle name="40% - Accent4 75 3" xfId="18386"/>
    <cellStyle name="40% - Accent4 75 3 2" xfId="18387"/>
    <cellStyle name="40% - Accent4 75 4" xfId="18388"/>
    <cellStyle name="40% - Accent4 76" xfId="18389"/>
    <cellStyle name="40% - Accent4 76 2" xfId="18390"/>
    <cellStyle name="40% - Accent4 76 2 2" xfId="18391"/>
    <cellStyle name="40% - Accent4 76 3" xfId="18392"/>
    <cellStyle name="40% - Accent4 76 3 2" xfId="18393"/>
    <cellStyle name="40% - Accent4 76 4" xfId="18394"/>
    <cellStyle name="40% - Accent4 77" xfId="18395"/>
    <cellStyle name="40% - Accent4 77 2" xfId="18396"/>
    <cellStyle name="40% - Accent4 77 2 2" xfId="18397"/>
    <cellStyle name="40% - Accent4 77 3" xfId="18398"/>
    <cellStyle name="40% - Accent4 77 3 2" xfId="18399"/>
    <cellStyle name="40% - Accent4 77 4" xfId="18400"/>
    <cellStyle name="40% - Accent4 78" xfId="18401"/>
    <cellStyle name="40% - Accent4 78 2" xfId="18402"/>
    <cellStyle name="40% - Accent4 78 2 2" xfId="18403"/>
    <cellStyle name="40% - Accent4 78 3" xfId="18404"/>
    <cellStyle name="40% - Accent4 78 3 2" xfId="18405"/>
    <cellStyle name="40% - Accent4 78 4" xfId="18406"/>
    <cellStyle name="40% - Accent4 79" xfId="18407"/>
    <cellStyle name="40% - Accent4 79 2" xfId="18408"/>
    <cellStyle name="40% - Accent4 79 2 2" xfId="18409"/>
    <cellStyle name="40% - Accent4 79 3" xfId="18410"/>
    <cellStyle name="40% - Accent4 79 3 2" xfId="18411"/>
    <cellStyle name="40% - Accent4 79 4" xfId="18412"/>
    <cellStyle name="40% - Accent4 8" xfId="18413"/>
    <cellStyle name="40% - Accent4 8 2" xfId="18414"/>
    <cellStyle name="40% - Accent4 8 2 2" xfId="18415"/>
    <cellStyle name="40% - Accent4 8 2 2 2" xfId="18416"/>
    <cellStyle name="40% - Accent4 8 2 3" xfId="18417"/>
    <cellStyle name="40% - Accent4 8 2 3 2" xfId="18418"/>
    <cellStyle name="40% - Accent4 8 2 4" xfId="18419"/>
    <cellStyle name="40% - Accent4 8 3" xfId="18420"/>
    <cellStyle name="40% - Accent4 8 3 2" xfId="18421"/>
    <cellStyle name="40% - Accent4 8 3 2 2" xfId="18422"/>
    <cellStyle name="40% - Accent4 8 3 3" xfId="18423"/>
    <cellStyle name="40% - Accent4 8 3 3 2" xfId="18424"/>
    <cellStyle name="40% - Accent4 8 3 4" xfId="18425"/>
    <cellStyle name="40% - Accent4 8 4" xfId="18426"/>
    <cellStyle name="40% - Accent4 8 4 2" xfId="18427"/>
    <cellStyle name="40% - Accent4 8 5" xfId="18428"/>
    <cellStyle name="40% - Accent4 8 5 2" xfId="18429"/>
    <cellStyle name="40% - Accent4 8 6" xfId="18430"/>
    <cellStyle name="40% - Accent4 80" xfId="18431"/>
    <cellStyle name="40% - Accent4 80 2" xfId="18432"/>
    <cellStyle name="40% - Accent4 80 2 2" xfId="18433"/>
    <cellStyle name="40% - Accent4 80 3" xfId="18434"/>
    <cellStyle name="40% - Accent4 80 3 2" xfId="18435"/>
    <cellStyle name="40% - Accent4 80 4" xfId="18436"/>
    <cellStyle name="40% - Accent4 81" xfId="18437"/>
    <cellStyle name="40% - Accent4 81 2" xfId="18438"/>
    <cellStyle name="40% - Accent4 81 2 2" xfId="18439"/>
    <cellStyle name="40% - Accent4 81 3" xfId="18440"/>
    <cellStyle name="40% - Accent4 81 3 2" xfId="18441"/>
    <cellStyle name="40% - Accent4 81 4" xfId="18442"/>
    <cellStyle name="40% - Accent4 82" xfId="18443"/>
    <cellStyle name="40% - Accent4 82 2" xfId="18444"/>
    <cellStyle name="40% - Accent4 82 2 2" xfId="18445"/>
    <cellStyle name="40% - Accent4 82 3" xfId="18446"/>
    <cellStyle name="40% - Accent4 82 3 2" xfId="18447"/>
    <cellStyle name="40% - Accent4 82 4" xfId="18448"/>
    <cellStyle name="40% - Accent4 83" xfId="18449"/>
    <cellStyle name="40% - Accent4 83 2" xfId="18450"/>
    <cellStyle name="40% - Accent4 83 2 2" xfId="18451"/>
    <cellStyle name="40% - Accent4 83 3" xfId="18452"/>
    <cellStyle name="40% - Accent4 83 3 2" xfId="18453"/>
    <cellStyle name="40% - Accent4 83 4" xfId="18454"/>
    <cellStyle name="40% - Accent4 84" xfId="18455"/>
    <cellStyle name="40% - Accent4 84 2" xfId="18456"/>
    <cellStyle name="40% - Accent4 84 2 2" xfId="18457"/>
    <cellStyle name="40% - Accent4 84 3" xfId="18458"/>
    <cellStyle name="40% - Accent4 84 3 2" xfId="18459"/>
    <cellStyle name="40% - Accent4 84 4" xfId="18460"/>
    <cellStyle name="40% - Accent4 85" xfId="18461"/>
    <cellStyle name="40% - Accent4 85 2" xfId="18462"/>
    <cellStyle name="40% - Accent4 85 2 2" xfId="18463"/>
    <cellStyle name="40% - Accent4 85 3" xfId="18464"/>
    <cellStyle name="40% - Accent4 85 3 2" xfId="18465"/>
    <cellStyle name="40% - Accent4 85 4" xfId="18466"/>
    <cellStyle name="40% - Accent4 86" xfId="18467"/>
    <cellStyle name="40% - Accent4 86 2" xfId="18468"/>
    <cellStyle name="40% - Accent4 86 2 2" xfId="18469"/>
    <cellStyle name="40% - Accent4 86 3" xfId="18470"/>
    <cellStyle name="40% - Accent4 86 3 2" xfId="18471"/>
    <cellStyle name="40% - Accent4 86 4" xfId="18472"/>
    <cellStyle name="40% - Accent4 87" xfId="18473"/>
    <cellStyle name="40% - Accent4 87 2" xfId="18474"/>
    <cellStyle name="40% - Accent4 87 2 2" xfId="18475"/>
    <cellStyle name="40% - Accent4 87 3" xfId="18476"/>
    <cellStyle name="40% - Accent4 87 3 2" xfId="18477"/>
    <cellStyle name="40% - Accent4 87 4" xfId="18478"/>
    <cellStyle name="40% - Accent4 88" xfId="18479"/>
    <cellStyle name="40% - Accent4 88 2" xfId="18480"/>
    <cellStyle name="40% - Accent4 88 2 2" xfId="18481"/>
    <cellStyle name="40% - Accent4 88 3" xfId="18482"/>
    <cellStyle name="40% - Accent4 88 3 2" xfId="18483"/>
    <cellStyle name="40% - Accent4 88 4" xfId="18484"/>
    <cellStyle name="40% - Accent4 89" xfId="18485"/>
    <cellStyle name="40% - Accent4 89 2" xfId="18486"/>
    <cellStyle name="40% - Accent4 89 2 2" xfId="18487"/>
    <cellStyle name="40% - Accent4 89 3" xfId="18488"/>
    <cellStyle name="40% - Accent4 89 3 2" xfId="18489"/>
    <cellStyle name="40% - Accent4 89 4" xfId="18490"/>
    <cellStyle name="40% - Accent4 9" xfId="18491"/>
    <cellStyle name="40% - Accent4 9 2" xfId="18492"/>
    <cellStyle name="40% - Accent4 9 2 2" xfId="18493"/>
    <cellStyle name="40% - Accent4 9 2 2 2" xfId="18494"/>
    <cellStyle name="40% - Accent4 9 2 3" xfId="18495"/>
    <cellStyle name="40% - Accent4 9 2 3 2" xfId="18496"/>
    <cellStyle name="40% - Accent4 9 2 4" xfId="18497"/>
    <cellStyle name="40% - Accent4 9 3" xfId="18498"/>
    <cellStyle name="40% - Accent4 9 3 2" xfId="18499"/>
    <cellStyle name="40% - Accent4 9 3 2 2" xfId="18500"/>
    <cellStyle name="40% - Accent4 9 3 3" xfId="18501"/>
    <cellStyle name="40% - Accent4 9 3 3 2" xfId="18502"/>
    <cellStyle name="40% - Accent4 9 3 4" xfId="18503"/>
    <cellStyle name="40% - Accent4 9 4" xfId="18504"/>
    <cellStyle name="40% - Accent4 9 4 2" xfId="18505"/>
    <cellStyle name="40% - Accent4 9 5" xfId="18506"/>
    <cellStyle name="40% - Accent4 9 5 2" xfId="18507"/>
    <cellStyle name="40% - Accent4 9 6" xfId="18508"/>
    <cellStyle name="40% - Accent4 90" xfId="18509"/>
    <cellStyle name="40% - Accent4 90 2" xfId="18510"/>
    <cellStyle name="40% - Accent4 90 2 2" xfId="18511"/>
    <cellStyle name="40% - Accent4 90 3" xfId="18512"/>
    <cellStyle name="40% - Accent4 90 3 2" xfId="18513"/>
    <cellStyle name="40% - Accent4 90 4" xfId="18514"/>
    <cellStyle name="40% - Accent4 91" xfId="18515"/>
    <cellStyle name="40% - Accent4 91 2" xfId="18516"/>
    <cellStyle name="40% - Accent4 91 2 2" xfId="18517"/>
    <cellStyle name="40% - Accent4 91 3" xfId="18518"/>
    <cellStyle name="40% - Accent4 91 3 2" xfId="18519"/>
    <cellStyle name="40% - Accent4 91 4" xfId="18520"/>
    <cellStyle name="40% - Accent4 92" xfId="18521"/>
    <cellStyle name="40% - Accent4 92 2" xfId="18522"/>
    <cellStyle name="40% - Accent4 92 2 2" xfId="18523"/>
    <cellStyle name="40% - Accent4 92 3" xfId="18524"/>
    <cellStyle name="40% - Accent4 92 3 2" xfId="18525"/>
    <cellStyle name="40% - Accent4 92 4" xfId="18526"/>
    <cellStyle name="40% - Accent4 93" xfId="18527"/>
    <cellStyle name="40% - Accent4 93 2" xfId="18528"/>
    <cellStyle name="40% - Accent4 93 2 2" xfId="18529"/>
    <cellStyle name="40% - Accent4 93 3" xfId="18530"/>
    <cellStyle name="40% - Accent4 93 3 2" xfId="18531"/>
    <cellStyle name="40% - Accent4 93 4" xfId="18532"/>
    <cellStyle name="40% - Accent4 94" xfId="18533"/>
    <cellStyle name="40% - Accent4 94 2" xfId="18534"/>
    <cellStyle name="40% - Accent4 94 2 2" xfId="18535"/>
    <cellStyle name="40% - Accent4 94 3" xfId="18536"/>
    <cellStyle name="40% - Accent4 94 3 2" xfId="18537"/>
    <cellStyle name="40% - Accent4 94 4" xfId="18538"/>
    <cellStyle name="40% - Accent4 95" xfId="18539"/>
    <cellStyle name="40% - Accent4 95 2" xfId="18540"/>
    <cellStyle name="40% - Accent4 95 2 2" xfId="18541"/>
    <cellStyle name="40% - Accent4 95 3" xfId="18542"/>
    <cellStyle name="40% - Accent4 95 3 2" xfId="18543"/>
    <cellStyle name="40% - Accent4 95 4" xfId="18544"/>
    <cellStyle name="40% - Accent4 96" xfId="18545"/>
    <cellStyle name="40% - Accent4 96 2" xfId="18546"/>
    <cellStyle name="40% - Accent4 96 2 2" xfId="18547"/>
    <cellStyle name="40% - Accent4 96 3" xfId="18548"/>
    <cellStyle name="40% - Accent4 96 3 2" xfId="18549"/>
    <cellStyle name="40% - Accent4 96 4" xfId="18550"/>
    <cellStyle name="40% - Accent4 97" xfId="18551"/>
    <cellStyle name="40% - Accent4 97 2" xfId="18552"/>
    <cellStyle name="40% - Accent4 97 2 2" xfId="18553"/>
    <cellStyle name="40% - Accent4 97 3" xfId="18554"/>
    <cellStyle name="40% - Accent4 97 3 2" xfId="18555"/>
    <cellStyle name="40% - Accent4 97 4" xfId="18556"/>
    <cellStyle name="40% - Accent4 98" xfId="18557"/>
    <cellStyle name="40% - Accent4 98 2" xfId="18558"/>
    <cellStyle name="40% - Accent4 98 2 2" xfId="18559"/>
    <cellStyle name="40% - Accent4 98 3" xfId="18560"/>
    <cellStyle name="40% - Accent4 98 3 2" xfId="18561"/>
    <cellStyle name="40% - Accent4 98 4" xfId="18562"/>
    <cellStyle name="40% - Accent4 99" xfId="18563"/>
    <cellStyle name="40% - Accent4 99 2" xfId="18564"/>
    <cellStyle name="40% - Accent4 99 2 2" xfId="18565"/>
    <cellStyle name="40% - Accent4 99 3" xfId="18566"/>
    <cellStyle name="40% - Accent4 99 3 2" xfId="18567"/>
    <cellStyle name="40% - Accent4 99 4" xfId="18568"/>
    <cellStyle name="40% - Accent5 10" xfId="18569"/>
    <cellStyle name="40% - Accent5 10 2" xfId="18570"/>
    <cellStyle name="40% - Accent5 10 2 2" xfId="18571"/>
    <cellStyle name="40% - Accent5 10 2 2 2" xfId="18572"/>
    <cellStyle name="40% - Accent5 10 2 3" xfId="18573"/>
    <cellStyle name="40% - Accent5 10 2 3 2" xfId="18574"/>
    <cellStyle name="40% - Accent5 10 2 4" xfId="18575"/>
    <cellStyle name="40% - Accent5 10 3" xfId="18576"/>
    <cellStyle name="40% - Accent5 10 3 2" xfId="18577"/>
    <cellStyle name="40% - Accent5 10 3 2 2" xfId="18578"/>
    <cellStyle name="40% - Accent5 10 3 3" xfId="18579"/>
    <cellStyle name="40% - Accent5 10 3 3 2" xfId="18580"/>
    <cellStyle name="40% - Accent5 10 3 4" xfId="18581"/>
    <cellStyle name="40% - Accent5 10 4" xfId="18582"/>
    <cellStyle name="40% - Accent5 10 4 2" xfId="18583"/>
    <cellStyle name="40% - Accent5 10 5" xfId="18584"/>
    <cellStyle name="40% - Accent5 10 5 2" xfId="18585"/>
    <cellStyle name="40% - Accent5 10 6" xfId="18586"/>
    <cellStyle name="40% - Accent5 100" xfId="18587"/>
    <cellStyle name="40% - Accent5 100 2" xfId="18588"/>
    <cellStyle name="40% - Accent5 100 2 2" xfId="18589"/>
    <cellStyle name="40% - Accent5 100 3" xfId="18590"/>
    <cellStyle name="40% - Accent5 100 3 2" xfId="18591"/>
    <cellStyle name="40% - Accent5 100 4" xfId="18592"/>
    <cellStyle name="40% - Accent5 101" xfId="18593"/>
    <cellStyle name="40% - Accent5 101 2" xfId="18594"/>
    <cellStyle name="40% - Accent5 101 2 2" xfId="18595"/>
    <cellStyle name="40% - Accent5 101 3" xfId="18596"/>
    <cellStyle name="40% - Accent5 101 3 2" xfId="18597"/>
    <cellStyle name="40% - Accent5 101 4" xfId="18598"/>
    <cellStyle name="40% - Accent5 102" xfId="18599"/>
    <cellStyle name="40% - Accent5 102 2" xfId="18600"/>
    <cellStyle name="40% - Accent5 102 2 2" xfId="18601"/>
    <cellStyle name="40% - Accent5 102 3" xfId="18602"/>
    <cellStyle name="40% - Accent5 102 3 2" xfId="18603"/>
    <cellStyle name="40% - Accent5 102 4" xfId="18604"/>
    <cellStyle name="40% - Accent5 103" xfId="18605"/>
    <cellStyle name="40% - Accent5 103 2" xfId="18606"/>
    <cellStyle name="40% - Accent5 103 2 2" xfId="18607"/>
    <cellStyle name="40% - Accent5 103 3" xfId="18608"/>
    <cellStyle name="40% - Accent5 103 3 2" xfId="18609"/>
    <cellStyle name="40% - Accent5 103 4" xfId="18610"/>
    <cellStyle name="40% - Accent5 104" xfId="18611"/>
    <cellStyle name="40% - Accent5 104 2" xfId="18612"/>
    <cellStyle name="40% - Accent5 104 2 2" xfId="18613"/>
    <cellStyle name="40% - Accent5 104 3" xfId="18614"/>
    <cellStyle name="40% - Accent5 104 3 2" xfId="18615"/>
    <cellStyle name="40% - Accent5 104 4" xfId="18616"/>
    <cellStyle name="40% - Accent5 105" xfId="18617"/>
    <cellStyle name="40% - Accent5 105 2" xfId="18618"/>
    <cellStyle name="40% - Accent5 105 2 2" xfId="18619"/>
    <cellStyle name="40% - Accent5 105 3" xfId="18620"/>
    <cellStyle name="40% - Accent5 105 3 2" xfId="18621"/>
    <cellStyle name="40% - Accent5 105 4" xfId="18622"/>
    <cellStyle name="40% - Accent5 106" xfId="18623"/>
    <cellStyle name="40% - Accent5 106 2" xfId="18624"/>
    <cellStyle name="40% - Accent5 106 2 2" xfId="18625"/>
    <cellStyle name="40% - Accent5 106 3" xfId="18626"/>
    <cellStyle name="40% - Accent5 106 3 2" xfId="18627"/>
    <cellStyle name="40% - Accent5 106 4" xfId="18628"/>
    <cellStyle name="40% - Accent5 107" xfId="18629"/>
    <cellStyle name="40% - Accent5 107 2" xfId="18630"/>
    <cellStyle name="40% - Accent5 107 2 2" xfId="18631"/>
    <cellStyle name="40% - Accent5 107 3" xfId="18632"/>
    <cellStyle name="40% - Accent5 107 3 2" xfId="18633"/>
    <cellStyle name="40% - Accent5 107 4" xfId="18634"/>
    <cellStyle name="40% - Accent5 108" xfId="18635"/>
    <cellStyle name="40% - Accent5 108 2" xfId="18636"/>
    <cellStyle name="40% - Accent5 108 2 2" xfId="18637"/>
    <cellStyle name="40% - Accent5 108 3" xfId="18638"/>
    <cellStyle name="40% - Accent5 108 3 2" xfId="18639"/>
    <cellStyle name="40% - Accent5 108 4" xfId="18640"/>
    <cellStyle name="40% - Accent5 109" xfId="18641"/>
    <cellStyle name="40% - Accent5 109 2" xfId="18642"/>
    <cellStyle name="40% - Accent5 109 2 2" xfId="18643"/>
    <cellStyle name="40% - Accent5 109 3" xfId="18644"/>
    <cellStyle name="40% - Accent5 109 3 2" xfId="18645"/>
    <cellStyle name="40% - Accent5 109 4" xfId="18646"/>
    <cellStyle name="40% - Accent5 11" xfId="18647"/>
    <cellStyle name="40% - Accent5 11 2" xfId="18648"/>
    <cellStyle name="40% - Accent5 11 2 2" xfId="18649"/>
    <cellStyle name="40% - Accent5 11 2 2 2" xfId="18650"/>
    <cellStyle name="40% - Accent5 11 2 3" xfId="18651"/>
    <cellStyle name="40% - Accent5 11 2 3 2" xfId="18652"/>
    <cellStyle name="40% - Accent5 11 2 4" xfId="18653"/>
    <cellStyle name="40% - Accent5 11 3" xfId="18654"/>
    <cellStyle name="40% - Accent5 11 3 2" xfId="18655"/>
    <cellStyle name="40% - Accent5 11 3 2 2" xfId="18656"/>
    <cellStyle name="40% - Accent5 11 3 3" xfId="18657"/>
    <cellStyle name="40% - Accent5 11 3 3 2" xfId="18658"/>
    <cellStyle name="40% - Accent5 11 3 4" xfId="18659"/>
    <cellStyle name="40% - Accent5 11 4" xfId="18660"/>
    <cellStyle name="40% - Accent5 11 4 2" xfId="18661"/>
    <cellStyle name="40% - Accent5 11 5" xfId="18662"/>
    <cellStyle name="40% - Accent5 11 5 2" xfId="18663"/>
    <cellStyle name="40% - Accent5 11 6" xfId="18664"/>
    <cellStyle name="40% - Accent5 110" xfId="18665"/>
    <cellStyle name="40% - Accent5 110 2" xfId="18666"/>
    <cellStyle name="40% - Accent5 110 2 2" xfId="18667"/>
    <cellStyle name="40% - Accent5 110 3" xfId="18668"/>
    <cellStyle name="40% - Accent5 110 3 2" xfId="18669"/>
    <cellStyle name="40% - Accent5 110 4" xfId="18670"/>
    <cellStyle name="40% - Accent5 111" xfId="18671"/>
    <cellStyle name="40% - Accent5 111 2" xfId="18672"/>
    <cellStyle name="40% - Accent5 111 2 2" xfId="18673"/>
    <cellStyle name="40% - Accent5 111 3" xfId="18674"/>
    <cellStyle name="40% - Accent5 111 3 2" xfId="18675"/>
    <cellStyle name="40% - Accent5 111 4" xfId="18676"/>
    <cellStyle name="40% - Accent5 112" xfId="18677"/>
    <cellStyle name="40% - Accent5 112 2" xfId="18678"/>
    <cellStyle name="40% - Accent5 112 2 2" xfId="18679"/>
    <cellStyle name="40% - Accent5 112 3" xfId="18680"/>
    <cellStyle name="40% - Accent5 112 3 2" xfId="18681"/>
    <cellStyle name="40% - Accent5 112 4" xfId="18682"/>
    <cellStyle name="40% - Accent5 113" xfId="18683"/>
    <cellStyle name="40% - Accent5 113 2" xfId="18684"/>
    <cellStyle name="40% - Accent5 113 2 2" xfId="18685"/>
    <cellStyle name="40% - Accent5 113 3" xfId="18686"/>
    <cellStyle name="40% - Accent5 113 3 2" xfId="18687"/>
    <cellStyle name="40% - Accent5 113 4" xfId="18688"/>
    <cellStyle name="40% - Accent5 114" xfId="18689"/>
    <cellStyle name="40% - Accent5 114 2" xfId="18690"/>
    <cellStyle name="40% - Accent5 114 2 2" xfId="18691"/>
    <cellStyle name="40% - Accent5 114 3" xfId="18692"/>
    <cellStyle name="40% - Accent5 114 3 2" xfId="18693"/>
    <cellStyle name="40% - Accent5 114 4" xfId="18694"/>
    <cellStyle name="40% - Accent5 115" xfId="18695"/>
    <cellStyle name="40% - Accent5 115 2" xfId="18696"/>
    <cellStyle name="40% - Accent5 115 2 2" xfId="18697"/>
    <cellStyle name="40% - Accent5 115 3" xfId="18698"/>
    <cellStyle name="40% - Accent5 115 3 2" xfId="18699"/>
    <cellStyle name="40% - Accent5 115 4" xfId="18700"/>
    <cellStyle name="40% - Accent5 116" xfId="18701"/>
    <cellStyle name="40% - Accent5 116 2" xfId="18702"/>
    <cellStyle name="40% - Accent5 116 2 2" xfId="18703"/>
    <cellStyle name="40% - Accent5 116 3" xfId="18704"/>
    <cellStyle name="40% - Accent5 116 3 2" xfId="18705"/>
    <cellStyle name="40% - Accent5 116 4" xfId="18706"/>
    <cellStyle name="40% - Accent5 117" xfId="18707"/>
    <cellStyle name="40% - Accent5 117 2" xfId="18708"/>
    <cellStyle name="40% - Accent5 117 2 2" xfId="18709"/>
    <cellStyle name="40% - Accent5 117 3" xfId="18710"/>
    <cellStyle name="40% - Accent5 117 3 2" xfId="18711"/>
    <cellStyle name="40% - Accent5 117 4" xfId="18712"/>
    <cellStyle name="40% - Accent5 118" xfId="18713"/>
    <cellStyle name="40% - Accent5 118 2" xfId="18714"/>
    <cellStyle name="40% - Accent5 118 2 2" xfId="18715"/>
    <cellStyle name="40% - Accent5 118 3" xfId="18716"/>
    <cellStyle name="40% - Accent5 118 3 2" xfId="18717"/>
    <cellStyle name="40% - Accent5 118 4" xfId="18718"/>
    <cellStyle name="40% - Accent5 119" xfId="18719"/>
    <cellStyle name="40% - Accent5 119 2" xfId="18720"/>
    <cellStyle name="40% - Accent5 119 2 2" xfId="18721"/>
    <cellStyle name="40% - Accent5 119 3" xfId="18722"/>
    <cellStyle name="40% - Accent5 119 3 2" xfId="18723"/>
    <cellStyle name="40% - Accent5 119 4" xfId="18724"/>
    <cellStyle name="40% - Accent5 12" xfId="18725"/>
    <cellStyle name="40% - Accent5 12 2" xfId="18726"/>
    <cellStyle name="40% - Accent5 12 2 2" xfId="18727"/>
    <cellStyle name="40% - Accent5 12 2 2 2" xfId="18728"/>
    <cellStyle name="40% - Accent5 12 2 3" xfId="18729"/>
    <cellStyle name="40% - Accent5 12 2 3 2" xfId="18730"/>
    <cellStyle name="40% - Accent5 12 2 4" xfId="18731"/>
    <cellStyle name="40% - Accent5 12 3" xfId="18732"/>
    <cellStyle name="40% - Accent5 12 3 2" xfId="18733"/>
    <cellStyle name="40% - Accent5 12 3 2 2" xfId="18734"/>
    <cellStyle name="40% - Accent5 12 3 3" xfId="18735"/>
    <cellStyle name="40% - Accent5 12 3 3 2" xfId="18736"/>
    <cellStyle name="40% - Accent5 12 3 4" xfId="18737"/>
    <cellStyle name="40% - Accent5 12 4" xfId="18738"/>
    <cellStyle name="40% - Accent5 12 4 2" xfId="18739"/>
    <cellStyle name="40% - Accent5 12 5" xfId="18740"/>
    <cellStyle name="40% - Accent5 12 5 2" xfId="18741"/>
    <cellStyle name="40% - Accent5 12 6" xfId="18742"/>
    <cellStyle name="40% - Accent5 120" xfId="18743"/>
    <cellStyle name="40% - Accent5 120 2" xfId="18744"/>
    <cellStyle name="40% - Accent5 120 2 2" xfId="18745"/>
    <cellStyle name="40% - Accent5 120 3" xfId="18746"/>
    <cellStyle name="40% - Accent5 120 3 2" xfId="18747"/>
    <cellStyle name="40% - Accent5 120 4" xfId="18748"/>
    <cellStyle name="40% - Accent5 121" xfId="18749"/>
    <cellStyle name="40% - Accent5 121 2" xfId="18750"/>
    <cellStyle name="40% - Accent5 121 2 2" xfId="18751"/>
    <cellStyle name="40% - Accent5 121 3" xfId="18752"/>
    <cellStyle name="40% - Accent5 121 3 2" xfId="18753"/>
    <cellStyle name="40% - Accent5 121 4" xfId="18754"/>
    <cellStyle name="40% - Accent5 122" xfId="18755"/>
    <cellStyle name="40% - Accent5 122 2" xfId="18756"/>
    <cellStyle name="40% - Accent5 122 2 2" xfId="18757"/>
    <cellStyle name="40% - Accent5 122 3" xfId="18758"/>
    <cellStyle name="40% - Accent5 122 3 2" xfId="18759"/>
    <cellStyle name="40% - Accent5 122 4" xfId="18760"/>
    <cellStyle name="40% - Accent5 123" xfId="18761"/>
    <cellStyle name="40% - Accent5 123 2" xfId="18762"/>
    <cellStyle name="40% - Accent5 123 2 2" xfId="18763"/>
    <cellStyle name="40% - Accent5 123 3" xfId="18764"/>
    <cellStyle name="40% - Accent5 123 3 2" xfId="18765"/>
    <cellStyle name="40% - Accent5 123 4" xfId="18766"/>
    <cellStyle name="40% - Accent5 124" xfId="18767"/>
    <cellStyle name="40% - Accent5 124 2" xfId="18768"/>
    <cellStyle name="40% - Accent5 124 2 2" xfId="18769"/>
    <cellStyle name="40% - Accent5 124 3" xfId="18770"/>
    <cellStyle name="40% - Accent5 124 3 2" xfId="18771"/>
    <cellStyle name="40% - Accent5 124 4" xfId="18772"/>
    <cellStyle name="40% - Accent5 125" xfId="18773"/>
    <cellStyle name="40% - Accent5 125 2" xfId="18774"/>
    <cellStyle name="40% - Accent5 125 2 2" xfId="18775"/>
    <cellStyle name="40% - Accent5 125 3" xfId="18776"/>
    <cellStyle name="40% - Accent5 125 3 2" xfId="18777"/>
    <cellStyle name="40% - Accent5 125 4" xfId="18778"/>
    <cellStyle name="40% - Accent5 126" xfId="18779"/>
    <cellStyle name="40% - Accent5 126 2" xfId="18780"/>
    <cellStyle name="40% - Accent5 126 2 2" xfId="18781"/>
    <cellStyle name="40% - Accent5 126 3" xfId="18782"/>
    <cellStyle name="40% - Accent5 126 3 2" xfId="18783"/>
    <cellStyle name="40% - Accent5 126 4" xfId="18784"/>
    <cellStyle name="40% - Accent5 127" xfId="18785"/>
    <cellStyle name="40% - Accent5 127 2" xfId="18786"/>
    <cellStyle name="40% - Accent5 127 2 2" xfId="18787"/>
    <cellStyle name="40% - Accent5 127 3" xfId="18788"/>
    <cellStyle name="40% - Accent5 127 3 2" xfId="18789"/>
    <cellStyle name="40% - Accent5 127 4" xfId="18790"/>
    <cellStyle name="40% - Accent5 128" xfId="18791"/>
    <cellStyle name="40% - Accent5 128 2" xfId="18792"/>
    <cellStyle name="40% - Accent5 128 2 2" xfId="18793"/>
    <cellStyle name="40% - Accent5 128 3" xfId="18794"/>
    <cellStyle name="40% - Accent5 128 3 2" xfId="18795"/>
    <cellStyle name="40% - Accent5 128 4" xfId="18796"/>
    <cellStyle name="40% - Accent5 129" xfId="18797"/>
    <cellStyle name="40% - Accent5 129 2" xfId="18798"/>
    <cellStyle name="40% - Accent5 129 2 2" xfId="18799"/>
    <cellStyle name="40% - Accent5 129 3" xfId="18800"/>
    <cellStyle name="40% - Accent5 129 3 2" xfId="18801"/>
    <cellStyle name="40% - Accent5 129 4" xfId="18802"/>
    <cellStyle name="40% - Accent5 13" xfId="18803"/>
    <cellStyle name="40% - Accent5 13 2" xfId="18804"/>
    <cellStyle name="40% - Accent5 13 2 2" xfId="18805"/>
    <cellStyle name="40% - Accent5 13 2 2 2" xfId="18806"/>
    <cellStyle name="40% - Accent5 13 2 3" xfId="18807"/>
    <cellStyle name="40% - Accent5 13 2 3 2" xfId="18808"/>
    <cellStyle name="40% - Accent5 13 2 4" xfId="18809"/>
    <cellStyle name="40% - Accent5 13 3" xfId="18810"/>
    <cellStyle name="40% - Accent5 13 3 2" xfId="18811"/>
    <cellStyle name="40% - Accent5 13 3 2 2" xfId="18812"/>
    <cellStyle name="40% - Accent5 13 3 3" xfId="18813"/>
    <cellStyle name="40% - Accent5 13 3 3 2" xfId="18814"/>
    <cellStyle name="40% - Accent5 13 3 4" xfId="18815"/>
    <cellStyle name="40% - Accent5 13 4" xfId="18816"/>
    <cellStyle name="40% - Accent5 13 4 2" xfId="18817"/>
    <cellStyle name="40% - Accent5 13 5" xfId="18818"/>
    <cellStyle name="40% - Accent5 13 5 2" xfId="18819"/>
    <cellStyle name="40% - Accent5 13 6" xfId="18820"/>
    <cellStyle name="40% - Accent5 130" xfId="18821"/>
    <cellStyle name="40% - Accent5 130 2" xfId="18822"/>
    <cellStyle name="40% - Accent5 130 2 2" xfId="18823"/>
    <cellStyle name="40% - Accent5 130 3" xfId="18824"/>
    <cellStyle name="40% - Accent5 130 3 2" xfId="18825"/>
    <cellStyle name="40% - Accent5 130 4" xfId="18826"/>
    <cellStyle name="40% - Accent5 131" xfId="18827"/>
    <cellStyle name="40% - Accent5 131 2" xfId="18828"/>
    <cellStyle name="40% - Accent5 131 2 2" xfId="18829"/>
    <cellStyle name="40% - Accent5 131 3" xfId="18830"/>
    <cellStyle name="40% - Accent5 131 3 2" xfId="18831"/>
    <cellStyle name="40% - Accent5 131 4" xfId="18832"/>
    <cellStyle name="40% - Accent5 132" xfId="18833"/>
    <cellStyle name="40% - Accent5 132 2" xfId="18834"/>
    <cellStyle name="40% - Accent5 132 2 2" xfId="18835"/>
    <cellStyle name="40% - Accent5 132 3" xfId="18836"/>
    <cellStyle name="40% - Accent5 132 3 2" xfId="18837"/>
    <cellStyle name="40% - Accent5 132 4" xfId="18838"/>
    <cellStyle name="40% - Accent5 133" xfId="18839"/>
    <cellStyle name="40% - Accent5 133 2" xfId="18840"/>
    <cellStyle name="40% - Accent5 133 2 2" xfId="18841"/>
    <cellStyle name="40% - Accent5 133 3" xfId="18842"/>
    <cellStyle name="40% - Accent5 133 3 2" xfId="18843"/>
    <cellStyle name="40% - Accent5 133 4" xfId="18844"/>
    <cellStyle name="40% - Accent5 134" xfId="18845"/>
    <cellStyle name="40% - Accent5 134 2" xfId="18846"/>
    <cellStyle name="40% - Accent5 134 2 2" xfId="18847"/>
    <cellStyle name="40% - Accent5 134 3" xfId="18848"/>
    <cellStyle name="40% - Accent5 134 3 2" xfId="18849"/>
    <cellStyle name="40% - Accent5 134 4" xfId="18850"/>
    <cellStyle name="40% - Accent5 135" xfId="18851"/>
    <cellStyle name="40% - Accent5 135 2" xfId="18852"/>
    <cellStyle name="40% - Accent5 135 2 2" xfId="18853"/>
    <cellStyle name="40% - Accent5 135 3" xfId="18854"/>
    <cellStyle name="40% - Accent5 135 3 2" xfId="18855"/>
    <cellStyle name="40% - Accent5 135 4" xfId="18856"/>
    <cellStyle name="40% - Accent5 136" xfId="18857"/>
    <cellStyle name="40% - Accent5 136 2" xfId="18858"/>
    <cellStyle name="40% - Accent5 136 2 2" xfId="18859"/>
    <cellStyle name="40% - Accent5 136 3" xfId="18860"/>
    <cellStyle name="40% - Accent5 136 3 2" xfId="18861"/>
    <cellStyle name="40% - Accent5 136 4" xfId="18862"/>
    <cellStyle name="40% - Accent5 137" xfId="18863"/>
    <cellStyle name="40% - Accent5 137 2" xfId="18864"/>
    <cellStyle name="40% - Accent5 137 2 2" xfId="18865"/>
    <cellStyle name="40% - Accent5 137 3" xfId="18866"/>
    <cellStyle name="40% - Accent5 137 3 2" xfId="18867"/>
    <cellStyle name="40% - Accent5 137 4" xfId="18868"/>
    <cellStyle name="40% - Accent5 138" xfId="18869"/>
    <cellStyle name="40% - Accent5 138 2" xfId="18870"/>
    <cellStyle name="40% - Accent5 138 2 2" xfId="18871"/>
    <cellStyle name="40% - Accent5 138 3" xfId="18872"/>
    <cellStyle name="40% - Accent5 138 3 2" xfId="18873"/>
    <cellStyle name="40% - Accent5 138 4" xfId="18874"/>
    <cellStyle name="40% - Accent5 139" xfId="18875"/>
    <cellStyle name="40% - Accent5 139 2" xfId="18876"/>
    <cellStyle name="40% - Accent5 139 2 2" xfId="18877"/>
    <cellStyle name="40% - Accent5 139 3" xfId="18878"/>
    <cellStyle name="40% - Accent5 139 3 2" xfId="18879"/>
    <cellStyle name="40% - Accent5 139 4" xfId="18880"/>
    <cellStyle name="40% - Accent5 14" xfId="18881"/>
    <cellStyle name="40% - Accent5 14 2" xfId="18882"/>
    <cellStyle name="40% - Accent5 14 2 2" xfId="18883"/>
    <cellStyle name="40% - Accent5 14 2 2 2" xfId="18884"/>
    <cellStyle name="40% - Accent5 14 2 3" xfId="18885"/>
    <cellStyle name="40% - Accent5 14 2 3 2" xfId="18886"/>
    <cellStyle name="40% - Accent5 14 2 4" xfId="18887"/>
    <cellStyle name="40% - Accent5 14 3" xfId="18888"/>
    <cellStyle name="40% - Accent5 14 3 2" xfId="18889"/>
    <cellStyle name="40% - Accent5 14 3 2 2" xfId="18890"/>
    <cellStyle name="40% - Accent5 14 3 3" xfId="18891"/>
    <cellStyle name="40% - Accent5 14 3 3 2" xfId="18892"/>
    <cellStyle name="40% - Accent5 14 3 4" xfId="18893"/>
    <cellStyle name="40% - Accent5 14 4" xfId="18894"/>
    <cellStyle name="40% - Accent5 14 4 2" xfId="18895"/>
    <cellStyle name="40% - Accent5 14 5" xfId="18896"/>
    <cellStyle name="40% - Accent5 14 5 2" xfId="18897"/>
    <cellStyle name="40% - Accent5 14 6" xfId="18898"/>
    <cellStyle name="40% - Accent5 140" xfId="18899"/>
    <cellStyle name="40% - Accent5 140 2" xfId="18900"/>
    <cellStyle name="40% - Accent5 140 2 2" xfId="18901"/>
    <cellStyle name="40% - Accent5 140 3" xfId="18902"/>
    <cellStyle name="40% - Accent5 140 3 2" xfId="18903"/>
    <cellStyle name="40% - Accent5 140 4" xfId="18904"/>
    <cellStyle name="40% - Accent5 141" xfId="18905"/>
    <cellStyle name="40% - Accent5 141 2" xfId="18906"/>
    <cellStyle name="40% - Accent5 141 2 2" xfId="18907"/>
    <cellStyle name="40% - Accent5 141 3" xfId="18908"/>
    <cellStyle name="40% - Accent5 141 3 2" xfId="18909"/>
    <cellStyle name="40% - Accent5 141 4" xfId="18910"/>
    <cellStyle name="40% - Accent5 142" xfId="18911"/>
    <cellStyle name="40% - Accent5 142 2" xfId="18912"/>
    <cellStyle name="40% - Accent5 142 2 2" xfId="18913"/>
    <cellStyle name="40% - Accent5 142 3" xfId="18914"/>
    <cellStyle name="40% - Accent5 142 3 2" xfId="18915"/>
    <cellStyle name="40% - Accent5 142 4" xfId="18916"/>
    <cellStyle name="40% - Accent5 143" xfId="18917"/>
    <cellStyle name="40% - Accent5 143 2" xfId="18918"/>
    <cellStyle name="40% - Accent5 143 2 2" xfId="18919"/>
    <cellStyle name="40% - Accent5 143 3" xfId="18920"/>
    <cellStyle name="40% - Accent5 143 3 2" xfId="18921"/>
    <cellStyle name="40% - Accent5 143 4" xfId="18922"/>
    <cellStyle name="40% - Accent5 144" xfId="18923"/>
    <cellStyle name="40% - Accent5 144 2" xfId="18924"/>
    <cellStyle name="40% - Accent5 144 2 2" xfId="18925"/>
    <cellStyle name="40% - Accent5 144 3" xfId="18926"/>
    <cellStyle name="40% - Accent5 144 3 2" xfId="18927"/>
    <cellStyle name="40% - Accent5 144 4" xfId="18928"/>
    <cellStyle name="40% - Accent5 145" xfId="18929"/>
    <cellStyle name="40% - Accent5 145 2" xfId="18930"/>
    <cellStyle name="40% - Accent5 145 2 2" xfId="18931"/>
    <cellStyle name="40% - Accent5 145 3" xfId="18932"/>
    <cellStyle name="40% - Accent5 145 3 2" xfId="18933"/>
    <cellStyle name="40% - Accent5 145 4" xfId="18934"/>
    <cellStyle name="40% - Accent5 146" xfId="18935"/>
    <cellStyle name="40% - Accent5 146 2" xfId="18936"/>
    <cellStyle name="40% - Accent5 146 2 2" xfId="18937"/>
    <cellStyle name="40% - Accent5 146 3" xfId="18938"/>
    <cellStyle name="40% - Accent5 146 3 2" xfId="18939"/>
    <cellStyle name="40% - Accent5 146 4" xfId="18940"/>
    <cellStyle name="40% - Accent5 147" xfId="18941"/>
    <cellStyle name="40% - Accent5 147 2" xfId="18942"/>
    <cellStyle name="40% - Accent5 147 2 2" xfId="18943"/>
    <cellStyle name="40% - Accent5 147 3" xfId="18944"/>
    <cellStyle name="40% - Accent5 147 3 2" xfId="18945"/>
    <cellStyle name="40% - Accent5 147 4" xfId="18946"/>
    <cellStyle name="40% - Accent5 148" xfId="18947"/>
    <cellStyle name="40% - Accent5 148 2" xfId="18948"/>
    <cellStyle name="40% - Accent5 148 2 2" xfId="18949"/>
    <cellStyle name="40% - Accent5 148 3" xfId="18950"/>
    <cellStyle name="40% - Accent5 148 3 2" xfId="18951"/>
    <cellStyle name="40% - Accent5 148 4" xfId="18952"/>
    <cellStyle name="40% - Accent5 149" xfId="18953"/>
    <cellStyle name="40% - Accent5 149 2" xfId="18954"/>
    <cellStyle name="40% - Accent5 149 2 2" xfId="18955"/>
    <cellStyle name="40% - Accent5 149 3" xfId="18956"/>
    <cellStyle name="40% - Accent5 149 3 2" xfId="18957"/>
    <cellStyle name="40% - Accent5 149 4" xfId="18958"/>
    <cellStyle name="40% - Accent5 15" xfId="18959"/>
    <cellStyle name="40% - Accent5 15 2" xfId="18960"/>
    <cellStyle name="40% - Accent5 15 2 2" xfId="18961"/>
    <cellStyle name="40% - Accent5 15 2 2 2" xfId="18962"/>
    <cellStyle name="40% - Accent5 15 2 3" xfId="18963"/>
    <cellStyle name="40% - Accent5 15 2 3 2" xfId="18964"/>
    <cellStyle name="40% - Accent5 15 2 4" xfId="18965"/>
    <cellStyle name="40% - Accent5 15 3" xfId="18966"/>
    <cellStyle name="40% - Accent5 15 3 2" xfId="18967"/>
    <cellStyle name="40% - Accent5 15 3 2 2" xfId="18968"/>
    <cellStyle name="40% - Accent5 15 3 3" xfId="18969"/>
    <cellStyle name="40% - Accent5 15 3 3 2" xfId="18970"/>
    <cellStyle name="40% - Accent5 15 3 4" xfId="18971"/>
    <cellStyle name="40% - Accent5 15 4" xfId="18972"/>
    <cellStyle name="40% - Accent5 15 4 2" xfId="18973"/>
    <cellStyle name="40% - Accent5 15 5" xfId="18974"/>
    <cellStyle name="40% - Accent5 15 5 2" xfId="18975"/>
    <cellStyle name="40% - Accent5 15 6" xfId="18976"/>
    <cellStyle name="40% - Accent5 150" xfId="18977"/>
    <cellStyle name="40% - Accent5 150 2" xfId="18978"/>
    <cellStyle name="40% - Accent5 150 2 2" xfId="18979"/>
    <cellStyle name="40% - Accent5 150 3" xfId="18980"/>
    <cellStyle name="40% - Accent5 150 3 2" xfId="18981"/>
    <cellStyle name="40% - Accent5 150 4" xfId="18982"/>
    <cellStyle name="40% - Accent5 151" xfId="18983"/>
    <cellStyle name="40% - Accent5 151 2" xfId="18984"/>
    <cellStyle name="40% - Accent5 151 2 2" xfId="18985"/>
    <cellStyle name="40% - Accent5 151 3" xfId="18986"/>
    <cellStyle name="40% - Accent5 151 3 2" xfId="18987"/>
    <cellStyle name="40% - Accent5 151 4" xfId="18988"/>
    <cellStyle name="40% - Accent5 152" xfId="18989"/>
    <cellStyle name="40% - Accent5 152 2" xfId="18990"/>
    <cellStyle name="40% - Accent5 152 2 2" xfId="18991"/>
    <cellStyle name="40% - Accent5 152 3" xfId="18992"/>
    <cellStyle name="40% - Accent5 152 3 2" xfId="18993"/>
    <cellStyle name="40% - Accent5 152 4" xfId="18994"/>
    <cellStyle name="40% - Accent5 153" xfId="18995"/>
    <cellStyle name="40% - Accent5 153 2" xfId="18996"/>
    <cellStyle name="40% - Accent5 153 2 2" xfId="18997"/>
    <cellStyle name="40% - Accent5 153 3" xfId="18998"/>
    <cellStyle name="40% - Accent5 153 3 2" xfId="18999"/>
    <cellStyle name="40% - Accent5 153 4" xfId="19000"/>
    <cellStyle name="40% - Accent5 154" xfId="19001"/>
    <cellStyle name="40% - Accent5 154 2" xfId="19002"/>
    <cellStyle name="40% - Accent5 154 2 2" xfId="19003"/>
    <cellStyle name="40% - Accent5 154 3" xfId="19004"/>
    <cellStyle name="40% - Accent5 154 3 2" xfId="19005"/>
    <cellStyle name="40% - Accent5 154 4" xfId="19006"/>
    <cellStyle name="40% - Accent5 155" xfId="19007"/>
    <cellStyle name="40% - Accent5 155 2" xfId="19008"/>
    <cellStyle name="40% - Accent5 155 2 2" xfId="19009"/>
    <cellStyle name="40% - Accent5 155 3" xfId="19010"/>
    <cellStyle name="40% - Accent5 155 3 2" xfId="19011"/>
    <cellStyle name="40% - Accent5 155 4" xfId="19012"/>
    <cellStyle name="40% - Accent5 156" xfId="19013"/>
    <cellStyle name="40% - Accent5 156 2" xfId="19014"/>
    <cellStyle name="40% - Accent5 156 2 2" xfId="19015"/>
    <cellStyle name="40% - Accent5 156 3" xfId="19016"/>
    <cellStyle name="40% - Accent5 156 3 2" xfId="19017"/>
    <cellStyle name="40% - Accent5 156 4" xfId="19018"/>
    <cellStyle name="40% - Accent5 157" xfId="19019"/>
    <cellStyle name="40% - Accent5 157 2" xfId="19020"/>
    <cellStyle name="40% - Accent5 157 2 2" xfId="19021"/>
    <cellStyle name="40% - Accent5 157 3" xfId="19022"/>
    <cellStyle name="40% - Accent5 157 3 2" xfId="19023"/>
    <cellStyle name="40% - Accent5 157 4" xfId="19024"/>
    <cellStyle name="40% - Accent5 158" xfId="19025"/>
    <cellStyle name="40% - Accent5 158 2" xfId="19026"/>
    <cellStyle name="40% - Accent5 158 2 2" xfId="19027"/>
    <cellStyle name="40% - Accent5 158 3" xfId="19028"/>
    <cellStyle name="40% - Accent5 158 3 2" xfId="19029"/>
    <cellStyle name="40% - Accent5 158 4" xfId="19030"/>
    <cellStyle name="40% - Accent5 159" xfId="19031"/>
    <cellStyle name="40% - Accent5 159 2" xfId="19032"/>
    <cellStyle name="40% - Accent5 159 2 2" xfId="19033"/>
    <cellStyle name="40% - Accent5 159 3" xfId="19034"/>
    <cellStyle name="40% - Accent5 159 3 2" xfId="19035"/>
    <cellStyle name="40% - Accent5 159 4" xfId="19036"/>
    <cellStyle name="40% - Accent5 16" xfId="19037"/>
    <cellStyle name="40% - Accent5 16 2" xfId="19038"/>
    <cellStyle name="40% - Accent5 16 2 2" xfId="19039"/>
    <cellStyle name="40% - Accent5 16 2 2 2" xfId="19040"/>
    <cellStyle name="40% - Accent5 16 2 3" xfId="19041"/>
    <cellStyle name="40% - Accent5 16 2 3 2" xfId="19042"/>
    <cellStyle name="40% - Accent5 16 2 4" xfId="19043"/>
    <cellStyle name="40% - Accent5 16 3" xfId="19044"/>
    <cellStyle name="40% - Accent5 16 3 2" xfId="19045"/>
    <cellStyle name="40% - Accent5 16 3 2 2" xfId="19046"/>
    <cellStyle name="40% - Accent5 16 3 3" xfId="19047"/>
    <cellStyle name="40% - Accent5 16 3 3 2" xfId="19048"/>
    <cellStyle name="40% - Accent5 16 3 4" xfId="19049"/>
    <cellStyle name="40% - Accent5 16 4" xfId="19050"/>
    <cellStyle name="40% - Accent5 16 4 2" xfId="19051"/>
    <cellStyle name="40% - Accent5 16 5" xfId="19052"/>
    <cellStyle name="40% - Accent5 16 5 2" xfId="19053"/>
    <cellStyle name="40% - Accent5 16 6" xfId="19054"/>
    <cellStyle name="40% - Accent5 160" xfId="19055"/>
    <cellStyle name="40% - Accent5 160 2" xfId="19056"/>
    <cellStyle name="40% - Accent5 160 2 2" xfId="19057"/>
    <cellStyle name="40% - Accent5 160 3" xfId="19058"/>
    <cellStyle name="40% - Accent5 160 3 2" xfId="19059"/>
    <cellStyle name="40% - Accent5 160 4" xfId="19060"/>
    <cellStyle name="40% - Accent5 161" xfId="19061"/>
    <cellStyle name="40% - Accent5 161 2" xfId="19062"/>
    <cellStyle name="40% - Accent5 161 2 2" xfId="19063"/>
    <cellStyle name="40% - Accent5 161 3" xfId="19064"/>
    <cellStyle name="40% - Accent5 161 3 2" xfId="19065"/>
    <cellStyle name="40% - Accent5 161 4" xfId="19066"/>
    <cellStyle name="40% - Accent5 162" xfId="19067"/>
    <cellStyle name="40% - Accent5 162 2" xfId="19068"/>
    <cellStyle name="40% - Accent5 162 2 2" xfId="19069"/>
    <cellStyle name="40% - Accent5 162 3" xfId="19070"/>
    <cellStyle name="40% - Accent5 162 3 2" xfId="19071"/>
    <cellStyle name="40% - Accent5 162 4" xfId="19072"/>
    <cellStyle name="40% - Accent5 163" xfId="19073"/>
    <cellStyle name="40% - Accent5 163 2" xfId="19074"/>
    <cellStyle name="40% - Accent5 163 2 2" xfId="19075"/>
    <cellStyle name="40% - Accent5 163 3" xfId="19076"/>
    <cellStyle name="40% - Accent5 163 3 2" xfId="19077"/>
    <cellStyle name="40% - Accent5 163 4" xfId="19078"/>
    <cellStyle name="40% - Accent5 164" xfId="19079"/>
    <cellStyle name="40% - Accent5 164 2" xfId="19080"/>
    <cellStyle name="40% - Accent5 164 2 2" xfId="19081"/>
    <cellStyle name="40% - Accent5 164 3" xfId="19082"/>
    <cellStyle name="40% - Accent5 164 3 2" xfId="19083"/>
    <cellStyle name="40% - Accent5 164 4" xfId="19084"/>
    <cellStyle name="40% - Accent5 165" xfId="19085"/>
    <cellStyle name="40% - Accent5 165 2" xfId="19086"/>
    <cellStyle name="40% - Accent5 165 2 2" xfId="19087"/>
    <cellStyle name="40% - Accent5 165 3" xfId="19088"/>
    <cellStyle name="40% - Accent5 165 3 2" xfId="19089"/>
    <cellStyle name="40% - Accent5 165 4" xfId="19090"/>
    <cellStyle name="40% - Accent5 166" xfId="19091"/>
    <cellStyle name="40% - Accent5 166 2" xfId="19092"/>
    <cellStyle name="40% - Accent5 166 2 2" xfId="19093"/>
    <cellStyle name="40% - Accent5 166 3" xfId="19094"/>
    <cellStyle name="40% - Accent5 166 3 2" xfId="19095"/>
    <cellStyle name="40% - Accent5 166 4" xfId="19096"/>
    <cellStyle name="40% - Accent5 167" xfId="19097"/>
    <cellStyle name="40% - Accent5 167 2" xfId="19098"/>
    <cellStyle name="40% - Accent5 167 2 2" xfId="19099"/>
    <cellStyle name="40% - Accent5 167 3" xfId="19100"/>
    <cellStyle name="40% - Accent5 167 3 2" xfId="19101"/>
    <cellStyle name="40% - Accent5 167 4" xfId="19102"/>
    <cellStyle name="40% - Accent5 168" xfId="19103"/>
    <cellStyle name="40% - Accent5 168 2" xfId="19104"/>
    <cellStyle name="40% - Accent5 168 2 2" xfId="19105"/>
    <cellStyle name="40% - Accent5 168 3" xfId="19106"/>
    <cellStyle name="40% - Accent5 168 3 2" xfId="19107"/>
    <cellStyle name="40% - Accent5 168 4" xfId="19108"/>
    <cellStyle name="40% - Accent5 169" xfId="19109"/>
    <cellStyle name="40% - Accent5 169 2" xfId="19110"/>
    <cellStyle name="40% - Accent5 169 2 2" xfId="19111"/>
    <cellStyle name="40% - Accent5 169 3" xfId="19112"/>
    <cellStyle name="40% - Accent5 169 3 2" xfId="19113"/>
    <cellStyle name="40% - Accent5 169 4" xfId="19114"/>
    <cellStyle name="40% - Accent5 17" xfId="19115"/>
    <cellStyle name="40% - Accent5 17 2" xfId="19116"/>
    <cellStyle name="40% - Accent5 17 2 2" xfId="19117"/>
    <cellStyle name="40% - Accent5 17 2 2 2" xfId="19118"/>
    <cellStyle name="40% - Accent5 17 2 3" xfId="19119"/>
    <cellStyle name="40% - Accent5 17 2 3 2" xfId="19120"/>
    <cellStyle name="40% - Accent5 17 2 4" xfId="19121"/>
    <cellStyle name="40% - Accent5 17 3" xfId="19122"/>
    <cellStyle name="40% - Accent5 17 3 2" xfId="19123"/>
    <cellStyle name="40% - Accent5 17 3 2 2" xfId="19124"/>
    <cellStyle name="40% - Accent5 17 3 3" xfId="19125"/>
    <cellStyle name="40% - Accent5 17 3 3 2" xfId="19126"/>
    <cellStyle name="40% - Accent5 17 3 4" xfId="19127"/>
    <cellStyle name="40% - Accent5 17 4" xfId="19128"/>
    <cellStyle name="40% - Accent5 17 4 2" xfId="19129"/>
    <cellStyle name="40% - Accent5 17 5" xfId="19130"/>
    <cellStyle name="40% - Accent5 17 5 2" xfId="19131"/>
    <cellStyle name="40% - Accent5 17 6" xfId="19132"/>
    <cellStyle name="40% - Accent5 170" xfId="19133"/>
    <cellStyle name="40% - Accent5 170 2" xfId="19134"/>
    <cellStyle name="40% - Accent5 170 2 2" xfId="19135"/>
    <cellStyle name="40% - Accent5 170 3" xfId="19136"/>
    <cellStyle name="40% - Accent5 170 3 2" xfId="19137"/>
    <cellStyle name="40% - Accent5 170 4" xfId="19138"/>
    <cellStyle name="40% - Accent5 171" xfId="19139"/>
    <cellStyle name="40% - Accent5 171 2" xfId="19140"/>
    <cellStyle name="40% - Accent5 171 2 2" xfId="19141"/>
    <cellStyle name="40% - Accent5 171 3" xfId="19142"/>
    <cellStyle name="40% - Accent5 171 3 2" xfId="19143"/>
    <cellStyle name="40% - Accent5 171 4" xfId="19144"/>
    <cellStyle name="40% - Accent5 172" xfId="19145"/>
    <cellStyle name="40% - Accent5 172 2" xfId="19146"/>
    <cellStyle name="40% - Accent5 172 2 2" xfId="19147"/>
    <cellStyle name="40% - Accent5 172 3" xfId="19148"/>
    <cellStyle name="40% - Accent5 172 3 2" xfId="19149"/>
    <cellStyle name="40% - Accent5 172 4" xfId="19150"/>
    <cellStyle name="40% - Accent5 173" xfId="19151"/>
    <cellStyle name="40% - Accent5 173 2" xfId="19152"/>
    <cellStyle name="40% - Accent5 173 2 2" xfId="19153"/>
    <cellStyle name="40% - Accent5 173 3" xfId="19154"/>
    <cellStyle name="40% - Accent5 173 3 2" xfId="19155"/>
    <cellStyle name="40% - Accent5 173 4" xfId="19156"/>
    <cellStyle name="40% - Accent5 174" xfId="19157"/>
    <cellStyle name="40% - Accent5 174 2" xfId="19158"/>
    <cellStyle name="40% - Accent5 174 2 2" xfId="19159"/>
    <cellStyle name="40% - Accent5 174 3" xfId="19160"/>
    <cellStyle name="40% - Accent5 174 3 2" xfId="19161"/>
    <cellStyle name="40% - Accent5 174 4" xfId="19162"/>
    <cellStyle name="40% - Accent5 175" xfId="19163"/>
    <cellStyle name="40% - Accent5 175 2" xfId="19164"/>
    <cellStyle name="40% - Accent5 175 2 2" xfId="19165"/>
    <cellStyle name="40% - Accent5 175 3" xfId="19166"/>
    <cellStyle name="40% - Accent5 175 3 2" xfId="19167"/>
    <cellStyle name="40% - Accent5 175 4" xfId="19168"/>
    <cellStyle name="40% - Accent5 176" xfId="19169"/>
    <cellStyle name="40% - Accent5 176 2" xfId="19170"/>
    <cellStyle name="40% - Accent5 176 2 2" xfId="19171"/>
    <cellStyle name="40% - Accent5 176 3" xfId="19172"/>
    <cellStyle name="40% - Accent5 176 3 2" xfId="19173"/>
    <cellStyle name="40% - Accent5 176 4" xfId="19174"/>
    <cellStyle name="40% - Accent5 177" xfId="19175"/>
    <cellStyle name="40% - Accent5 177 2" xfId="19176"/>
    <cellStyle name="40% - Accent5 177 2 2" xfId="19177"/>
    <cellStyle name="40% - Accent5 177 3" xfId="19178"/>
    <cellStyle name="40% - Accent5 177 3 2" xfId="19179"/>
    <cellStyle name="40% - Accent5 177 4" xfId="19180"/>
    <cellStyle name="40% - Accent5 178" xfId="19181"/>
    <cellStyle name="40% - Accent5 178 2" xfId="19182"/>
    <cellStyle name="40% - Accent5 178 2 2" xfId="19183"/>
    <cellStyle name="40% - Accent5 178 3" xfId="19184"/>
    <cellStyle name="40% - Accent5 178 3 2" xfId="19185"/>
    <cellStyle name="40% - Accent5 178 4" xfId="19186"/>
    <cellStyle name="40% - Accent5 179" xfId="19187"/>
    <cellStyle name="40% - Accent5 179 2" xfId="19188"/>
    <cellStyle name="40% - Accent5 179 2 2" xfId="19189"/>
    <cellStyle name="40% - Accent5 179 3" xfId="19190"/>
    <cellStyle name="40% - Accent5 179 3 2" xfId="19191"/>
    <cellStyle name="40% - Accent5 179 4" xfId="19192"/>
    <cellStyle name="40% - Accent5 18" xfId="19193"/>
    <cellStyle name="40% - Accent5 18 2" xfId="19194"/>
    <cellStyle name="40% - Accent5 18 2 2" xfId="19195"/>
    <cellStyle name="40% - Accent5 18 2 2 2" xfId="19196"/>
    <cellStyle name="40% - Accent5 18 2 3" xfId="19197"/>
    <cellStyle name="40% - Accent5 18 2 3 2" xfId="19198"/>
    <cellStyle name="40% - Accent5 18 2 4" xfId="19199"/>
    <cellStyle name="40% - Accent5 18 3" xfId="19200"/>
    <cellStyle name="40% - Accent5 18 3 2" xfId="19201"/>
    <cellStyle name="40% - Accent5 18 3 2 2" xfId="19202"/>
    <cellStyle name="40% - Accent5 18 3 3" xfId="19203"/>
    <cellStyle name="40% - Accent5 18 3 3 2" xfId="19204"/>
    <cellStyle name="40% - Accent5 18 3 4" xfId="19205"/>
    <cellStyle name="40% - Accent5 18 4" xfId="19206"/>
    <cellStyle name="40% - Accent5 18 4 2" xfId="19207"/>
    <cellStyle name="40% - Accent5 18 5" xfId="19208"/>
    <cellStyle name="40% - Accent5 18 5 2" xfId="19209"/>
    <cellStyle name="40% - Accent5 18 6" xfId="19210"/>
    <cellStyle name="40% - Accent5 180" xfId="19211"/>
    <cellStyle name="40% - Accent5 180 2" xfId="19212"/>
    <cellStyle name="40% - Accent5 180 2 2" xfId="19213"/>
    <cellStyle name="40% - Accent5 180 3" xfId="19214"/>
    <cellStyle name="40% - Accent5 180 3 2" xfId="19215"/>
    <cellStyle name="40% - Accent5 180 4" xfId="19216"/>
    <cellStyle name="40% - Accent5 181" xfId="19217"/>
    <cellStyle name="40% - Accent5 181 2" xfId="19218"/>
    <cellStyle name="40% - Accent5 181 2 2" xfId="19219"/>
    <cellStyle name="40% - Accent5 181 3" xfId="19220"/>
    <cellStyle name="40% - Accent5 181 3 2" xfId="19221"/>
    <cellStyle name="40% - Accent5 181 4" xfId="19222"/>
    <cellStyle name="40% - Accent5 182" xfId="19223"/>
    <cellStyle name="40% - Accent5 182 2" xfId="19224"/>
    <cellStyle name="40% - Accent5 182 2 2" xfId="19225"/>
    <cellStyle name="40% - Accent5 182 3" xfId="19226"/>
    <cellStyle name="40% - Accent5 182 3 2" xfId="19227"/>
    <cellStyle name="40% - Accent5 182 4" xfId="19228"/>
    <cellStyle name="40% - Accent5 183" xfId="19229"/>
    <cellStyle name="40% - Accent5 183 2" xfId="19230"/>
    <cellStyle name="40% - Accent5 183 2 2" xfId="19231"/>
    <cellStyle name="40% - Accent5 183 3" xfId="19232"/>
    <cellStyle name="40% - Accent5 183 3 2" xfId="19233"/>
    <cellStyle name="40% - Accent5 183 4" xfId="19234"/>
    <cellStyle name="40% - Accent5 184" xfId="19235"/>
    <cellStyle name="40% - Accent5 184 2" xfId="19236"/>
    <cellStyle name="40% - Accent5 184 2 2" xfId="19237"/>
    <cellStyle name="40% - Accent5 184 3" xfId="19238"/>
    <cellStyle name="40% - Accent5 184 3 2" xfId="19239"/>
    <cellStyle name="40% - Accent5 184 4" xfId="19240"/>
    <cellStyle name="40% - Accent5 185" xfId="19241"/>
    <cellStyle name="40% - Accent5 185 2" xfId="19242"/>
    <cellStyle name="40% - Accent5 185 2 2" xfId="19243"/>
    <cellStyle name="40% - Accent5 185 3" xfId="19244"/>
    <cellStyle name="40% - Accent5 185 3 2" xfId="19245"/>
    <cellStyle name="40% - Accent5 185 4" xfId="19246"/>
    <cellStyle name="40% - Accent5 186" xfId="19247"/>
    <cellStyle name="40% - Accent5 186 2" xfId="19248"/>
    <cellStyle name="40% - Accent5 186 2 2" xfId="19249"/>
    <cellStyle name="40% - Accent5 186 3" xfId="19250"/>
    <cellStyle name="40% - Accent5 186 3 2" xfId="19251"/>
    <cellStyle name="40% - Accent5 186 4" xfId="19252"/>
    <cellStyle name="40% - Accent5 187" xfId="19253"/>
    <cellStyle name="40% - Accent5 187 2" xfId="19254"/>
    <cellStyle name="40% - Accent5 187 2 2" xfId="19255"/>
    <cellStyle name="40% - Accent5 187 3" xfId="19256"/>
    <cellStyle name="40% - Accent5 187 3 2" xfId="19257"/>
    <cellStyle name="40% - Accent5 187 4" xfId="19258"/>
    <cellStyle name="40% - Accent5 188" xfId="19259"/>
    <cellStyle name="40% - Accent5 188 2" xfId="19260"/>
    <cellStyle name="40% - Accent5 188 2 2" xfId="19261"/>
    <cellStyle name="40% - Accent5 188 3" xfId="19262"/>
    <cellStyle name="40% - Accent5 188 3 2" xfId="19263"/>
    <cellStyle name="40% - Accent5 188 4" xfId="19264"/>
    <cellStyle name="40% - Accent5 189" xfId="19265"/>
    <cellStyle name="40% - Accent5 189 2" xfId="19266"/>
    <cellStyle name="40% - Accent5 189 2 2" xfId="19267"/>
    <cellStyle name="40% - Accent5 189 3" xfId="19268"/>
    <cellStyle name="40% - Accent5 189 3 2" xfId="19269"/>
    <cellStyle name="40% - Accent5 189 4" xfId="19270"/>
    <cellStyle name="40% - Accent5 19" xfId="19271"/>
    <cellStyle name="40% - Accent5 19 2" xfId="19272"/>
    <cellStyle name="40% - Accent5 19 2 2" xfId="19273"/>
    <cellStyle name="40% - Accent5 19 2 2 2" xfId="19274"/>
    <cellStyle name="40% - Accent5 19 2 3" xfId="19275"/>
    <cellStyle name="40% - Accent5 19 2 3 2" xfId="19276"/>
    <cellStyle name="40% - Accent5 19 2 4" xfId="19277"/>
    <cellStyle name="40% - Accent5 19 3" xfId="19278"/>
    <cellStyle name="40% - Accent5 19 3 2" xfId="19279"/>
    <cellStyle name="40% - Accent5 19 3 2 2" xfId="19280"/>
    <cellStyle name="40% - Accent5 19 3 3" xfId="19281"/>
    <cellStyle name="40% - Accent5 19 3 3 2" xfId="19282"/>
    <cellStyle name="40% - Accent5 19 3 4" xfId="19283"/>
    <cellStyle name="40% - Accent5 19 4" xfId="19284"/>
    <cellStyle name="40% - Accent5 19 4 2" xfId="19285"/>
    <cellStyle name="40% - Accent5 19 5" xfId="19286"/>
    <cellStyle name="40% - Accent5 19 5 2" xfId="19287"/>
    <cellStyle name="40% - Accent5 19 6" xfId="19288"/>
    <cellStyle name="40% - Accent5 190" xfId="19289"/>
    <cellStyle name="40% - Accent5 190 2" xfId="19290"/>
    <cellStyle name="40% - Accent5 190 2 2" xfId="19291"/>
    <cellStyle name="40% - Accent5 190 3" xfId="19292"/>
    <cellStyle name="40% - Accent5 190 3 2" xfId="19293"/>
    <cellStyle name="40% - Accent5 190 4" xfId="19294"/>
    <cellStyle name="40% - Accent5 191" xfId="19295"/>
    <cellStyle name="40% - Accent5 191 2" xfId="19296"/>
    <cellStyle name="40% - Accent5 191 2 2" xfId="19297"/>
    <cellStyle name="40% - Accent5 191 3" xfId="19298"/>
    <cellStyle name="40% - Accent5 191 3 2" xfId="19299"/>
    <cellStyle name="40% - Accent5 191 4" xfId="19300"/>
    <cellStyle name="40% - Accent5 192" xfId="19301"/>
    <cellStyle name="40% - Accent5 192 2" xfId="19302"/>
    <cellStyle name="40% - Accent5 192 2 2" xfId="19303"/>
    <cellStyle name="40% - Accent5 192 3" xfId="19304"/>
    <cellStyle name="40% - Accent5 192 3 2" xfId="19305"/>
    <cellStyle name="40% - Accent5 192 4" xfId="19306"/>
    <cellStyle name="40% - Accent5 193" xfId="19307"/>
    <cellStyle name="40% - Accent5 193 2" xfId="19308"/>
    <cellStyle name="40% - Accent5 193 2 2" xfId="19309"/>
    <cellStyle name="40% - Accent5 193 3" xfId="19310"/>
    <cellStyle name="40% - Accent5 193 3 2" xfId="19311"/>
    <cellStyle name="40% - Accent5 193 4" xfId="19312"/>
    <cellStyle name="40% - Accent5 194" xfId="19313"/>
    <cellStyle name="40% - Accent5 194 2" xfId="19314"/>
    <cellStyle name="40% - Accent5 194 2 2" xfId="19315"/>
    <cellStyle name="40% - Accent5 194 3" xfId="19316"/>
    <cellStyle name="40% - Accent5 194 3 2" xfId="19317"/>
    <cellStyle name="40% - Accent5 194 4" xfId="19318"/>
    <cellStyle name="40% - Accent5 195" xfId="19319"/>
    <cellStyle name="40% - Accent5 195 2" xfId="19320"/>
    <cellStyle name="40% - Accent5 195 2 2" xfId="19321"/>
    <cellStyle name="40% - Accent5 195 3" xfId="19322"/>
    <cellStyle name="40% - Accent5 195 3 2" xfId="19323"/>
    <cellStyle name="40% - Accent5 195 4" xfId="19324"/>
    <cellStyle name="40% - Accent5 196" xfId="19325"/>
    <cellStyle name="40% - Accent5 196 2" xfId="19326"/>
    <cellStyle name="40% - Accent5 196 2 2" xfId="19327"/>
    <cellStyle name="40% - Accent5 196 3" xfId="19328"/>
    <cellStyle name="40% - Accent5 196 3 2" xfId="19329"/>
    <cellStyle name="40% - Accent5 196 4" xfId="19330"/>
    <cellStyle name="40% - Accent5 197" xfId="19331"/>
    <cellStyle name="40% - Accent5 197 2" xfId="19332"/>
    <cellStyle name="40% - Accent5 197 2 2" xfId="19333"/>
    <cellStyle name="40% - Accent5 197 3" xfId="19334"/>
    <cellStyle name="40% - Accent5 197 3 2" xfId="19335"/>
    <cellStyle name="40% - Accent5 197 4" xfId="19336"/>
    <cellStyle name="40% - Accent5 198" xfId="19337"/>
    <cellStyle name="40% - Accent5 198 2" xfId="19338"/>
    <cellStyle name="40% - Accent5 198 2 2" xfId="19339"/>
    <cellStyle name="40% - Accent5 198 3" xfId="19340"/>
    <cellStyle name="40% - Accent5 198 3 2" xfId="19341"/>
    <cellStyle name="40% - Accent5 198 4" xfId="19342"/>
    <cellStyle name="40% - Accent5 199" xfId="19343"/>
    <cellStyle name="40% - Accent5 199 2" xfId="19344"/>
    <cellStyle name="40% - Accent5 199 2 2" xfId="19345"/>
    <cellStyle name="40% - Accent5 199 3" xfId="19346"/>
    <cellStyle name="40% - Accent5 199 3 2" xfId="19347"/>
    <cellStyle name="40% - Accent5 199 4" xfId="19348"/>
    <cellStyle name="40% - Accent5 2" xfId="19349"/>
    <cellStyle name="40% - Accent5 2 2" xfId="19350"/>
    <cellStyle name="40% - Accent5 2 2 2" xfId="19351"/>
    <cellStyle name="40% - Accent5 2 2 2 2" xfId="19352"/>
    <cellStyle name="40% - Accent5 2 2 3" xfId="19353"/>
    <cellStyle name="40% - Accent5 2 2 3 2" xfId="19354"/>
    <cellStyle name="40% - Accent5 2 2 4" xfId="19355"/>
    <cellStyle name="40% - Accent5 2 3" xfId="19356"/>
    <cellStyle name="40% - Accent5 2 3 2" xfId="19357"/>
    <cellStyle name="40% - Accent5 2 3 2 2" xfId="19358"/>
    <cellStyle name="40% - Accent5 2 3 3" xfId="19359"/>
    <cellStyle name="40% - Accent5 2 3 3 2" xfId="19360"/>
    <cellStyle name="40% - Accent5 2 3 4" xfId="19361"/>
    <cellStyle name="40% - Accent5 2 4" xfId="19362"/>
    <cellStyle name="40% - Accent5 2 4 2" xfId="19363"/>
    <cellStyle name="40% - Accent5 2 5" xfId="19364"/>
    <cellStyle name="40% - Accent5 2 5 2" xfId="19365"/>
    <cellStyle name="40% - Accent5 2 6" xfId="19366"/>
    <cellStyle name="40% - Accent5 20" xfId="19367"/>
    <cellStyle name="40% - Accent5 20 2" xfId="19368"/>
    <cellStyle name="40% - Accent5 20 2 2" xfId="19369"/>
    <cellStyle name="40% - Accent5 20 2 2 2" xfId="19370"/>
    <cellStyle name="40% - Accent5 20 2 3" xfId="19371"/>
    <cellStyle name="40% - Accent5 20 2 3 2" xfId="19372"/>
    <cellStyle name="40% - Accent5 20 2 4" xfId="19373"/>
    <cellStyle name="40% - Accent5 20 3" xfId="19374"/>
    <cellStyle name="40% - Accent5 20 3 2" xfId="19375"/>
    <cellStyle name="40% - Accent5 20 3 2 2" xfId="19376"/>
    <cellStyle name="40% - Accent5 20 3 3" xfId="19377"/>
    <cellStyle name="40% - Accent5 20 3 3 2" xfId="19378"/>
    <cellStyle name="40% - Accent5 20 3 4" xfId="19379"/>
    <cellStyle name="40% - Accent5 20 4" xfId="19380"/>
    <cellStyle name="40% - Accent5 20 4 2" xfId="19381"/>
    <cellStyle name="40% - Accent5 20 5" xfId="19382"/>
    <cellStyle name="40% - Accent5 20 5 2" xfId="19383"/>
    <cellStyle name="40% - Accent5 20 6" xfId="19384"/>
    <cellStyle name="40% - Accent5 200" xfId="19385"/>
    <cellStyle name="40% - Accent5 200 2" xfId="19386"/>
    <cellStyle name="40% - Accent5 200 2 2" xfId="19387"/>
    <cellStyle name="40% - Accent5 200 3" xfId="19388"/>
    <cellStyle name="40% - Accent5 200 3 2" xfId="19389"/>
    <cellStyle name="40% - Accent5 200 4" xfId="19390"/>
    <cellStyle name="40% - Accent5 201" xfId="19391"/>
    <cellStyle name="40% - Accent5 201 2" xfId="19392"/>
    <cellStyle name="40% - Accent5 201 2 2" xfId="19393"/>
    <cellStyle name="40% - Accent5 201 3" xfId="19394"/>
    <cellStyle name="40% - Accent5 201 3 2" xfId="19395"/>
    <cellStyle name="40% - Accent5 201 4" xfId="19396"/>
    <cellStyle name="40% - Accent5 202" xfId="19397"/>
    <cellStyle name="40% - Accent5 202 2" xfId="19398"/>
    <cellStyle name="40% - Accent5 202 2 2" xfId="19399"/>
    <cellStyle name="40% - Accent5 202 3" xfId="19400"/>
    <cellStyle name="40% - Accent5 202 3 2" xfId="19401"/>
    <cellStyle name="40% - Accent5 202 4" xfId="19402"/>
    <cellStyle name="40% - Accent5 203" xfId="19403"/>
    <cellStyle name="40% - Accent5 203 2" xfId="19404"/>
    <cellStyle name="40% - Accent5 203 2 2" xfId="19405"/>
    <cellStyle name="40% - Accent5 203 3" xfId="19406"/>
    <cellStyle name="40% - Accent5 203 3 2" xfId="19407"/>
    <cellStyle name="40% - Accent5 203 4" xfId="19408"/>
    <cellStyle name="40% - Accent5 204" xfId="19409"/>
    <cellStyle name="40% - Accent5 204 2" xfId="19410"/>
    <cellStyle name="40% - Accent5 204 2 2" xfId="19411"/>
    <cellStyle name="40% - Accent5 204 3" xfId="19412"/>
    <cellStyle name="40% - Accent5 204 3 2" xfId="19413"/>
    <cellStyle name="40% - Accent5 204 4" xfId="19414"/>
    <cellStyle name="40% - Accent5 205" xfId="19415"/>
    <cellStyle name="40% - Accent5 205 2" xfId="19416"/>
    <cellStyle name="40% - Accent5 205 2 2" xfId="19417"/>
    <cellStyle name="40% - Accent5 205 3" xfId="19418"/>
    <cellStyle name="40% - Accent5 205 3 2" xfId="19419"/>
    <cellStyle name="40% - Accent5 205 4" xfId="19420"/>
    <cellStyle name="40% - Accent5 206" xfId="19421"/>
    <cellStyle name="40% - Accent5 206 2" xfId="19422"/>
    <cellStyle name="40% - Accent5 206 2 2" xfId="19423"/>
    <cellStyle name="40% - Accent5 206 3" xfId="19424"/>
    <cellStyle name="40% - Accent5 206 3 2" xfId="19425"/>
    <cellStyle name="40% - Accent5 206 4" xfId="19426"/>
    <cellStyle name="40% - Accent5 207" xfId="19427"/>
    <cellStyle name="40% - Accent5 207 2" xfId="19428"/>
    <cellStyle name="40% - Accent5 207 2 2" xfId="19429"/>
    <cellStyle name="40% - Accent5 207 3" xfId="19430"/>
    <cellStyle name="40% - Accent5 207 3 2" xfId="19431"/>
    <cellStyle name="40% - Accent5 207 4" xfId="19432"/>
    <cellStyle name="40% - Accent5 208" xfId="19433"/>
    <cellStyle name="40% - Accent5 208 2" xfId="19434"/>
    <cellStyle name="40% - Accent5 208 2 2" xfId="19435"/>
    <cellStyle name="40% - Accent5 208 3" xfId="19436"/>
    <cellStyle name="40% - Accent5 208 3 2" xfId="19437"/>
    <cellStyle name="40% - Accent5 208 4" xfId="19438"/>
    <cellStyle name="40% - Accent5 209" xfId="19439"/>
    <cellStyle name="40% - Accent5 209 2" xfId="19440"/>
    <cellStyle name="40% - Accent5 209 2 2" xfId="19441"/>
    <cellStyle name="40% - Accent5 209 3" xfId="19442"/>
    <cellStyle name="40% - Accent5 209 3 2" xfId="19443"/>
    <cellStyle name="40% - Accent5 209 4" xfId="19444"/>
    <cellStyle name="40% - Accent5 21" xfId="19445"/>
    <cellStyle name="40% - Accent5 21 2" xfId="19446"/>
    <cellStyle name="40% - Accent5 21 2 2" xfId="19447"/>
    <cellStyle name="40% - Accent5 21 2 2 2" xfId="19448"/>
    <cellStyle name="40% - Accent5 21 2 3" xfId="19449"/>
    <cellStyle name="40% - Accent5 21 2 3 2" xfId="19450"/>
    <cellStyle name="40% - Accent5 21 2 4" xfId="19451"/>
    <cellStyle name="40% - Accent5 21 3" xfId="19452"/>
    <cellStyle name="40% - Accent5 21 3 2" xfId="19453"/>
    <cellStyle name="40% - Accent5 21 3 2 2" xfId="19454"/>
    <cellStyle name="40% - Accent5 21 3 3" xfId="19455"/>
    <cellStyle name="40% - Accent5 21 3 3 2" xfId="19456"/>
    <cellStyle name="40% - Accent5 21 3 4" xfId="19457"/>
    <cellStyle name="40% - Accent5 21 4" xfId="19458"/>
    <cellStyle name="40% - Accent5 21 4 2" xfId="19459"/>
    <cellStyle name="40% - Accent5 21 5" xfId="19460"/>
    <cellStyle name="40% - Accent5 21 5 2" xfId="19461"/>
    <cellStyle name="40% - Accent5 21 6" xfId="19462"/>
    <cellStyle name="40% - Accent5 210" xfId="19463"/>
    <cellStyle name="40% - Accent5 210 2" xfId="19464"/>
    <cellStyle name="40% - Accent5 210 2 2" xfId="19465"/>
    <cellStyle name="40% - Accent5 210 3" xfId="19466"/>
    <cellStyle name="40% - Accent5 210 3 2" xfId="19467"/>
    <cellStyle name="40% - Accent5 210 4" xfId="19468"/>
    <cellStyle name="40% - Accent5 211" xfId="19469"/>
    <cellStyle name="40% - Accent5 211 2" xfId="19470"/>
    <cellStyle name="40% - Accent5 211 2 2" xfId="19471"/>
    <cellStyle name="40% - Accent5 211 3" xfId="19472"/>
    <cellStyle name="40% - Accent5 211 3 2" xfId="19473"/>
    <cellStyle name="40% - Accent5 211 4" xfId="19474"/>
    <cellStyle name="40% - Accent5 212" xfId="19475"/>
    <cellStyle name="40% - Accent5 212 2" xfId="19476"/>
    <cellStyle name="40% - Accent5 212 2 2" xfId="19477"/>
    <cellStyle name="40% - Accent5 212 3" xfId="19478"/>
    <cellStyle name="40% - Accent5 212 3 2" xfId="19479"/>
    <cellStyle name="40% - Accent5 212 4" xfId="19480"/>
    <cellStyle name="40% - Accent5 213" xfId="19481"/>
    <cellStyle name="40% - Accent5 213 2" xfId="19482"/>
    <cellStyle name="40% - Accent5 213 2 2" xfId="19483"/>
    <cellStyle name="40% - Accent5 213 3" xfId="19484"/>
    <cellStyle name="40% - Accent5 213 3 2" xfId="19485"/>
    <cellStyle name="40% - Accent5 213 4" xfId="19486"/>
    <cellStyle name="40% - Accent5 214" xfId="19487"/>
    <cellStyle name="40% - Accent5 214 2" xfId="19488"/>
    <cellStyle name="40% - Accent5 214 2 2" xfId="19489"/>
    <cellStyle name="40% - Accent5 214 3" xfId="19490"/>
    <cellStyle name="40% - Accent5 214 3 2" xfId="19491"/>
    <cellStyle name="40% - Accent5 214 4" xfId="19492"/>
    <cellStyle name="40% - Accent5 215" xfId="19493"/>
    <cellStyle name="40% - Accent5 215 2" xfId="19494"/>
    <cellStyle name="40% - Accent5 215 2 2" xfId="19495"/>
    <cellStyle name="40% - Accent5 215 3" xfId="19496"/>
    <cellStyle name="40% - Accent5 215 3 2" xfId="19497"/>
    <cellStyle name="40% - Accent5 215 4" xfId="19498"/>
    <cellStyle name="40% - Accent5 216" xfId="19499"/>
    <cellStyle name="40% - Accent5 216 2" xfId="19500"/>
    <cellStyle name="40% - Accent5 216 2 2" xfId="19501"/>
    <cellStyle name="40% - Accent5 216 3" xfId="19502"/>
    <cellStyle name="40% - Accent5 216 3 2" xfId="19503"/>
    <cellStyle name="40% - Accent5 216 4" xfId="19504"/>
    <cellStyle name="40% - Accent5 217" xfId="19505"/>
    <cellStyle name="40% - Accent5 217 2" xfId="19506"/>
    <cellStyle name="40% - Accent5 217 2 2" xfId="19507"/>
    <cellStyle name="40% - Accent5 217 3" xfId="19508"/>
    <cellStyle name="40% - Accent5 217 3 2" xfId="19509"/>
    <cellStyle name="40% - Accent5 217 4" xfId="19510"/>
    <cellStyle name="40% - Accent5 218" xfId="19511"/>
    <cellStyle name="40% - Accent5 218 2" xfId="19512"/>
    <cellStyle name="40% - Accent5 218 2 2" xfId="19513"/>
    <cellStyle name="40% - Accent5 218 3" xfId="19514"/>
    <cellStyle name="40% - Accent5 218 3 2" xfId="19515"/>
    <cellStyle name="40% - Accent5 218 4" xfId="19516"/>
    <cellStyle name="40% - Accent5 219" xfId="19517"/>
    <cellStyle name="40% - Accent5 219 2" xfId="19518"/>
    <cellStyle name="40% - Accent5 219 2 2" xfId="19519"/>
    <cellStyle name="40% - Accent5 219 3" xfId="19520"/>
    <cellStyle name="40% - Accent5 219 3 2" xfId="19521"/>
    <cellStyle name="40% - Accent5 219 4" xfId="19522"/>
    <cellStyle name="40% - Accent5 22" xfId="19523"/>
    <cellStyle name="40% - Accent5 22 2" xfId="19524"/>
    <cellStyle name="40% - Accent5 22 2 2" xfId="19525"/>
    <cellStyle name="40% - Accent5 22 2 2 2" xfId="19526"/>
    <cellStyle name="40% - Accent5 22 2 3" xfId="19527"/>
    <cellStyle name="40% - Accent5 22 2 3 2" xfId="19528"/>
    <cellStyle name="40% - Accent5 22 2 4" xfId="19529"/>
    <cellStyle name="40% - Accent5 22 3" xfId="19530"/>
    <cellStyle name="40% - Accent5 22 3 2" xfId="19531"/>
    <cellStyle name="40% - Accent5 22 3 2 2" xfId="19532"/>
    <cellStyle name="40% - Accent5 22 3 3" xfId="19533"/>
    <cellStyle name="40% - Accent5 22 3 3 2" xfId="19534"/>
    <cellStyle name="40% - Accent5 22 3 4" xfId="19535"/>
    <cellStyle name="40% - Accent5 22 4" xfId="19536"/>
    <cellStyle name="40% - Accent5 22 4 2" xfId="19537"/>
    <cellStyle name="40% - Accent5 22 5" xfId="19538"/>
    <cellStyle name="40% - Accent5 22 5 2" xfId="19539"/>
    <cellStyle name="40% - Accent5 22 6" xfId="19540"/>
    <cellStyle name="40% - Accent5 220" xfId="19541"/>
    <cellStyle name="40% - Accent5 220 2" xfId="19542"/>
    <cellStyle name="40% - Accent5 220 2 2" xfId="19543"/>
    <cellStyle name="40% - Accent5 220 3" xfId="19544"/>
    <cellStyle name="40% - Accent5 220 3 2" xfId="19545"/>
    <cellStyle name="40% - Accent5 220 4" xfId="19546"/>
    <cellStyle name="40% - Accent5 221" xfId="19547"/>
    <cellStyle name="40% - Accent5 221 2" xfId="19548"/>
    <cellStyle name="40% - Accent5 221 2 2" xfId="19549"/>
    <cellStyle name="40% - Accent5 221 3" xfId="19550"/>
    <cellStyle name="40% - Accent5 221 3 2" xfId="19551"/>
    <cellStyle name="40% - Accent5 221 4" xfId="19552"/>
    <cellStyle name="40% - Accent5 222" xfId="19553"/>
    <cellStyle name="40% - Accent5 222 2" xfId="19554"/>
    <cellStyle name="40% - Accent5 223" xfId="19555"/>
    <cellStyle name="40% - Accent5 223 2" xfId="19556"/>
    <cellStyle name="40% - Accent5 224" xfId="19557"/>
    <cellStyle name="40% - Accent5 23" xfId="19558"/>
    <cellStyle name="40% - Accent5 23 2" xfId="19559"/>
    <cellStyle name="40% - Accent5 23 2 2" xfId="19560"/>
    <cellStyle name="40% - Accent5 23 2 2 2" xfId="19561"/>
    <cellStyle name="40% - Accent5 23 2 3" xfId="19562"/>
    <cellStyle name="40% - Accent5 23 2 3 2" xfId="19563"/>
    <cellStyle name="40% - Accent5 23 2 4" xfId="19564"/>
    <cellStyle name="40% - Accent5 23 3" xfId="19565"/>
    <cellStyle name="40% - Accent5 23 3 2" xfId="19566"/>
    <cellStyle name="40% - Accent5 23 3 2 2" xfId="19567"/>
    <cellStyle name="40% - Accent5 23 3 3" xfId="19568"/>
    <cellStyle name="40% - Accent5 23 3 3 2" xfId="19569"/>
    <cellStyle name="40% - Accent5 23 3 4" xfId="19570"/>
    <cellStyle name="40% - Accent5 23 4" xfId="19571"/>
    <cellStyle name="40% - Accent5 23 4 2" xfId="19572"/>
    <cellStyle name="40% - Accent5 23 5" xfId="19573"/>
    <cellStyle name="40% - Accent5 23 5 2" xfId="19574"/>
    <cellStyle name="40% - Accent5 23 6" xfId="19575"/>
    <cellStyle name="40% - Accent5 24" xfId="19576"/>
    <cellStyle name="40% - Accent5 24 2" xfId="19577"/>
    <cellStyle name="40% - Accent5 24 2 2" xfId="19578"/>
    <cellStyle name="40% - Accent5 24 2 2 2" xfId="19579"/>
    <cellStyle name="40% - Accent5 24 2 3" xfId="19580"/>
    <cellStyle name="40% - Accent5 24 2 3 2" xfId="19581"/>
    <cellStyle name="40% - Accent5 24 2 4" xfId="19582"/>
    <cellStyle name="40% - Accent5 24 3" xfId="19583"/>
    <cellStyle name="40% - Accent5 24 3 2" xfId="19584"/>
    <cellStyle name="40% - Accent5 24 3 2 2" xfId="19585"/>
    <cellStyle name="40% - Accent5 24 3 3" xfId="19586"/>
    <cellStyle name="40% - Accent5 24 3 3 2" xfId="19587"/>
    <cellStyle name="40% - Accent5 24 3 4" xfId="19588"/>
    <cellStyle name="40% - Accent5 24 4" xfId="19589"/>
    <cellStyle name="40% - Accent5 24 4 2" xfId="19590"/>
    <cellStyle name="40% - Accent5 24 5" xfId="19591"/>
    <cellStyle name="40% - Accent5 24 5 2" xfId="19592"/>
    <cellStyle name="40% - Accent5 24 6" xfId="19593"/>
    <cellStyle name="40% - Accent5 24 7" xfId="19594"/>
    <cellStyle name="40% - Accent5 25" xfId="19595"/>
    <cellStyle name="40% - Accent5 25 2" xfId="19596"/>
    <cellStyle name="40% - Accent5 25 2 2" xfId="19597"/>
    <cellStyle name="40% - Accent5 25 2 2 2" xfId="19598"/>
    <cellStyle name="40% - Accent5 25 2 3" xfId="19599"/>
    <cellStyle name="40% - Accent5 25 2 3 2" xfId="19600"/>
    <cellStyle name="40% - Accent5 25 2 4" xfId="19601"/>
    <cellStyle name="40% - Accent5 25 3" xfId="19602"/>
    <cellStyle name="40% - Accent5 25 3 2" xfId="19603"/>
    <cellStyle name="40% - Accent5 25 3 2 2" xfId="19604"/>
    <cellStyle name="40% - Accent5 25 3 3" xfId="19605"/>
    <cellStyle name="40% - Accent5 25 3 3 2" xfId="19606"/>
    <cellStyle name="40% - Accent5 25 3 4" xfId="19607"/>
    <cellStyle name="40% - Accent5 25 4" xfId="19608"/>
    <cellStyle name="40% - Accent5 25 4 2" xfId="19609"/>
    <cellStyle name="40% - Accent5 25 5" xfId="19610"/>
    <cellStyle name="40% - Accent5 25 5 2" xfId="19611"/>
    <cellStyle name="40% - Accent5 25 6" xfId="19612"/>
    <cellStyle name="40% - Accent5 25 7" xfId="19613"/>
    <cellStyle name="40% - Accent5 26" xfId="19614"/>
    <cellStyle name="40% - Accent5 26 2" xfId="19615"/>
    <cellStyle name="40% - Accent5 26 2 2" xfId="19616"/>
    <cellStyle name="40% - Accent5 26 2 2 2" xfId="19617"/>
    <cellStyle name="40% - Accent5 26 2 3" xfId="19618"/>
    <cellStyle name="40% - Accent5 26 2 3 2" xfId="19619"/>
    <cellStyle name="40% - Accent5 26 2 4" xfId="19620"/>
    <cellStyle name="40% - Accent5 26 3" xfId="19621"/>
    <cellStyle name="40% - Accent5 26 3 2" xfId="19622"/>
    <cellStyle name="40% - Accent5 26 3 2 2" xfId="19623"/>
    <cellStyle name="40% - Accent5 26 3 3" xfId="19624"/>
    <cellStyle name="40% - Accent5 26 3 3 2" xfId="19625"/>
    <cellStyle name="40% - Accent5 26 3 4" xfId="19626"/>
    <cellStyle name="40% - Accent5 26 4" xfId="19627"/>
    <cellStyle name="40% - Accent5 26 4 2" xfId="19628"/>
    <cellStyle name="40% - Accent5 26 5" xfId="19629"/>
    <cellStyle name="40% - Accent5 26 5 2" xfId="19630"/>
    <cellStyle name="40% - Accent5 26 6" xfId="19631"/>
    <cellStyle name="40% - Accent5 26 7" xfId="19632"/>
    <cellStyle name="40% - Accent5 27" xfId="19633"/>
    <cellStyle name="40% - Accent5 27 2" xfId="19634"/>
    <cellStyle name="40% - Accent5 27 2 2" xfId="19635"/>
    <cellStyle name="40% - Accent5 27 2 2 2" xfId="19636"/>
    <cellStyle name="40% - Accent5 27 2 3" xfId="19637"/>
    <cellStyle name="40% - Accent5 27 2 3 2" xfId="19638"/>
    <cellStyle name="40% - Accent5 27 2 4" xfId="19639"/>
    <cellStyle name="40% - Accent5 27 3" xfId="19640"/>
    <cellStyle name="40% - Accent5 27 3 2" xfId="19641"/>
    <cellStyle name="40% - Accent5 27 3 2 2" xfId="19642"/>
    <cellStyle name="40% - Accent5 27 3 3" xfId="19643"/>
    <cellStyle name="40% - Accent5 27 3 3 2" xfId="19644"/>
    <cellStyle name="40% - Accent5 27 3 4" xfId="19645"/>
    <cellStyle name="40% - Accent5 27 4" xfId="19646"/>
    <cellStyle name="40% - Accent5 27 4 2" xfId="19647"/>
    <cellStyle name="40% - Accent5 27 5" xfId="19648"/>
    <cellStyle name="40% - Accent5 27 5 2" xfId="19649"/>
    <cellStyle name="40% - Accent5 27 6" xfId="19650"/>
    <cellStyle name="40% - Accent5 27 7" xfId="19651"/>
    <cellStyle name="40% - Accent5 28" xfId="19652"/>
    <cellStyle name="40% - Accent5 28 2" xfId="19653"/>
    <cellStyle name="40% - Accent5 28 2 2" xfId="19654"/>
    <cellStyle name="40% - Accent5 28 2 2 2" xfId="19655"/>
    <cellStyle name="40% - Accent5 28 2 3" xfId="19656"/>
    <cellStyle name="40% - Accent5 28 2 3 2" xfId="19657"/>
    <cellStyle name="40% - Accent5 28 2 4" xfId="19658"/>
    <cellStyle name="40% - Accent5 28 3" xfId="19659"/>
    <cellStyle name="40% - Accent5 28 3 2" xfId="19660"/>
    <cellStyle name="40% - Accent5 28 3 2 2" xfId="19661"/>
    <cellStyle name="40% - Accent5 28 3 3" xfId="19662"/>
    <cellStyle name="40% - Accent5 28 3 3 2" xfId="19663"/>
    <cellStyle name="40% - Accent5 28 3 4" xfId="19664"/>
    <cellStyle name="40% - Accent5 28 4" xfId="19665"/>
    <cellStyle name="40% - Accent5 28 4 2" xfId="19666"/>
    <cellStyle name="40% - Accent5 28 5" xfId="19667"/>
    <cellStyle name="40% - Accent5 28 5 2" xfId="19668"/>
    <cellStyle name="40% - Accent5 28 6" xfId="19669"/>
    <cellStyle name="40% - Accent5 28 7" xfId="19670"/>
    <cellStyle name="40% - Accent5 29" xfId="19671"/>
    <cellStyle name="40% - Accent5 29 2" xfId="19672"/>
    <cellStyle name="40% - Accent5 29 2 2" xfId="19673"/>
    <cellStyle name="40% - Accent5 29 2 2 2" xfId="19674"/>
    <cellStyle name="40% - Accent5 29 2 3" xfId="19675"/>
    <cellStyle name="40% - Accent5 29 2 3 2" xfId="19676"/>
    <cellStyle name="40% - Accent5 29 2 4" xfId="19677"/>
    <cellStyle name="40% - Accent5 29 3" xfId="19678"/>
    <cellStyle name="40% - Accent5 29 3 2" xfId="19679"/>
    <cellStyle name="40% - Accent5 29 3 2 2" xfId="19680"/>
    <cellStyle name="40% - Accent5 29 3 3" xfId="19681"/>
    <cellStyle name="40% - Accent5 29 3 3 2" xfId="19682"/>
    <cellStyle name="40% - Accent5 29 3 4" xfId="19683"/>
    <cellStyle name="40% - Accent5 29 4" xfId="19684"/>
    <cellStyle name="40% - Accent5 29 4 2" xfId="19685"/>
    <cellStyle name="40% - Accent5 29 5" xfId="19686"/>
    <cellStyle name="40% - Accent5 29 5 2" xfId="19687"/>
    <cellStyle name="40% - Accent5 29 6" xfId="19688"/>
    <cellStyle name="40% - Accent5 29 7" xfId="19689"/>
    <cellStyle name="40% - Accent5 3" xfId="19690"/>
    <cellStyle name="40% - Accent5 3 2" xfId="19691"/>
    <cellStyle name="40% - Accent5 3 2 2" xfId="19692"/>
    <cellStyle name="40% - Accent5 3 2 2 2" xfId="19693"/>
    <cellStyle name="40% - Accent5 3 2 3" xfId="19694"/>
    <cellStyle name="40% - Accent5 3 2 3 2" xfId="19695"/>
    <cellStyle name="40% - Accent5 3 2 4" xfId="19696"/>
    <cellStyle name="40% - Accent5 3 3" xfId="19697"/>
    <cellStyle name="40% - Accent5 3 3 2" xfId="19698"/>
    <cellStyle name="40% - Accent5 3 3 2 2" xfId="19699"/>
    <cellStyle name="40% - Accent5 3 3 3" xfId="19700"/>
    <cellStyle name="40% - Accent5 3 3 3 2" xfId="19701"/>
    <cellStyle name="40% - Accent5 3 3 4" xfId="19702"/>
    <cellStyle name="40% - Accent5 3 4" xfId="19703"/>
    <cellStyle name="40% - Accent5 3 4 2" xfId="19704"/>
    <cellStyle name="40% - Accent5 3 5" xfId="19705"/>
    <cellStyle name="40% - Accent5 3 5 2" xfId="19706"/>
    <cellStyle name="40% - Accent5 3 6" xfId="19707"/>
    <cellStyle name="40% - Accent5 30" xfId="19708"/>
    <cellStyle name="40% - Accent5 30 2" xfId="19709"/>
    <cellStyle name="40% - Accent5 30 2 2" xfId="19710"/>
    <cellStyle name="40% - Accent5 30 2 2 2" xfId="19711"/>
    <cellStyle name="40% - Accent5 30 2 3" xfId="19712"/>
    <cellStyle name="40% - Accent5 30 2 3 2" xfId="19713"/>
    <cellStyle name="40% - Accent5 30 2 4" xfId="19714"/>
    <cellStyle name="40% - Accent5 30 3" xfId="19715"/>
    <cellStyle name="40% - Accent5 30 3 2" xfId="19716"/>
    <cellStyle name="40% - Accent5 30 3 2 2" xfId="19717"/>
    <cellStyle name="40% - Accent5 30 3 3" xfId="19718"/>
    <cellStyle name="40% - Accent5 30 3 3 2" xfId="19719"/>
    <cellStyle name="40% - Accent5 30 3 4" xfId="19720"/>
    <cellStyle name="40% - Accent5 30 4" xfId="19721"/>
    <cellStyle name="40% - Accent5 30 4 2" xfId="19722"/>
    <cellStyle name="40% - Accent5 30 5" xfId="19723"/>
    <cellStyle name="40% - Accent5 30 5 2" xfId="19724"/>
    <cellStyle name="40% - Accent5 30 6" xfId="19725"/>
    <cellStyle name="40% - Accent5 30 7" xfId="19726"/>
    <cellStyle name="40% - Accent5 31" xfId="19727"/>
    <cellStyle name="40% - Accent5 31 2" xfId="19728"/>
    <cellStyle name="40% - Accent5 31 2 2" xfId="19729"/>
    <cellStyle name="40% - Accent5 31 2 2 2" xfId="19730"/>
    <cellStyle name="40% - Accent5 31 2 3" xfId="19731"/>
    <cellStyle name="40% - Accent5 31 2 3 2" xfId="19732"/>
    <cellStyle name="40% - Accent5 31 2 4" xfId="19733"/>
    <cellStyle name="40% - Accent5 31 3" xfId="19734"/>
    <cellStyle name="40% - Accent5 31 3 2" xfId="19735"/>
    <cellStyle name="40% - Accent5 31 3 2 2" xfId="19736"/>
    <cellStyle name="40% - Accent5 31 3 3" xfId="19737"/>
    <cellStyle name="40% - Accent5 31 3 3 2" xfId="19738"/>
    <cellStyle name="40% - Accent5 31 3 4" xfId="19739"/>
    <cellStyle name="40% - Accent5 31 4" xfId="19740"/>
    <cellStyle name="40% - Accent5 31 4 2" xfId="19741"/>
    <cellStyle name="40% - Accent5 31 5" xfId="19742"/>
    <cellStyle name="40% - Accent5 31 5 2" xfId="19743"/>
    <cellStyle name="40% - Accent5 31 6" xfId="19744"/>
    <cellStyle name="40% - Accent5 31 7" xfId="19745"/>
    <cellStyle name="40% - Accent5 32" xfId="19746"/>
    <cellStyle name="40% - Accent5 32 2" xfId="19747"/>
    <cellStyle name="40% - Accent5 32 2 2" xfId="19748"/>
    <cellStyle name="40% - Accent5 32 2 2 2" xfId="19749"/>
    <cellStyle name="40% - Accent5 32 2 3" xfId="19750"/>
    <cellStyle name="40% - Accent5 32 2 3 2" xfId="19751"/>
    <cellStyle name="40% - Accent5 32 2 4" xfId="19752"/>
    <cellStyle name="40% - Accent5 32 3" xfId="19753"/>
    <cellStyle name="40% - Accent5 32 3 2" xfId="19754"/>
    <cellStyle name="40% - Accent5 32 3 2 2" xfId="19755"/>
    <cellStyle name="40% - Accent5 32 3 3" xfId="19756"/>
    <cellStyle name="40% - Accent5 32 3 3 2" xfId="19757"/>
    <cellStyle name="40% - Accent5 32 3 4" xfId="19758"/>
    <cellStyle name="40% - Accent5 32 4" xfId="19759"/>
    <cellStyle name="40% - Accent5 32 4 2" xfId="19760"/>
    <cellStyle name="40% - Accent5 32 5" xfId="19761"/>
    <cellStyle name="40% - Accent5 32 5 2" xfId="19762"/>
    <cellStyle name="40% - Accent5 32 6" xfId="19763"/>
    <cellStyle name="40% - Accent5 32 7" xfId="19764"/>
    <cellStyle name="40% - Accent5 33" xfId="19765"/>
    <cellStyle name="40% - Accent5 33 2" xfId="19766"/>
    <cellStyle name="40% - Accent5 33 2 2" xfId="19767"/>
    <cellStyle name="40% - Accent5 33 2 2 2" xfId="19768"/>
    <cellStyle name="40% - Accent5 33 2 3" xfId="19769"/>
    <cellStyle name="40% - Accent5 33 2 3 2" xfId="19770"/>
    <cellStyle name="40% - Accent5 33 2 4" xfId="19771"/>
    <cellStyle name="40% - Accent5 33 3" xfId="19772"/>
    <cellStyle name="40% - Accent5 33 3 2" xfId="19773"/>
    <cellStyle name="40% - Accent5 33 3 2 2" xfId="19774"/>
    <cellStyle name="40% - Accent5 33 3 3" xfId="19775"/>
    <cellStyle name="40% - Accent5 33 3 3 2" xfId="19776"/>
    <cellStyle name="40% - Accent5 33 3 4" xfId="19777"/>
    <cellStyle name="40% - Accent5 33 4" xfId="19778"/>
    <cellStyle name="40% - Accent5 33 4 2" xfId="19779"/>
    <cellStyle name="40% - Accent5 33 5" xfId="19780"/>
    <cellStyle name="40% - Accent5 33 5 2" xfId="19781"/>
    <cellStyle name="40% - Accent5 33 6" xfId="19782"/>
    <cellStyle name="40% - Accent5 33 7" xfId="19783"/>
    <cellStyle name="40% - Accent5 34" xfId="19784"/>
    <cellStyle name="40% - Accent5 34 2" xfId="19785"/>
    <cellStyle name="40% - Accent5 34 2 2" xfId="19786"/>
    <cellStyle name="40% - Accent5 34 2 2 2" xfId="19787"/>
    <cellStyle name="40% - Accent5 34 2 3" xfId="19788"/>
    <cellStyle name="40% - Accent5 34 2 3 2" xfId="19789"/>
    <cellStyle name="40% - Accent5 34 2 4" xfId="19790"/>
    <cellStyle name="40% - Accent5 34 3" xfId="19791"/>
    <cellStyle name="40% - Accent5 34 3 2" xfId="19792"/>
    <cellStyle name="40% - Accent5 34 3 2 2" xfId="19793"/>
    <cellStyle name="40% - Accent5 34 3 3" xfId="19794"/>
    <cellStyle name="40% - Accent5 34 3 3 2" xfId="19795"/>
    <cellStyle name="40% - Accent5 34 3 4" xfId="19796"/>
    <cellStyle name="40% - Accent5 34 4" xfId="19797"/>
    <cellStyle name="40% - Accent5 34 4 2" xfId="19798"/>
    <cellStyle name="40% - Accent5 34 5" xfId="19799"/>
    <cellStyle name="40% - Accent5 34 5 2" xfId="19800"/>
    <cellStyle name="40% - Accent5 34 6" xfId="19801"/>
    <cellStyle name="40% - Accent5 34 7" xfId="19802"/>
    <cellStyle name="40% - Accent5 35" xfId="19803"/>
    <cellStyle name="40% - Accent5 35 2" xfId="19804"/>
    <cellStyle name="40% - Accent5 35 2 2" xfId="19805"/>
    <cellStyle name="40% - Accent5 35 2 2 2" xfId="19806"/>
    <cellStyle name="40% - Accent5 35 2 3" xfId="19807"/>
    <cellStyle name="40% - Accent5 35 2 3 2" xfId="19808"/>
    <cellStyle name="40% - Accent5 35 2 4" xfId="19809"/>
    <cellStyle name="40% - Accent5 35 3" xfId="19810"/>
    <cellStyle name="40% - Accent5 35 3 2" xfId="19811"/>
    <cellStyle name="40% - Accent5 35 3 2 2" xfId="19812"/>
    <cellStyle name="40% - Accent5 35 3 3" xfId="19813"/>
    <cellStyle name="40% - Accent5 35 3 3 2" xfId="19814"/>
    <cellStyle name="40% - Accent5 35 3 4" xfId="19815"/>
    <cellStyle name="40% - Accent5 35 4" xfId="19816"/>
    <cellStyle name="40% - Accent5 35 4 2" xfId="19817"/>
    <cellStyle name="40% - Accent5 35 5" xfId="19818"/>
    <cellStyle name="40% - Accent5 35 5 2" xfId="19819"/>
    <cellStyle name="40% - Accent5 35 6" xfId="19820"/>
    <cellStyle name="40% - Accent5 35 7" xfId="19821"/>
    <cellStyle name="40% - Accent5 36" xfId="19822"/>
    <cellStyle name="40% - Accent5 36 2" xfId="19823"/>
    <cellStyle name="40% - Accent5 36 2 2" xfId="19824"/>
    <cellStyle name="40% - Accent5 36 2 2 2" xfId="19825"/>
    <cellStyle name="40% - Accent5 36 2 3" xfId="19826"/>
    <cellStyle name="40% - Accent5 36 2 3 2" xfId="19827"/>
    <cellStyle name="40% - Accent5 36 2 4" xfId="19828"/>
    <cellStyle name="40% - Accent5 36 3" xfId="19829"/>
    <cellStyle name="40% - Accent5 36 3 2" xfId="19830"/>
    <cellStyle name="40% - Accent5 36 3 2 2" xfId="19831"/>
    <cellStyle name="40% - Accent5 36 3 3" xfId="19832"/>
    <cellStyle name="40% - Accent5 36 3 3 2" xfId="19833"/>
    <cellStyle name="40% - Accent5 36 3 4" xfId="19834"/>
    <cellStyle name="40% - Accent5 36 4" xfId="19835"/>
    <cellStyle name="40% - Accent5 36 4 2" xfId="19836"/>
    <cellStyle name="40% - Accent5 36 5" xfId="19837"/>
    <cellStyle name="40% - Accent5 36 5 2" xfId="19838"/>
    <cellStyle name="40% - Accent5 36 6" xfId="19839"/>
    <cellStyle name="40% - Accent5 36 7" xfId="19840"/>
    <cellStyle name="40% - Accent5 37" xfId="19841"/>
    <cellStyle name="40% - Accent5 37 2" xfId="19842"/>
    <cellStyle name="40% - Accent5 37 2 2" xfId="19843"/>
    <cellStyle name="40% - Accent5 37 2 2 2" xfId="19844"/>
    <cellStyle name="40% - Accent5 37 2 3" xfId="19845"/>
    <cellStyle name="40% - Accent5 37 2 3 2" xfId="19846"/>
    <cellStyle name="40% - Accent5 37 2 4" xfId="19847"/>
    <cellStyle name="40% - Accent5 37 3" xfId="19848"/>
    <cellStyle name="40% - Accent5 37 3 2" xfId="19849"/>
    <cellStyle name="40% - Accent5 37 3 2 2" xfId="19850"/>
    <cellStyle name="40% - Accent5 37 3 3" xfId="19851"/>
    <cellStyle name="40% - Accent5 37 3 3 2" xfId="19852"/>
    <cellStyle name="40% - Accent5 37 3 4" xfId="19853"/>
    <cellStyle name="40% - Accent5 37 4" xfId="19854"/>
    <cellStyle name="40% - Accent5 37 4 2" xfId="19855"/>
    <cellStyle name="40% - Accent5 37 5" xfId="19856"/>
    <cellStyle name="40% - Accent5 37 5 2" xfId="19857"/>
    <cellStyle name="40% - Accent5 37 6" xfId="19858"/>
    <cellStyle name="40% - Accent5 37 7" xfId="19859"/>
    <cellStyle name="40% - Accent5 38" xfId="19860"/>
    <cellStyle name="40% - Accent5 38 2" xfId="19861"/>
    <cellStyle name="40% - Accent5 38 2 2" xfId="19862"/>
    <cellStyle name="40% - Accent5 38 2 2 2" xfId="19863"/>
    <cellStyle name="40% - Accent5 38 2 3" xfId="19864"/>
    <cellStyle name="40% - Accent5 38 2 3 2" xfId="19865"/>
    <cellStyle name="40% - Accent5 38 2 4" xfId="19866"/>
    <cellStyle name="40% - Accent5 38 3" xfId="19867"/>
    <cellStyle name="40% - Accent5 38 3 2" xfId="19868"/>
    <cellStyle name="40% - Accent5 38 3 2 2" xfId="19869"/>
    <cellStyle name="40% - Accent5 38 3 3" xfId="19870"/>
    <cellStyle name="40% - Accent5 38 3 3 2" xfId="19871"/>
    <cellStyle name="40% - Accent5 38 3 4" xfId="19872"/>
    <cellStyle name="40% - Accent5 38 4" xfId="19873"/>
    <cellStyle name="40% - Accent5 38 4 2" xfId="19874"/>
    <cellStyle name="40% - Accent5 38 5" xfId="19875"/>
    <cellStyle name="40% - Accent5 38 5 2" xfId="19876"/>
    <cellStyle name="40% - Accent5 38 6" xfId="19877"/>
    <cellStyle name="40% - Accent5 38 7" xfId="19878"/>
    <cellStyle name="40% - Accent5 39" xfId="19879"/>
    <cellStyle name="40% - Accent5 39 2" xfId="19880"/>
    <cellStyle name="40% - Accent5 39 2 2" xfId="19881"/>
    <cellStyle name="40% - Accent5 39 2 2 2" xfId="19882"/>
    <cellStyle name="40% - Accent5 39 2 3" xfId="19883"/>
    <cellStyle name="40% - Accent5 39 2 3 2" xfId="19884"/>
    <cellStyle name="40% - Accent5 39 2 4" xfId="19885"/>
    <cellStyle name="40% - Accent5 39 3" xfId="19886"/>
    <cellStyle name="40% - Accent5 39 3 2" xfId="19887"/>
    <cellStyle name="40% - Accent5 39 3 2 2" xfId="19888"/>
    <cellStyle name="40% - Accent5 39 3 3" xfId="19889"/>
    <cellStyle name="40% - Accent5 39 3 3 2" xfId="19890"/>
    <cellStyle name="40% - Accent5 39 3 4" xfId="19891"/>
    <cellStyle name="40% - Accent5 39 4" xfId="19892"/>
    <cellStyle name="40% - Accent5 39 4 2" xfId="19893"/>
    <cellStyle name="40% - Accent5 39 5" xfId="19894"/>
    <cellStyle name="40% - Accent5 39 5 2" xfId="19895"/>
    <cellStyle name="40% - Accent5 39 6" xfId="19896"/>
    <cellStyle name="40% - Accent5 39 7" xfId="19897"/>
    <cellStyle name="40% - Accent5 4" xfId="19898"/>
    <cellStyle name="40% - Accent5 4 2" xfId="19899"/>
    <cellStyle name="40% - Accent5 4 2 2" xfId="19900"/>
    <cellStyle name="40% - Accent5 4 2 2 2" xfId="19901"/>
    <cellStyle name="40% - Accent5 4 2 3" xfId="19902"/>
    <cellStyle name="40% - Accent5 4 2 3 2" xfId="19903"/>
    <cellStyle name="40% - Accent5 4 2 4" xfId="19904"/>
    <cellStyle name="40% - Accent5 4 3" xfId="19905"/>
    <cellStyle name="40% - Accent5 4 3 2" xfId="19906"/>
    <cellStyle name="40% - Accent5 4 3 2 2" xfId="19907"/>
    <cellStyle name="40% - Accent5 4 3 3" xfId="19908"/>
    <cellStyle name="40% - Accent5 4 3 3 2" xfId="19909"/>
    <cellStyle name="40% - Accent5 4 3 4" xfId="19910"/>
    <cellStyle name="40% - Accent5 4 4" xfId="19911"/>
    <cellStyle name="40% - Accent5 4 4 2" xfId="19912"/>
    <cellStyle name="40% - Accent5 4 5" xfId="19913"/>
    <cellStyle name="40% - Accent5 4 5 2" xfId="19914"/>
    <cellStyle name="40% - Accent5 4 6" xfId="19915"/>
    <cellStyle name="40% - Accent5 40" xfId="19916"/>
    <cellStyle name="40% - Accent5 40 2" xfId="19917"/>
    <cellStyle name="40% - Accent5 40 2 2" xfId="19918"/>
    <cellStyle name="40% - Accent5 40 2 2 2" xfId="19919"/>
    <cellStyle name="40% - Accent5 40 2 3" xfId="19920"/>
    <cellStyle name="40% - Accent5 40 2 3 2" xfId="19921"/>
    <cellStyle name="40% - Accent5 40 2 4" xfId="19922"/>
    <cellStyle name="40% - Accent5 40 3" xfId="19923"/>
    <cellStyle name="40% - Accent5 40 3 2" xfId="19924"/>
    <cellStyle name="40% - Accent5 40 3 2 2" xfId="19925"/>
    <cellStyle name="40% - Accent5 40 3 3" xfId="19926"/>
    <cellStyle name="40% - Accent5 40 3 3 2" xfId="19927"/>
    <cellStyle name="40% - Accent5 40 3 4" xfId="19928"/>
    <cellStyle name="40% - Accent5 40 4" xfId="19929"/>
    <cellStyle name="40% - Accent5 40 4 2" xfId="19930"/>
    <cellStyle name="40% - Accent5 40 5" xfId="19931"/>
    <cellStyle name="40% - Accent5 40 5 2" xfId="19932"/>
    <cellStyle name="40% - Accent5 40 6" xfId="19933"/>
    <cellStyle name="40% - Accent5 40 7" xfId="19934"/>
    <cellStyle name="40% - Accent5 41" xfId="19935"/>
    <cellStyle name="40% - Accent5 41 2" xfId="19936"/>
    <cellStyle name="40% - Accent5 41 2 2" xfId="19937"/>
    <cellStyle name="40% - Accent5 41 2 2 2" xfId="19938"/>
    <cellStyle name="40% - Accent5 41 2 3" xfId="19939"/>
    <cellStyle name="40% - Accent5 41 2 3 2" xfId="19940"/>
    <cellStyle name="40% - Accent5 41 2 4" xfId="19941"/>
    <cellStyle name="40% - Accent5 41 3" xfId="19942"/>
    <cellStyle name="40% - Accent5 41 3 2" xfId="19943"/>
    <cellStyle name="40% - Accent5 41 3 2 2" xfId="19944"/>
    <cellStyle name="40% - Accent5 41 3 3" xfId="19945"/>
    <cellStyle name="40% - Accent5 41 3 3 2" xfId="19946"/>
    <cellStyle name="40% - Accent5 41 3 4" xfId="19947"/>
    <cellStyle name="40% - Accent5 41 4" xfId="19948"/>
    <cellStyle name="40% - Accent5 41 4 2" xfId="19949"/>
    <cellStyle name="40% - Accent5 41 5" xfId="19950"/>
    <cellStyle name="40% - Accent5 41 5 2" xfId="19951"/>
    <cellStyle name="40% - Accent5 41 6" xfId="19952"/>
    <cellStyle name="40% - Accent5 41 7" xfId="19953"/>
    <cellStyle name="40% - Accent5 42" xfId="19954"/>
    <cellStyle name="40% - Accent5 42 2" xfId="19955"/>
    <cellStyle name="40% - Accent5 42 2 2" xfId="19956"/>
    <cellStyle name="40% - Accent5 42 3" xfId="19957"/>
    <cellStyle name="40% - Accent5 42 3 2" xfId="19958"/>
    <cellStyle name="40% - Accent5 42 4" xfId="19959"/>
    <cellStyle name="40% - Accent5 42 5" xfId="19960"/>
    <cellStyle name="40% - Accent5 43" xfId="19961"/>
    <cellStyle name="40% - Accent5 43 2" xfId="19962"/>
    <cellStyle name="40% - Accent5 43 2 2" xfId="19963"/>
    <cellStyle name="40% - Accent5 43 3" xfId="19964"/>
    <cellStyle name="40% - Accent5 43 3 2" xfId="19965"/>
    <cellStyle name="40% - Accent5 43 4" xfId="19966"/>
    <cellStyle name="40% - Accent5 43 5" xfId="19967"/>
    <cellStyle name="40% - Accent5 44" xfId="19968"/>
    <cellStyle name="40% - Accent5 44 2" xfId="19969"/>
    <cellStyle name="40% - Accent5 44 2 2" xfId="19970"/>
    <cellStyle name="40% - Accent5 44 3" xfId="19971"/>
    <cellStyle name="40% - Accent5 44 3 2" xfId="19972"/>
    <cellStyle name="40% - Accent5 44 4" xfId="19973"/>
    <cellStyle name="40% - Accent5 44 5" xfId="19974"/>
    <cellStyle name="40% - Accent5 45" xfId="19975"/>
    <cellStyle name="40% - Accent5 45 2" xfId="19976"/>
    <cellStyle name="40% - Accent5 45 2 2" xfId="19977"/>
    <cellStyle name="40% - Accent5 45 3" xfId="19978"/>
    <cellStyle name="40% - Accent5 45 3 2" xfId="19979"/>
    <cellStyle name="40% - Accent5 45 4" xfId="19980"/>
    <cellStyle name="40% - Accent5 45 5" xfId="19981"/>
    <cellStyle name="40% - Accent5 46" xfId="19982"/>
    <cellStyle name="40% - Accent5 46 2" xfId="19983"/>
    <cellStyle name="40% - Accent5 46 2 2" xfId="19984"/>
    <cellStyle name="40% - Accent5 46 3" xfId="19985"/>
    <cellStyle name="40% - Accent5 46 3 2" xfId="19986"/>
    <cellStyle name="40% - Accent5 46 4" xfId="19987"/>
    <cellStyle name="40% - Accent5 46 5" xfId="19988"/>
    <cellStyle name="40% - Accent5 47" xfId="19989"/>
    <cellStyle name="40% - Accent5 47 2" xfId="19990"/>
    <cellStyle name="40% - Accent5 47 2 2" xfId="19991"/>
    <cellStyle name="40% - Accent5 47 3" xfId="19992"/>
    <cellStyle name="40% - Accent5 47 3 2" xfId="19993"/>
    <cellStyle name="40% - Accent5 47 4" xfId="19994"/>
    <cellStyle name="40% - Accent5 47 5" xfId="19995"/>
    <cellStyle name="40% - Accent5 48" xfId="19996"/>
    <cellStyle name="40% - Accent5 48 2" xfId="19997"/>
    <cellStyle name="40% - Accent5 48 2 2" xfId="19998"/>
    <cellStyle name="40% - Accent5 48 3" xfId="19999"/>
    <cellStyle name="40% - Accent5 48 3 2" xfId="20000"/>
    <cellStyle name="40% - Accent5 48 4" xfId="20001"/>
    <cellStyle name="40% - Accent5 48 5" xfId="20002"/>
    <cellStyle name="40% - Accent5 49" xfId="20003"/>
    <cellStyle name="40% - Accent5 49 2" xfId="20004"/>
    <cellStyle name="40% - Accent5 49 2 2" xfId="20005"/>
    <cellStyle name="40% - Accent5 49 3" xfId="20006"/>
    <cellStyle name="40% - Accent5 49 3 2" xfId="20007"/>
    <cellStyle name="40% - Accent5 49 4" xfId="20008"/>
    <cellStyle name="40% - Accent5 49 5" xfId="20009"/>
    <cellStyle name="40% - Accent5 5" xfId="20010"/>
    <cellStyle name="40% - Accent5 5 2" xfId="20011"/>
    <cellStyle name="40% - Accent5 5 2 2" xfId="20012"/>
    <cellStyle name="40% - Accent5 5 2 2 2" xfId="20013"/>
    <cellStyle name="40% - Accent5 5 2 3" xfId="20014"/>
    <cellStyle name="40% - Accent5 5 2 3 2" xfId="20015"/>
    <cellStyle name="40% - Accent5 5 2 4" xfId="20016"/>
    <cellStyle name="40% - Accent5 5 3" xfId="20017"/>
    <cellStyle name="40% - Accent5 5 3 2" xfId="20018"/>
    <cellStyle name="40% - Accent5 5 3 2 2" xfId="20019"/>
    <cellStyle name="40% - Accent5 5 3 3" xfId="20020"/>
    <cellStyle name="40% - Accent5 5 3 3 2" xfId="20021"/>
    <cellStyle name="40% - Accent5 5 3 4" xfId="20022"/>
    <cellStyle name="40% - Accent5 5 4" xfId="20023"/>
    <cellStyle name="40% - Accent5 5 4 2" xfId="20024"/>
    <cellStyle name="40% - Accent5 5 5" xfId="20025"/>
    <cellStyle name="40% - Accent5 5 5 2" xfId="20026"/>
    <cellStyle name="40% - Accent5 5 6" xfId="20027"/>
    <cellStyle name="40% - Accent5 50" xfId="20028"/>
    <cellStyle name="40% - Accent5 50 2" xfId="20029"/>
    <cellStyle name="40% - Accent5 50 2 2" xfId="20030"/>
    <cellStyle name="40% - Accent5 50 3" xfId="20031"/>
    <cellStyle name="40% - Accent5 50 3 2" xfId="20032"/>
    <cellStyle name="40% - Accent5 50 4" xfId="20033"/>
    <cellStyle name="40% - Accent5 50 5" xfId="20034"/>
    <cellStyle name="40% - Accent5 51" xfId="20035"/>
    <cellStyle name="40% - Accent5 51 2" xfId="20036"/>
    <cellStyle name="40% - Accent5 51 2 2" xfId="20037"/>
    <cellStyle name="40% - Accent5 51 3" xfId="20038"/>
    <cellStyle name="40% - Accent5 51 3 2" xfId="20039"/>
    <cellStyle name="40% - Accent5 51 4" xfId="20040"/>
    <cellStyle name="40% - Accent5 51 5" xfId="20041"/>
    <cellStyle name="40% - Accent5 52" xfId="20042"/>
    <cellStyle name="40% - Accent5 52 2" xfId="20043"/>
    <cellStyle name="40% - Accent5 52 2 2" xfId="20044"/>
    <cellStyle name="40% - Accent5 52 3" xfId="20045"/>
    <cellStyle name="40% - Accent5 52 3 2" xfId="20046"/>
    <cellStyle name="40% - Accent5 52 4" xfId="20047"/>
    <cellStyle name="40% - Accent5 52 5" xfId="20048"/>
    <cellStyle name="40% - Accent5 53" xfId="20049"/>
    <cellStyle name="40% - Accent5 53 2" xfId="20050"/>
    <cellStyle name="40% - Accent5 53 2 2" xfId="20051"/>
    <cellStyle name="40% - Accent5 53 3" xfId="20052"/>
    <cellStyle name="40% - Accent5 53 3 2" xfId="20053"/>
    <cellStyle name="40% - Accent5 53 4" xfId="20054"/>
    <cellStyle name="40% - Accent5 53 5" xfId="20055"/>
    <cellStyle name="40% - Accent5 54" xfId="20056"/>
    <cellStyle name="40% - Accent5 54 2" xfId="20057"/>
    <cellStyle name="40% - Accent5 54 2 2" xfId="20058"/>
    <cellStyle name="40% - Accent5 54 3" xfId="20059"/>
    <cellStyle name="40% - Accent5 54 3 2" xfId="20060"/>
    <cellStyle name="40% - Accent5 54 4" xfId="20061"/>
    <cellStyle name="40% - Accent5 54 5" xfId="20062"/>
    <cellStyle name="40% - Accent5 55" xfId="20063"/>
    <cellStyle name="40% - Accent5 55 2" xfId="20064"/>
    <cellStyle name="40% - Accent5 55 2 2" xfId="20065"/>
    <cellStyle name="40% - Accent5 55 3" xfId="20066"/>
    <cellStyle name="40% - Accent5 55 3 2" xfId="20067"/>
    <cellStyle name="40% - Accent5 55 4" xfId="20068"/>
    <cellStyle name="40% - Accent5 55 5" xfId="20069"/>
    <cellStyle name="40% - Accent5 56" xfId="20070"/>
    <cellStyle name="40% - Accent5 56 2" xfId="20071"/>
    <cellStyle name="40% - Accent5 56 2 2" xfId="20072"/>
    <cellStyle name="40% - Accent5 56 3" xfId="20073"/>
    <cellStyle name="40% - Accent5 56 3 2" xfId="20074"/>
    <cellStyle name="40% - Accent5 56 4" xfId="20075"/>
    <cellStyle name="40% - Accent5 56 5" xfId="20076"/>
    <cellStyle name="40% - Accent5 57" xfId="20077"/>
    <cellStyle name="40% - Accent5 57 2" xfId="20078"/>
    <cellStyle name="40% - Accent5 57 2 2" xfId="20079"/>
    <cellStyle name="40% - Accent5 57 3" xfId="20080"/>
    <cellStyle name="40% - Accent5 57 3 2" xfId="20081"/>
    <cellStyle name="40% - Accent5 57 4" xfId="20082"/>
    <cellStyle name="40% - Accent5 57 5" xfId="20083"/>
    <cellStyle name="40% - Accent5 58" xfId="20084"/>
    <cellStyle name="40% - Accent5 58 2" xfId="20085"/>
    <cellStyle name="40% - Accent5 58 2 2" xfId="20086"/>
    <cellStyle name="40% - Accent5 58 3" xfId="20087"/>
    <cellStyle name="40% - Accent5 58 3 2" xfId="20088"/>
    <cellStyle name="40% - Accent5 58 4" xfId="20089"/>
    <cellStyle name="40% - Accent5 58 5" xfId="20090"/>
    <cellStyle name="40% - Accent5 59" xfId="20091"/>
    <cellStyle name="40% - Accent5 59 2" xfId="20092"/>
    <cellStyle name="40% - Accent5 59 2 2" xfId="20093"/>
    <cellStyle name="40% - Accent5 59 3" xfId="20094"/>
    <cellStyle name="40% - Accent5 59 3 2" xfId="20095"/>
    <cellStyle name="40% - Accent5 59 4" xfId="20096"/>
    <cellStyle name="40% - Accent5 59 5" xfId="20097"/>
    <cellStyle name="40% - Accent5 6" xfId="20098"/>
    <cellStyle name="40% - Accent5 6 2" xfId="20099"/>
    <cellStyle name="40% - Accent5 6 2 2" xfId="20100"/>
    <cellStyle name="40% - Accent5 6 2 2 2" xfId="20101"/>
    <cellStyle name="40% - Accent5 6 2 3" xfId="20102"/>
    <cellStyle name="40% - Accent5 6 2 3 2" xfId="20103"/>
    <cellStyle name="40% - Accent5 6 2 4" xfId="20104"/>
    <cellStyle name="40% - Accent5 6 3" xfId="20105"/>
    <cellStyle name="40% - Accent5 6 3 2" xfId="20106"/>
    <cellStyle name="40% - Accent5 6 3 2 2" xfId="20107"/>
    <cellStyle name="40% - Accent5 6 3 3" xfId="20108"/>
    <cellStyle name="40% - Accent5 6 3 3 2" xfId="20109"/>
    <cellStyle name="40% - Accent5 6 3 4" xfId="20110"/>
    <cellStyle name="40% - Accent5 6 4" xfId="20111"/>
    <cellStyle name="40% - Accent5 6 4 2" xfId="20112"/>
    <cellStyle name="40% - Accent5 6 5" xfId="20113"/>
    <cellStyle name="40% - Accent5 6 5 2" xfId="20114"/>
    <cellStyle name="40% - Accent5 6 6" xfId="20115"/>
    <cellStyle name="40% - Accent5 60" xfId="20116"/>
    <cellStyle name="40% - Accent5 60 2" xfId="20117"/>
    <cellStyle name="40% - Accent5 60 2 2" xfId="20118"/>
    <cellStyle name="40% - Accent5 60 3" xfId="20119"/>
    <cellStyle name="40% - Accent5 60 3 2" xfId="20120"/>
    <cellStyle name="40% - Accent5 60 4" xfId="20121"/>
    <cellStyle name="40% - Accent5 60 5" xfId="20122"/>
    <cellStyle name="40% - Accent5 61" xfId="20123"/>
    <cellStyle name="40% - Accent5 61 2" xfId="20124"/>
    <cellStyle name="40% - Accent5 61 2 2" xfId="20125"/>
    <cellStyle name="40% - Accent5 61 3" xfId="20126"/>
    <cellStyle name="40% - Accent5 61 3 2" xfId="20127"/>
    <cellStyle name="40% - Accent5 61 4" xfId="20128"/>
    <cellStyle name="40% - Accent5 61 5" xfId="20129"/>
    <cellStyle name="40% - Accent5 62" xfId="20130"/>
    <cellStyle name="40% - Accent5 62 2" xfId="20131"/>
    <cellStyle name="40% - Accent5 62 2 2" xfId="20132"/>
    <cellStyle name="40% - Accent5 62 3" xfId="20133"/>
    <cellStyle name="40% - Accent5 62 3 2" xfId="20134"/>
    <cellStyle name="40% - Accent5 62 4" xfId="20135"/>
    <cellStyle name="40% - Accent5 62 5" xfId="20136"/>
    <cellStyle name="40% - Accent5 63" xfId="20137"/>
    <cellStyle name="40% - Accent5 63 2" xfId="20138"/>
    <cellStyle name="40% - Accent5 63 2 2" xfId="20139"/>
    <cellStyle name="40% - Accent5 63 3" xfId="20140"/>
    <cellStyle name="40% - Accent5 63 3 2" xfId="20141"/>
    <cellStyle name="40% - Accent5 63 4" xfId="20142"/>
    <cellStyle name="40% - Accent5 63 5" xfId="20143"/>
    <cellStyle name="40% - Accent5 64" xfId="20144"/>
    <cellStyle name="40% - Accent5 64 2" xfId="20145"/>
    <cellStyle name="40% - Accent5 64 2 2" xfId="20146"/>
    <cellStyle name="40% - Accent5 64 3" xfId="20147"/>
    <cellStyle name="40% - Accent5 64 3 2" xfId="20148"/>
    <cellStyle name="40% - Accent5 64 4" xfId="20149"/>
    <cellStyle name="40% - Accent5 64 5" xfId="20150"/>
    <cellStyle name="40% - Accent5 65" xfId="20151"/>
    <cellStyle name="40% - Accent5 65 2" xfId="20152"/>
    <cellStyle name="40% - Accent5 65 2 2" xfId="20153"/>
    <cellStyle name="40% - Accent5 65 3" xfId="20154"/>
    <cellStyle name="40% - Accent5 65 3 2" xfId="20155"/>
    <cellStyle name="40% - Accent5 65 4" xfId="20156"/>
    <cellStyle name="40% - Accent5 65 5" xfId="20157"/>
    <cellStyle name="40% - Accent5 66" xfId="20158"/>
    <cellStyle name="40% - Accent5 66 2" xfId="20159"/>
    <cellStyle name="40% - Accent5 66 2 2" xfId="20160"/>
    <cellStyle name="40% - Accent5 66 3" xfId="20161"/>
    <cellStyle name="40% - Accent5 66 3 2" xfId="20162"/>
    <cellStyle name="40% - Accent5 66 4" xfId="20163"/>
    <cellStyle name="40% - Accent5 66 5" xfId="20164"/>
    <cellStyle name="40% - Accent5 67" xfId="20165"/>
    <cellStyle name="40% - Accent5 67 2" xfId="20166"/>
    <cellStyle name="40% - Accent5 67 2 2" xfId="20167"/>
    <cellStyle name="40% - Accent5 67 3" xfId="20168"/>
    <cellStyle name="40% - Accent5 67 3 2" xfId="20169"/>
    <cellStyle name="40% - Accent5 67 4" xfId="20170"/>
    <cellStyle name="40% - Accent5 67 5" xfId="20171"/>
    <cellStyle name="40% - Accent5 68" xfId="20172"/>
    <cellStyle name="40% - Accent5 68 2" xfId="20173"/>
    <cellStyle name="40% - Accent5 68 2 2" xfId="20174"/>
    <cellStyle name="40% - Accent5 68 3" xfId="20175"/>
    <cellStyle name="40% - Accent5 68 3 2" xfId="20176"/>
    <cellStyle name="40% - Accent5 68 4" xfId="20177"/>
    <cellStyle name="40% - Accent5 68 5" xfId="20178"/>
    <cellStyle name="40% - Accent5 69" xfId="20179"/>
    <cellStyle name="40% - Accent5 69 2" xfId="20180"/>
    <cellStyle name="40% - Accent5 69 2 2" xfId="20181"/>
    <cellStyle name="40% - Accent5 69 3" xfId="20182"/>
    <cellStyle name="40% - Accent5 69 3 2" xfId="20183"/>
    <cellStyle name="40% - Accent5 69 4" xfId="20184"/>
    <cellStyle name="40% - Accent5 69 5" xfId="20185"/>
    <cellStyle name="40% - Accent5 7" xfId="20186"/>
    <cellStyle name="40% - Accent5 7 2" xfId="20187"/>
    <cellStyle name="40% - Accent5 7 2 2" xfId="20188"/>
    <cellStyle name="40% - Accent5 7 2 2 2" xfId="20189"/>
    <cellStyle name="40% - Accent5 7 2 3" xfId="20190"/>
    <cellStyle name="40% - Accent5 7 2 3 2" xfId="20191"/>
    <cellStyle name="40% - Accent5 7 2 4" xfId="20192"/>
    <cellStyle name="40% - Accent5 7 3" xfId="20193"/>
    <cellStyle name="40% - Accent5 7 3 2" xfId="20194"/>
    <cellStyle name="40% - Accent5 7 3 2 2" xfId="20195"/>
    <cellStyle name="40% - Accent5 7 3 3" xfId="20196"/>
    <cellStyle name="40% - Accent5 7 3 3 2" xfId="20197"/>
    <cellStyle name="40% - Accent5 7 3 4" xfId="20198"/>
    <cellStyle name="40% - Accent5 7 4" xfId="20199"/>
    <cellStyle name="40% - Accent5 7 4 2" xfId="20200"/>
    <cellStyle name="40% - Accent5 7 5" xfId="20201"/>
    <cellStyle name="40% - Accent5 7 5 2" xfId="20202"/>
    <cellStyle name="40% - Accent5 7 6" xfId="20203"/>
    <cellStyle name="40% - Accent5 70" xfId="20204"/>
    <cellStyle name="40% - Accent5 70 2" xfId="20205"/>
    <cellStyle name="40% - Accent5 70 2 2" xfId="20206"/>
    <cellStyle name="40% - Accent5 70 3" xfId="20207"/>
    <cellStyle name="40% - Accent5 70 3 2" xfId="20208"/>
    <cellStyle name="40% - Accent5 70 4" xfId="20209"/>
    <cellStyle name="40% - Accent5 71" xfId="20210"/>
    <cellStyle name="40% - Accent5 71 2" xfId="20211"/>
    <cellStyle name="40% - Accent5 71 2 2" xfId="20212"/>
    <cellStyle name="40% - Accent5 71 3" xfId="20213"/>
    <cellStyle name="40% - Accent5 71 3 2" xfId="20214"/>
    <cellStyle name="40% - Accent5 71 4" xfId="20215"/>
    <cellStyle name="40% - Accent5 72" xfId="20216"/>
    <cellStyle name="40% - Accent5 72 2" xfId="20217"/>
    <cellStyle name="40% - Accent5 72 2 2" xfId="20218"/>
    <cellStyle name="40% - Accent5 72 3" xfId="20219"/>
    <cellStyle name="40% - Accent5 72 3 2" xfId="20220"/>
    <cellStyle name="40% - Accent5 72 4" xfId="20221"/>
    <cellStyle name="40% - Accent5 73" xfId="20222"/>
    <cellStyle name="40% - Accent5 73 2" xfId="20223"/>
    <cellStyle name="40% - Accent5 73 2 2" xfId="20224"/>
    <cellStyle name="40% - Accent5 73 3" xfId="20225"/>
    <cellStyle name="40% - Accent5 73 3 2" xfId="20226"/>
    <cellStyle name="40% - Accent5 73 4" xfId="20227"/>
    <cellStyle name="40% - Accent5 74" xfId="20228"/>
    <cellStyle name="40% - Accent5 74 2" xfId="20229"/>
    <cellStyle name="40% - Accent5 74 2 2" xfId="20230"/>
    <cellStyle name="40% - Accent5 74 3" xfId="20231"/>
    <cellStyle name="40% - Accent5 74 3 2" xfId="20232"/>
    <cellStyle name="40% - Accent5 74 4" xfId="20233"/>
    <cellStyle name="40% - Accent5 75" xfId="20234"/>
    <cellStyle name="40% - Accent5 75 2" xfId="20235"/>
    <cellStyle name="40% - Accent5 75 2 2" xfId="20236"/>
    <cellStyle name="40% - Accent5 75 3" xfId="20237"/>
    <cellStyle name="40% - Accent5 75 3 2" xfId="20238"/>
    <cellStyle name="40% - Accent5 75 4" xfId="20239"/>
    <cellStyle name="40% - Accent5 76" xfId="20240"/>
    <cellStyle name="40% - Accent5 76 2" xfId="20241"/>
    <cellStyle name="40% - Accent5 76 2 2" xfId="20242"/>
    <cellStyle name="40% - Accent5 76 3" xfId="20243"/>
    <cellStyle name="40% - Accent5 76 3 2" xfId="20244"/>
    <cellStyle name="40% - Accent5 76 4" xfId="20245"/>
    <cellStyle name="40% - Accent5 77" xfId="20246"/>
    <cellStyle name="40% - Accent5 77 2" xfId="20247"/>
    <cellStyle name="40% - Accent5 77 2 2" xfId="20248"/>
    <cellStyle name="40% - Accent5 77 3" xfId="20249"/>
    <cellStyle name="40% - Accent5 77 3 2" xfId="20250"/>
    <cellStyle name="40% - Accent5 77 4" xfId="20251"/>
    <cellStyle name="40% - Accent5 78" xfId="20252"/>
    <cellStyle name="40% - Accent5 78 2" xfId="20253"/>
    <cellStyle name="40% - Accent5 78 2 2" xfId="20254"/>
    <cellStyle name="40% - Accent5 78 3" xfId="20255"/>
    <cellStyle name="40% - Accent5 78 3 2" xfId="20256"/>
    <cellStyle name="40% - Accent5 78 4" xfId="20257"/>
    <cellStyle name="40% - Accent5 79" xfId="20258"/>
    <cellStyle name="40% - Accent5 79 2" xfId="20259"/>
    <cellStyle name="40% - Accent5 79 2 2" xfId="20260"/>
    <cellStyle name="40% - Accent5 79 3" xfId="20261"/>
    <cellStyle name="40% - Accent5 79 3 2" xfId="20262"/>
    <cellStyle name="40% - Accent5 79 4" xfId="20263"/>
    <cellStyle name="40% - Accent5 8" xfId="20264"/>
    <cellStyle name="40% - Accent5 8 2" xfId="20265"/>
    <cellStyle name="40% - Accent5 8 2 2" xfId="20266"/>
    <cellStyle name="40% - Accent5 8 2 2 2" xfId="20267"/>
    <cellStyle name="40% - Accent5 8 2 3" xfId="20268"/>
    <cellStyle name="40% - Accent5 8 2 3 2" xfId="20269"/>
    <cellStyle name="40% - Accent5 8 2 4" xfId="20270"/>
    <cellStyle name="40% - Accent5 8 3" xfId="20271"/>
    <cellStyle name="40% - Accent5 8 3 2" xfId="20272"/>
    <cellStyle name="40% - Accent5 8 3 2 2" xfId="20273"/>
    <cellStyle name="40% - Accent5 8 3 3" xfId="20274"/>
    <cellStyle name="40% - Accent5 8 3 3 2" xfId="20275"/>
    <cellStyle name="40% - Accent5 8 3 4" xfId="20276"/>
    <cellStyle name="40% - Accent5 8 4" xfId="20277"/>
    <cellStyle name="40% - Accent5 8 4 2" xfId="20278"/>
    <cellStyle name="40% - Accent5 8 5" xfId="20279"/>
    <cellStyle name="40% - Accent5 8 5 2" xfId="20280"/>
    <cellStyle name="40% - Accent5 8 6" xfId="20281"/>
    <cellStyle name="40% - Accent5 80" xfId="20282"/>
    <cellStyle name="40% - Accent5 80 2" xfId="20283"/>
    <cellStyle name="40% - Accent5 80 2 2" xfId="20284"/>
    <cellStyle name="40% - Accent5 80 3" xfId="20285"/>
    <cellStyle name="40% - Accent5 80 3 2" xfId="20286"/>
    <cellStyle name="40% - Accent5 80 4" xfId="20287"/>
    <cellStyle name="40% - Accent5 81" xfId="20288"/>
    <cellStyle name="40% - Accent5 81 2" xfId="20289"/>
    <cellStyle name="40% - Accent5 81 2 2" xfId="20290"/>
    <cellStyle name="40% - Accent5 81 3" xfId="20291"/>
    <cellStyle name="40% - Accent5 81 3 2" xfId="20292"/>
    <cellStyle name="40% - Accent5 81 4" xfId="20293"/>
    <cellStyle name="40% - Accent5 82" xfId="20294"/>
    <cellStyle name="40% - Accent5 82 2" xfId="20295"/>
    <cellStyle name="40% - Accent5 82 2 2" xfId="20296"/>
    <cellStyle name="40% - Accent5 82 3" xfId="20297"/>
    <cellStyle name="40% - Accent5 82 3 2" xfId="20298"/>
    <cellStyle name="40% - Accent5 82 4" xfId="20299"/>
    <cellStyle name="40% - Accent5 83" xfId="20300"/>
    <cellStyle name="40% - Accent5 83 2" xfId="20301"/>
    <cellStyle name="40% - Accent5 83 2 2" xfId="20302"/>
    <cellStyle name="40% - Accent5 83 3" xfId="20303"/>
    <cellStyle name="40% - Accent5 83 3 2" xfId="20304"/>
    <cellStyle name="40% - Accent5 83 4" xfId="20305"/>
    <cellStyle name="40% - Accent5 84" xfId="20306"/>
    <cellStyle name="40% - Accent5 84 2" xfId="20307"/>
    <cellStyle name="40% - Accent5 84 2 2" xfId="20308"/>
    <cellStyle name="40% - Accent5 84 3" xfId="20309"/>
    <cellStyle name="40% - Accent5 84 3 2" xfId="20310"/>
    <cellStyle name="40% - Accent5 84 4" xfId="20311"/>
    <cellStyle name="40% - Accent5 85" xfId="20312"/>
    <cellStyle name="40% - Accent5 85 2" xfId="20313"/>
    <cellStyle name="40% - Accent5 85 2 2" xfId="20314"/>
    <cellStyle name="40% - Accent5 85 3" xfId="20315"/>
    <cellStyle name="40% - Accent5 85 3 2" xfId="20316"/>
    <cellStyle name="40% - Accent5 85 4" xfId="20317"/>
    <cellStyle name="40% - Accent5 86" xfId="20318"/>
    <cellStyle name="40% - Accent5 86 2" xfId="20319"/>
    <cellStyle name="40% - Accent5 86 2 2" xfId="20320"/>
    <cellStyle name="40% - Accent5 86 3" xfId="20321"/>
    <cellStyle name="40% - Accent5 86 3 2" xfId="20322"/>
    <cellStyle name="40% - Accent5 86 4" xfId="20323"/>
    <cellStyle name="40% - Accent5 87" xfId="20324"/>
    <cellStyle name="40% - Accent5 87 2" xfId="20325"/>
    <cellStyle name="40% - Accent5 87 2 2" xfId="20326"/>
    <cellStyle name="40% - Accent5 87 3" xfId="20327"/>
    <cellStyle name="40% - Accent5 87 3 2" xfId="20328"/>
    <cellStyle name="40% - Accent5 87 4" xfId="20329"/>
    <cellStyle name="40% - Accent5 88" xfId="20330"/>
    <cellStyle name="40% - Accent5 88 2" xfId="20331"/>
    <cellStyle name="40% - Accent5 88 2 2" xfId="20332"/>
    <cellStyle name="40% - Accent5 88 3" xfId="20333"/>
    <cellStyle name="40% - Accent5 88 3 2" xfId="20334"/>
    <cellStyle name="40% - Accent5 88 4" xfId="20335"/>
    <cellStyle name="40% - Accent5 89" xfId="20336"/>
    <cellStyle name="40% - Accent5 89 2" xfId="20337"/>
    <cellStyle name="40% - Accent5 89 2 2" xfId="20338"/>
    <cellStyle name="40% - Accent5 89 3" xfId="20339"/>
    <cellStyle name="40% - Accent5 89 3 2" xfId="20340"/>
    <cellStyle name="40% - Accent5 89 4" xfId="20341"/>
    <cellStyle name="40% - Accent5 9" xfId="20342"/>
    <cellStyle name="40% - Accent5 9 2" xfId="20343"/>
    <cellStyle name="40% - Accent5 9 2 2" xfId="20344"/>
    <cellStyle name="40% - Accent5 9 2 2 2" xfId="20345"/>
    <cellStyle name="40% - Accent5 9 2 3" xfId="20346"/>
    <cellStyle name="40% - Accent5 9 2 3 2" xfId="20347"/>
    <cellStyle name="40% - Accent5 9 2 4" xfId="20348"/>
    <cellStyle name="40% - Accent5 9 3" xfId="20349"/>
    <cellStyle name="40% - Accent5 9 3 2" xfId="20350"/>
    <cellStyle name="40% - Accent5 9 3 2 2" xfId="20351"/>
    <cellStyle name="40% - Accent5 9 3 3" xfId="20352"/>
    <cellStyle name="40% - Accent5 9 3 3 2" xfId="20353"/>
    <cellStyle name="40% - Accent5 9 3 4" xfId="20354"/>
    <cellStyle name="40% - Accent5 9 4" xfId="20355"/>
    <cellStyle name="40% - Accent5 9 4 2" xfId="20356"/>
    <cellStyle name="40% - Accent5 9 5" xfId="20357"/>
    <cellStyle name="40% - Accent5 9 5 2" xfId="20358"/>
    <cellStyle name="40% - Accent5 9 6" xfId="20359"/>
    <cellStyle name="40% - Accent5 90" xfId="20360"/>
    <cellStyle name="40% - Accent5 90 2" xfId="20361"/>
    <cellStyle name="40% - Accent5 90 2 2" xfId="20362"/>
    <cellStyle name="40% - Accent5 90 3" xfId="20363"/>
    <cellStyle name="40% - Accent5 90 3 2" xfId="20364"/>
    <cellStyle name="40% - Accent5 90 4" xfId="20365"/>
    <cellStyle name="40% - Accent5 91" xfId="20366"/>
    <cellStyle name="40% - Accent5 91 2" xfId="20367"/>
    <cellStyle name="40% - Accent5 91 2 2" xfId="20368"/>
    <cellStyle name="40% - Accent5 91 3" xfId="20369"/>
    <cellStyle name="40% - Accent5 91 3 2" xfId="20370"/>
    <cellStyle name="40% - Accent5 91 4" xfId="20371"/>
    <cellStyle name="40% - Accent5 92" xfId="20372"/>
    <cellStyle name="40% - Accent5 92 2" xfId="20373"/>
    <cellStyle name="40% - Accent5 92 2 2" xfId="20374"/>
    <cellStyle name="40% - Accent5 92 3" xfId="20375"/>
    <cellStyle name="40% - Accent5 92 3 2" xfId="20376"/>
    <cellStyle name="40% - Accent5 92 4" xfId="20377"/>
    <cellStyle name="40% - Accent5 93" xfId="20378"/>
    <cellStyle name="40% - Accent5 93 2" xfId="20379"/>
    <cellStyle name="40% - Accent5 93 2 2" xfId="20380"/>
    <cellStyle name="40% - Accent5 93 3" xfId="20381"/>
    <cellStyle name="40% - Accent5 93 3 2" xfId="20382"/>
    <cellStyle name="40% - Accent5 93 4" xfId="20383"/>
    <cellStyle name="40% - Accent5 94" xfId="20384"/>
    <cellStyle name="40% - Accent5 94 2" xfId="20385"/>
    <cellStyle name="40% - Accent5 94 2 2" xfId="20386"/>
    <cellStyle name="40% - Accent5 94 3" xfId="20387"/>
    <cellStyle name="40% - Accent5 94 3 2" xfId="20388"/>
    <cellStyle name="40% - Accent5 94 4" xfId="20389"/>
    <cellStyle name="40% - Accent5 95" xfId="20390"/>
    <cellStyle name="40% - Accent5 95 2" xfId="20391"/>
    <cellStyle name="40% - Accent5 95 2 2" xfId="20392"/>
    <cellStyle name="40% - Accent5 95 3" xfId="20393"/>
    <cellStyle name="40% - Accent5 95 3 2" xfId="20394"/>
    <cellStyle name="40% - Accent5 95 4" xfId="20395"/>
    <cellStyle name="40% - Accent5 96" xfId="20396"/>
    <cellStyle name="40% - Accent5 96 2" xfId="20397"/>
    <cellStyle name="40% - Accent5 96 2 2" xfId="20398"/>
    <cellStyle name="40% - Accent5 96 3" xfId="20399"/>
    <cellStyle name="40% - Accent5 96 3 2" xfId="20400"/>
    <cellStyle name="40% - Accent5 96 4" xfId="20401"/>
    <cellStyle name="40% - Accent5 97" xfId="20402"/>
    <cellStyle name="40% - Accent5 97 2" xfId="20403"/>
    <cellStyle name="40% - Accent5 97 2 2" xfId="20404"/>
    <cellStyle name="40% - Accent5 97 3" xfId="20405"/>
    <cellStyle name="40% - Accent5 97 3 2" xfId="20406"/>
    <cellStyle name="40% - Accent5 97 4" xfId="20407"/>
    <cellStyle name="40% - Accent5 98" xfId="20408"/>
    <cellStyle name="40% - Accent5 98 2" xfId="20409"/>
    <cellStyle name="40% - Accent5 98 2 2" xfId="20410"/>
    <cellStyle name="40% - Accent5 98 3" xfId="20411"/>
    <cellStyle name="40% - Accent5 98 3 2" xfId="20412"/>
    <cellStyle name="40% - Accent5 98 4" xfId="20413"/>
    <cellStyle name="40% - Accent5 99" xfId="20414"/>
    <cellStyle name="40% - Accent5 99 2" xfId="20415"/>
    <cellStyle name="40% - Accent5 99 2 2" xfId="20416"/>
    <cellStyle name="40% - Accent5 99 3" xfId="20417"/>
    <cellStyle name="40% - Accent5 99 3 2" xfId="20418"/>
    <cellStyle name="40% - Accent5 99 4" xfId="20419"/>
    <cellStyle name="40% - Accent6 10" xfId="20420"/>
    <cellStyle name="40% - Accent6 10 2" xfId="20421"/>
    <cellStyle name="40% - Accent6 10 2 2" xfId="20422"/>
    <cellStyle name="40% - Accent6 10 2 2 2" xfId="20423"/>
    <cellStyle name="40% - Accent6 10 2 3" xfId="20424"/>
    <cellStyle name="40% - Accent6 10 2 3 2" xfId="20425"/>
    <cellStyle name="40% - Accent6 10 2 4" xfId="20426"/>
    <cellStyle name="40% - Accent6 10 3" xfId="20427"/>
    <cellStyle name="40% - Accent6 10 3 2" xfId="20428"/>
    <cellStyle name="40% - Accent6 10 3 2 2" xfId="20429"/>
    <cellStyle name="40% - Accent6 10 3 3" xfId="20430"/>
    <cellStyle name="40% - Accent6 10 3 3 2" xfId="20431"/>
    <cellStyle name="40% - Accent6 10 3 4" xfId="20432"/>
    <cellStyle name="40% - Accent6 10 4" xfId="20433"/>
    <cellStyle name="40% - Accent6 10 4 2" xfId="20434"/>
    <cellStyle name="40% - Accent6 10 5" xfId="20435"/>
    <cellStyle name="40% - Accent6 10 5 2" xfId="20436"/>
    <cellStyle name="40% - Accent6 10 6" xfId="20437"/>
    <cellStyle name="40% - Accent6 100" xfId="20438"/>
    <cellStyle name="40% - Accent6 100 2" xfId="20439"/>
    <cellStyle name="40% - Accent6 100 2 2" xfId="20440"/>
    <cellStyle name="40% - Accent6 100 3" xfId="20441"/>
    <cellStyle name="40% - Accent6 100 3 2" xfId="20442"/>
    <cellStyle name="40% - Accent6 100 4" xfId="20443"/>
    <cellStyle name="40% - Accent6 101" xfId="20444"/>
    <cellStyle name="40% - Accent6 101 2" xfId="20445"/>
    <cellStyle name="40% - Accent6 101 2 2" xfId="20446"/>
    <cellStyle name="40% - Accent6 101 3" xfId="20447"/>
    <cellStyle name="40% - Accent6 101 3 2" xfId="20448"/>
    <cellStyle name="40% - Accent6 101 4" xfId="20449"/>
    <cellStyle name="40% - Accent6 102" xfId="20450"/>
    <cellStyle name="40% - Accent6 102 2" xfId="20451"/>
    <cellStyle name="40% - Accent6 102 2 2" xfId="20452"/>
    <cellStyle name="40% - Accent6 102 3" xfId="20453"/>
    <cellStyle name="40% - Accent6 102 3 2" xfId="20454"/>
    <cellStyle name="40% - Accent6 102 4" xfId="20455"/>
    <cellStyle name="40% - Accent6 103" xfId="20456"/>
    <cellStyle name="40% - Accent6 103 2" xfId="20457"/>
    <cellStyle name="40% - Accent6 103 2 2" xfId="20458"/>
    <cellStyle name="40% - Accent6 103 3" xfId="20459"/>
    <cellStyle name="40% - Accent6 103 3 2" xfId="20460"/>
    <cellStyle name="40% - Accent6 103 4" xfId="20461"/>
    <cellStyle name="40% - Accent6 104" xfId="20462"/>
    <cellStyle name="40% - Accent6 104 2" xfId="20463"/>
    <cellStyle name="40% - Accent6 104 2 2" xfId="20464"/>
    <cellStyle name="40% - Accent6 104 3" xfId="20465"/>
    <cellStyle name="40% - Accent6 104 3 2" xfId="20466"/>
    <cellStyle name="40% - Accent6 104 4" xfId="20467"/>
    <cellStyle name="40% - Accent6 105" xfId="20468"/>
    <cellStyle name="40% - Accent6 105 2" xfId="20469"/>
    <cellStyle name="40% - Accent6 105 2 2" xfId="20470"/>
    <cellStyle name="40% - Accent6 105 3" xfId="20471"/>
    <cellStyle name="40% - Accent6 105 3 2" xfId="20472"/>
    <cellStyle name="40% - Accent6 105 4" xfId="20473"/>
    <cellStyle name="40% - Accent6 106" xfId="20474"/>
    <cellStyle name="40% - Accent6 106 2" xfId="20475"/>
    <cellStyle name="40% - Accent6 106 2 2" xfId="20476"/>
    <cellStyle name="40% - Accent6 106 3" xfId="20477"/>
    <cellStyle name="40% - Accent6 106 3 2" xfId="20478"/>
    <cellStyle name="40% - Accent6 106 4" xfId="20479"/>
    <cellStyle name="40% - Accent6 107" xfId="20480"/>
    <cellStyle name="40% - Accent6 107 2" xfId="20481"/>
    <cellStyle name="40% - Accent6 107 2 2" xfId="20482"/>
    <cellStyle name="40% - Accent6 107 3" xfId="20483"/>
    <cellStyle name="40% - Accent6 107 3 2" xfId="20484"/>
    <cellStyle name="40% - Accent6 107 4" xfId="20485"/>
    <cellStyle name="40% - Accent6 108" xfId="20486"/>
    <cellStyle name="40% - Accent6 108 2" xfId="20487"/>
    <cellStyle name="40% - Accent6 108 2 2" xfId="20488"/>
    <cellStyle name="40% - Accent6 108 3" xfId="20489"/>
    <cellStyle name="40% - Accent6 108 3 2" xfId="20490"/>
    <cellStyle name="40% - Accent6 108 4" xfId="20491"/>
    <cellStyle name="40% - Accent6 109" xfId="20492"/>
    <cellStyle name="40% - Accent6 109 2" xfId="20493"/>
    <cellStyle name="40% - Accent6 109 2 2" xfId="20494"/>
    <cellStyle name="40% - Accent6 109 3" xfId="20495"/>
    <cellStyle name="40% - Accent6 109 3 2" xfId="20496"/>
    <cellStyle name="40% - Accent6 109 4" xfId="20497"/>
    <cellStyle name="40% - Accent6 11" xfId="20498"/>
    <cellStyle name="40% - Accent6 11 2" xfId="20499"/>
    <cellStyle name="40% - Accent6 11 2 2" xfId="20500"/>
    <cellStyle name="40% - Accent6 11 2 2 2" xfId="20501"/>
    <cellStyle name="40% - Accent6 11 2 3" xfId="20502"/>
    <cellStyle name="40% - Accent6 11 2 3 2" xfId="20503"/>
    <cellStyle name="40% - Accent6 11 2 4" xfId="20504"/>
    <cellStyle name="40% - Accent6 11 3" xfId="20505"/>
    <cellStyle name="40% - Accent6 11 3 2" xfId="20506"/>
    <cellStyle name="40% - Accent6 11 3 2 2" xfId="20507"/>
    <cellStyle name="40% - Accent6 11 3 3" xfId="20508"/>
    <cellStyle name="40% - Accent6 11 3 3 2" xfId="20509"/>
    <cellStyle name="40% - Accent6 11 3 4" xfId="20510"/>
    <cellStyle name="40% - Accent6 11 4" xfId="20511"/>
    <cellStyle name="40% - Accent6 11 4 2" xfId="20512"/>
    <cellStyle name="40% - Accent6 11 5" xfId="20513"/>
    <cellStyle name="40% - Accent6 11 5 2" xfId="20514"/>
    <cellStyle name="40% - Accent6 11 6" xfId="20515"/>
    <cellStyle name="40% - Accent6 110" xfId="20516"/>
    <cellStyle name="40% - Accent6 110 2" xfId="20517"/>
    <cellStyle name="40% - Accent6 110 2 2" xfId="20518"/>
    <cellStyle name="40% - Accent6 110 3" xfId="20519"/>
    <cellStyle name="40% - Accent6 110 3 2" xfId="20520"/>
    <cellStyle name="40% - Accent6 110 4" xfId="20521"/>
    <cellStyle name="40% - Accent6 111" xfId="20522"/>
    <cellStyle name="40% - Accent6 111 2" xfId="20523"/>
    <cellStyle name="40% - Accent6 111 2 2" xfId="20524"/>
    <cellStyle name="40% - Accent6 111 3" xfId="20525"/>
    <cellStyle name="40% - Accent6 111 3 2" xfId="20526"/>
    <cellStyle name="40% - Accent6 111 4" xfId="20527"/>
    <cellStyle name="40% - Accent6 112" xfId="20528"/>
    <cellStyle name="40% - Accent6 112 2" xfId="20529"/>
    <cellStyle name="40% - Accent6 112 2 2" xfId="20530"/>
    <cellStyle name="40% - Accent6 112 3" xfId="20531"/>
    <cellStyle name="40% - Accent6 112 3 2" xfId="20532"/>
    <cellStyle name="40% - Accent6 112 4" xfId="20533"/>
    <cellStyle name="40% - Accent6 113" xfId="20534"/>
    <cellStyle name="40% - Accent6 113 2" xfId="20535"/>
    <cellStyle name="40% - Accent6 113 2 2" xfId="20536"/>
    <cellStyle name="40% - Accent6 113 3" xfId="20537"/>
    <cellStyle name="40% - Accent6 113 3 2" xfId="20538"/>
    <cellStyle name="40% - Accent6 113 4" xfId="20539"/>
    <cellStyle name="40% - Accent6 114" xfId="20540"/>
    <cellStyle name="40% - Accent6 114 2" xfId="20541"/>
    <cellStyle name="40% - Accent6 114 2 2" xfId="20542"/>
    <cellStyle name="40% - Accent6 114 3" xfId="20543"/>
    <cellStyle name="40% - Accent6 114 3 2" xfId="20544"/>
    <cellStyle name="40% - Accent6 114 4" xfId="20545"/>
    <cellStyle name="40% - Accent6 115" xfId="20546"/>
    <cellStyle name="40% - Accent6 115 2" xfId="20547"/>
    <cellStyle name="40% - Accent6 115 2 2" xfId="20548"/>
    <cellStyle name="40% - Accent6 115 3" xfId="20549"/>
    <cellStyle name="40% - Accent6 115 3 2" xfId="20550"/>
    <cellStyle name="40% - Accent6 115 4" xfId="20551"/>
    <cellStyle name="40% - Accent6 116" xfId="20552"/>
    <cellStyle name="40% - Accent6 116 2" xfId="20553"/>
    <cellStyle name="40% - Accent6 116 2 2" xfId="20554"/>
    <cellStyle name="40% - Accent6 116 3" xfId="20555"/>
    <cellStyle name="40% - Accent6 116 3 2" xfId="20556"/>
    <cellStyle name="40% - Accent6 116 4" xfId="20557"/>
    <cellStyle name="40% - Accent6 117" xfId="20558"/>
    <cellStyle name="40% - Accent6 117 2" xfId="20559"/>
    <cellStyle name="40% - Accent6 117 2 2" xfId="20560"/>
    <cellStyle name="40% - Accent6 117 3" xfId="20561"/>
    <cellStyle name="40% - Accent6 117 3 2" xfId="20562"/>
    <cellStyle name="40% - Accent6 117 4" xfId="20563"/>
    <cellStyle name="40% - Accent6 118" xfId="20564"/>
    <cellStyle name="40% - Accent6 118 2" xfId="20565"/>
    <cellStyle name="40% - Accent6 118 2 2" xfId="20566"/>
    <cellStyle name="40% - Accent6 118 3" xfId="20567"/>
    <cellStyle name="40% - Accent6 118 3 2" xfId="20568"/>
    <cellStyle name="40% - Accent6 118 4" xfId="20569"/>
    <cellStyle name="40% - Accent6 119" xfId="20570"/>
    <cellStyle name="40% - Accent6 119 2" xfId="20571"/>
    <cellStyle name="40% - Accent6 119 2 2" xfId="20572"/>
    <cellStyle name="40% - Accent6 119 3" xfId="20573"/>
    <cellStyle name="40% - Accent6 119 3 2" xfId="20574"/>
    <cellStyle name="40% - Accent6 119 4" xfId="20575"/>
    <cellStyle name="40% - Accent6 12" xfId="20576"/>
    <cellStyle name="40% - Accent6 12 2" xfId="20577"/>
    <cellStyle name="40% - Accent6 12 2 2" xfId="20578"/>
    <cellStyle name="40% - Accent6 12 2 2 2" xfId="20579"/>
    <cellStyle name="40% - Accent6 12 2 3" xfId="20580"/>
    <cellStyle name="40% - Accent6 12 2 3 2" xfId="20581"/>
    <cellStyle name="40% - Accent6 12 2 4" xfId="20582"/>
    <cellStyle name="40% - Accent6 12 3" xfId="20583"/>
    <cellStyle name="40% - Accent6 12 3 2" xfId="20584"/>
    <cellStyle name="40% - Accent6 12 3 2 2" xfId="20585"/>
    <cellStyle name="40% - Accent6 12 3 3" xfId="20586"/>
    <cellStyle name="40% - Accent6 12 3 3 2" xfId="20587"/>
    <cellStyle name="40% - Accent6 12 3 4" xfId="20588"/>
    <cellStyle name="40% - Accent6 12 4" xfId="20589"/>
    <cellStyle name="40% - Accent6 12 4 2" xfId="20590"/>
    <cellStyle name="40% - Accent6 12 5" xfId="20591"/>
    <cellStyle name="40% - Accent6 12 5 2" xfId="20592"/>
    <cellStyle name="40% - Accent6 12 6" xfId="20593"/>
    <cellStyle name="40% - Accent6 120" xfId="20594"/>
    <cellStyle name="40% - Accent6 120 2" xfId="20595"/>
    <cellStyle name="40% - Accent6 120 2 2" xfId="20596"/>
    <cellStyle name="40% - Accent6 120 3" xfId="20597"/>
    <cellStyle name="40% - Accent6 120 3 2" xfId="20598"/>
    <cellStyle name="40% - Accent6 120 4" xfId="20599"/>
    <cellStyle name="40% - Accent6 121" xfId="20600"/>
    <cellStyle name="40% - Accent6 121 2" xfId="20601"/>
    <cellStyle name="40% - Accent6 121 2 2" xfId="20602"/>
    <cellStyle name="40% - Accent6 121 3" xfId="20603"/>
    <cellStyle name="40% - Accent6 121 3 2" xfId="20604"/>
    <cellStyle name="40% - Accent6 121 4" xfId="20605"/>
    <cellStyle name="40% - Accent6 122" xfId="20606"/>
    <cellStyle name="40% - Accent6 122 2" xfId="20607"/>
    <cellStyle name="40% - Accent6 122 2 2" xfId="20608"/>
    <cellStyle name="40% - Accent6 122 3" xfId="20609"/>
    <cellStyle name="40% - Accent6 122 3 2" xfId="20610"/>
    <cellStyle name="40% - Accent6 122 4" xfId="20611"/>
    <cellStyle name="40% - Accent6 123" xfId="20612"/>
    <cellStyle name="40% - Accent6 123 2" xfId="20613"/>
    <cellStyle name="40% - Accent6 123 2 2" xfId="20614"/>
    <cellStyle name="40% - Accent6 123 3" xfId="20615"/>
    <cellStyle name="40% - Accent6 123 3 2" xfId="20616"/>
    <cellStyle name="40% - Accent6 123 4" xfId="20617"/>
    <cellStyle name="40% - Accent6 124" xfId="20618"/>
    <cellStyle name="40% - Accent6 124 2" xfId="20619"/>
    <cellStyle name="40% - Accent6 124 2 2" xfId="20620"/>
    <cellStyle name="40% - Accent6 124 3" xfId="20621"/>
    <cellStyle name="40% - Accent6 124 3 2" xfId="20622"/>
    <cellStyle name="40% - Accent6 124 4" xfId="20623"/>
    <cellStyle name="40% - Accent6 125" xfId="20624"/>
    <cellStyle name="40% - Accent6 125 2" xfId="20625"/>
    <cellStyle name="40% - Accent6 125 2 2" xfId="20626"/>
    <cellStyle name="40% - Accent6 125 3" xfId="20627"/>
    <cellStyle name="40% - Accent6 125 3 2" xfId="20628"/>
    <cellStyle name="40% - Accent6 125 4" xfId="20629"/>
    <cellStyle name="40% - Accent6 126" xfId="20630"/>
    <cellStyle name="40% - Accent6 126 2" xfId="20631"/>
    <cellStyle name="40% - Accent6 126 2 2" xfId="20632"/>
    <cellStyle name="40% - Accent6 126 3" xfId="20633"/>
    <cellStyle name="40% - Accent6 126 3 2" xfId="20634"/>
    <cellStyle name="40% - Accent6 126 4" xfId="20635"/>
    <cellStyle name="40% - Accent6 127" xfId="20636"/>
    <cellStyle name="40% - Accent6 127 2" xfId="20637"/>
    <cellStyle name="40% - Accent6 127 2 2" xfId="20638"/>
    <cellStyle name="40% - Accent6 127 3" xfId="20639"/>
    <cellStyle name="40% - Accent6 127 3 2" xfId="20640"/>
    <cellStyle name="40% - Accent6 127 4" xfId="20641"/>
    <cellStyle name="40% - Accent6 128" xfId="20642"/>
    <cellStyle name="40% - Accent6 128 2" xfId="20643"/>
    <cellStyle name="40% - Accent6 128 2 2" xfId="20644"/>
    <cellStyle name="40% - Accent6 128 3" xfId="20645"/>
    <cellStyle name="40% - Accent6 128 3 2" xfId="20646"/>
    <cellStyle name="40% - Accent6 128 4" xfId="20647"/>
    <cellStyle name="40% - Accent6 129" xfId="20648"/>
    <cellStyle name="40% - Accent6 129 2" xfId="20649"/>
    <cellStyle name="40% - Accent6 129 2 2" xfId="20650"/>
    <cellStyle name="40% - Accent6 129 3" xfId="20651"/>
    <cellStyle name="40% - Accent6 129 3 2" xfId="20652"/>
    <cellStyle name="40% - Accent6 129 4" xfId="20653"/>
    <cellStyle name="40% - Accent6 13" xfId="20654"/>
    <cellStyle name="40% - Accent6 13 2" xfId="20655"/>
    <cellStyle name="40% - Accent6 13 2 2" xfId="20656"/>
    <cellStyle name="40% - Accent6 13 2 2 2" xfId="20657"/>
    <cellStyle name="40% - Accent6 13 2 3" xfId="20658"/>
    <cellStyle name="40% - Accent6 13 2 3 2" xfId="20659"/>
    <cellStyle name="40% - Accent6 13 2 4" xfId="20660"/>
    <cellStyle name="40% - Accent6 13 3" xfId="20661"/>
    <cellStyle name="40% - Accent6 13 3 2" xfId="20662"/>
    <cellStyle name="40% - Accent6 13 3 2 2" xfId="20663"/>
    <cellStyle name="40% - Accent6 13 3 3" xfId="20664"/>
    <cellStyle name="40% - Accent6 13 3 3 2" xfId="20665"/>
    <cellStyle name="40% - Accent6 13 3 4" xfId="20666"/>
    <cellStyle name="40% - Accent6 13 4" xfId="20667"/>
    <cellStyle name="40% - Accent6 13 4 2" xfId="20668"/>
    <cellStyle name="40% - Accent6 13 5" xfId="20669"/>
    <cellStyle name="40% - Accent6 13 5 2" xfId="20670"/>
    <cellStyle name="40% - Accent6 13 6" xfId="20671"/>
    <cellStyle name="40% - Accent6 130" xfId="20672"/>
    <cellStyle name="40% - Accent6 130 2" xfId="20673"/>
    <cellStyle name="40% - Accent6 130 2 2" xfId="20674"/>
    <cellStyle name="40% - Accent6 130 3" xfId="20675"/>
    <cellStyle name="40% - Accent6 130 3 2" xfId="20676"/>
    <cellStyle name="40% - Accent6 130 4" xfId="20677"/>
    <cellStyle name="40% - Accent6 131" xfId="20678"/>
    <cellStyle name="40% - Accent6 131 2" xfId="20679"/>
    <cellStyle name="40% - Accent6 131 2 2" xfId="20680"/>
    <cellStyle name="40% - Accent6 131 3" xfId="20681"/>
    <cellStyle name="40% - Accent6 131 3 2" xfId="20682"/>
    <cellStyle name="40% - Accent6 131 4" xfId="20683"/>
    <cellStyle name="40% - Accent6 132" xfId="20684"/>
    <cellStyle name="40% - Accent6 132 2" xfId="20685"/>
    <cellStyle name="40% - Accent6 132 2 2" xfId="20686"/>
    <cellStyle name="40% - Accent6 132 3" xfId="20687"/>
    <cellStyle name="40% - Accent6 132 3 2" xfId="20688"/>
    <cellStyle name="40% - Accent6 132 4" xfId="20689"/>
    <cellStyle name="40% - Accent6 133" xfId="20690"/>
    <cellStyle name="40% - Accent6 133 2" xfId="20691"/>
    <cellStyle name="40% - Accent6 133 2 2" xfId="20692"/>
    <cellStyle name="40% - Accent6 133 3" xfId="20693"/>
    <cellStyle name="40% - Accent6 133 3 2" xfId="20694"/>
    <cellStyle name="40% - Accent6 133 4" xfId="20695"/>
    <cellStyle name="40% - Accent6 134" xfId="20696"/>
    <cellStyle name="40% - Accent6 134 2" xfId="20697"/>
    <cellStyle name="40% - Accent6 134 2 2" xfId="20698"/>
    <cellStyle name="40% - Accent6 134 3" xfId="20699"/>
    <cellStyle name="40% - Accent6 134 3 2" xfId="20700"/>
    <cellStyle name="40% - Accent6 134 4" xfId="20701"/>
    <cellStyle name="40% - Accent6 135" xfId="20702"/>
    <cellStyle name="40% - Accent6 135 2" xfId="20703"/>
    <cellStyle name="40% - Accent6 135 2 2" xfId="20704"/>
    <cellStyle name="40% - Accent6 135 3" xfId="20705"/>
    <cellStyle name="40% - Accent6 135 3 2" xfId="20706"/>
    <cellStyle name="40% - Accent6 135 4" xfId="20707"/>
    <cellStyle name="40% - Accent6 136" xfId="20708"/>
    <cellStyle name="40% - Accent6 136 2" xfId="20709"/>
    <cellStyle name="40% - Accent6 136 2 2" xfId="20710"/>
    <cellStyle name="40% - Accent6 136 3" xfId="20711"/>
    <cellStyle name="40% - Accent6 136 3 2" xfId="20712"/>
    <cellStyle name="40% - Accent6 136 4" xfId="20713"/>
    <cellStyle name="40% - Accent6 137" xfId="20714"/>
    <cellStyle name="40% - Accent6 137 2" xfId="20715"/>
    <cellStyle name="40% - Accent6 137 2 2" xfId="20716"/>
    <cellStyle name="40% - Accent6 137 3" xfId="20717"/>
    <cellStyle name="40% - Accent6 137 3 2" xfId="20718"/>
    <cellStyle name="40% - Accent6 137 4" xfId="20719"/>
    <cellStyle name="40% - Accent6 138" xfId="20720"/>
    <cellStyle name="40% - Accent6 138 2" xfId="20721"/>
    <cellStyle name="40% - Accent6 138 2 2" xfId="20722"/>
    <cellStyle name="40% - Accent6 138 3" xfId="20723"/>
    <cellStyle name="40% - Accent6 138 3 2" xfId="20724"/>
    <cellStyle name="40% - Accent6 138 4" xfId="20725"/>
    <cellStyle name="40% - Accent6 139" xfId="20726"/>
    <cellStyle name="40% - Accent6 139 2" xfId="20727"/>
    <cellStyle name="40% - Accent6 139 2 2" xfId="20728"/>
    <cellStyle name="40% - Accent6 139 3" xfId="20729"/>
    <cellStyle name="40% - Accent6 139 3 2" xfId="20730"/>
    <cellStyle name="40% - Accent6 139 4" xfId="20731"/>
    <cellStyle name="40% - Accent6 14" xfId="20732"/>
    <cellStyle name="40% - Accent6 14 2" xfId="20733"/>
    <cellStyle name="40% - Accent6 14 2 2" xfId="20734"/>
    <cellStyle name="40% - Accent6 14 2 2 2" xfId="20735"/>
    <cellStyle name="40% - Accent6 14 2 3" xfId="20736"/>
    <cellStyle name="40% - Accent6 14 2 3 2" xfId="20737"/>
    <cellStyle name="40% - Accent6 14 2 4" xfId="20738"/>
    <cellStyle name="40% - Accent6 14 3" xfId="20739"/>
    <cellStyle name="40% - Accent6 14 3 2" xfId="20740"/>
    <cellStyle name="40% - Accent6 14 3 2 2" xfId="20741"/>
    <cellStyle name="40% - Accent6 14 3 3" xfId="20742"/>
    <cellStyle name="40% - Accent6 14 3 3 2" xfId="20743"/>
    <cellStyle name="40% - Accent6 14 3 4" xfId="20744"/>
    <cellStyle name="40% - Accent6 14 4" xfId="20745"/>
    <cellStyle name="40% - Accent6 14 4 2" xfId="20746"/>
    <cellStyle name="40% - Accent6 14 5" xfId="20747"/>
    <cellStyle name="40% - Accent6 14 5 2" xfId="20748"/>
    <cellStyle name="40% - Accent6 14 6" xfId="20749"/>
    <cellStyle name="40% - Accent6 140" xfId="20750"/>
    <cellStyle name="40% - Accent6 140 2" xfId="20751"/>
    <cellStyle name="40% - Accent6 140 2 2" xfId="20752"/>
    <cellStyle name="40% - Accent6 140 3" xfId="20753"/>
    <cellStyle name="40% - Accent6 140 3 2" xfId="20754"/>
    <cellStyle name="40% - Accent6 140 4" xfId="20755"/>
    <cellStyle name="40% - Accent6 141" xfId="20756"/>
    <cellStyle name="40% - Accent6 141 2" xfId="20757"/>
    <cellStyle name="40% - Accent6 141 2 2" xfId="20758"/>
    <cellStyle name="40% - Accent6 141 3" xfId="20759"/>
    <cellStyle name="40% - Accent6 141 3 2" xfId="20760"/>
    <cellStyle name="40% - Accent6 141 4" xfId="20761"/>
    <cellStyle name="40% - Accent6 142" xfId="20762"/>
    <cellStyle name="40% - Accent6 142 2" xfId="20763"/>
    <cellStyle name="40% - Accent6 142 2 2" xfId="20764"/>
    <cellStyle name="40% - Accent6 142 3" xfId="20765"/>
    <cellStyle name="40% - Accent6 142 3 2" xfId="20766"/>
    <cellStyle name="40% - Accent6 142 4" xfId="20767"/>
    <cellStyle name="40% - Accent6 143" xfId="20768"/>
    <cellStyle name="40% - Accent6 143 2" xfId="20769"/>
    <cellStyle name="40% - Accent6 143 2 2" xfId="20770"/>
    <cellStyle name="40% - Accent6 143 3" xfId="20771"/>
    <cellStyle name="40% - Accent6 143 3 2" xfId="20772"/>
    <cellStyle name="40% - Accent6 143 4" xfId="20773"/>
    <cellStyle name="40% - Accent6 144" xfId="20774"/>
    <cellStyle name="40% - Accent6 144 2" xfId="20775"/>
    <cellStyle name="40% - Accent6 144 2 2" xfId="20776"/>
    <cellStyle name="40% - Accent6 144 3" xfId="20777"/>
    <cellStyle name="40% - Accent6 144 3 2" xfId="20778"/>
    <cellStyle name="40% - Accent6 144 4" xfId="20779"/>
    <cellStyle name="40% - Accent6 145" xfId="20780"/>
    <cellStyle name="40% - Accent6 145 2" xfId="20781"/>
    <cellStyle name="40% - Accent6 145 2 2" xfId="20782"/>
    <cellStyle name="40% - Accent6 145 3" xfId="20783"/>
    <cellStyle name="40% - Accent6 145 3 2" xfId="20784"/>
    <cellStyle name="40% - Accent6 145 4" xfId="20785"/>
    <cellStyle name="40% - Accent6 146" xfId="20786"/>
    <cellStyle name="40% - Accent6 146 2" xfId="20787"/>
    <cellStyle name="40% - Accent6 146 2 2" xfId="20788"/>
    <cellStyle name="40% - Accent6 146 3" xfId="20789"/>
    <cellStyle name="40% - Accent6 146 3 2" xfId="20790"/>
    <cellStyle name="40% - Accent6 146 4" xfId="20791"/>
    <cellStyle name="40% - Accent6 147" xfId="20792"/>
    <cellStyle name="40% - Accent6 147 2" xfId="20793"/>
    <cellStyle name="40% - Accent6 147 2 2" xfId="20794"/>
    <cellStyle name="40% - Accent6 147 3" xfId="20795"/>
    <cellStyle name="40% - Accent6 147 3 2" xfId="20796"/>
    <cellStyle name="40% - Accent6 147 4" xfId="20797"/>
    <cellStyle name="40% - Accent6 148" xfId="20798"/>
    <cellStyle name="40% - Accent6 148 2" xfId="20799"/>
    <cellStyle name="40% - Accent6 148 2 2" xfId="20800"/>
    <cellStyle name="40% - Accent6 148 3" xfId="20801"/>
    <cellStyle name="40% - Accent6 148 3 2" xfId="20802"/>
    <cellStyle name="40% - Accent6 148 4" xfId="20803"/>
    <cellStyle name="40% - Accent6 149" xfId="20804"/>
    <cellStyle name="40% - Accent6 149 2" xfId="20805"/>
    <cellStyle name="40% - Accent6 149 2 2" xfId="20806"/>
    <cellStyle name="40% - Accent6 149 3" xfId="20807"/>
    <cellStyle name="40% - Accent6 149 3 2" xfId="20808"/>
    <cellStyle name="40% - Accent6 149 4" xfId="20809"/>
    <cellStyle name="40% - Accent6 15" xfId="20810"/>
    <cellStyle name="40% - Accent6 15 2" xfId="20811"/>
    <cellStyle name="40% - Accent6 15 2 2" xfId="20812"/>
    <cellStyle name="40% - Accent6 15 2 2 2" xfId="20813"/>
    <cellStyle name="40% - Accent6 15 2 3" xfId="20814"/>
    <cellStyle name="40% - Accent6 15 2 3 2" xfId="20815"/>
    <cellStyle name="40% - Accent6 15 2 4" xfId="20816"/>
    <cellStyle name="40% - Accent6 15 3" xfId="20817"/>
    <cellStyle name="40% - Accent6 15 3 2" xfId="20818"/>
    <cellStyle name="40% - Accent6 15 3 2 2" xfId="20819"/>
    <cellStyle name="40% - Accent6 15 3 3" xfId="20820"/>
    <cellStyle name="40% - Accent6 15 3 3 2" xfId="20821"/>
    <cellStyle name="40% - Accent6 15 3 4" xfId="20822"/>
    <cellStyle name="40% - Accent6 15 4" xfId="20823"/>
    <cellStyle name="40% - Accent6 15 4 2" xfId="20824"/>
    <cellStyle name="40% - Accent6 15 5" xfId="20825"/>
    <cellStyle name="40% - Accent6 15 5 2" xfId="20826"/>
    <cellStyle name="40% - Accent6 15 6" xfId="20827"/>
    <cellStyle name="40% - Accent6 150" xfId="20828"/>
    <cellStyle name="40% - Accent6 150 2" xfId="20829"/>
    <cellStyle name="40% - Accent6 150 2 2" xfId="20830"/>
    <cellStyle name="40% - Accent6 150 3" xfId="20831"/>
    <cellStyle name="40% - Accent6 150 3 2" xfId="20832"/>
    <cellStyle name="40% - Accent6 150 4" xfId="20833"/>
    <cellStyle name="40% - Accent6 151" xfId="20834"/>
    <cellStyle name="40% - Accent6 151 2" xfId="20835"/>
    <cellStyle name="40% - Accent6 151 2 2" xfId="20836"/>
    <cellStyle name="40% - Accent6 151 3" xfId="20837"/>
    <cellStyle name="40% - Accent6 151 3 2" xfId="20838"/>
    <cellStyle name="40% - Accent6 151 4" xfId="20839"/>
    <cellStyle name="40% - Accent6 152" xfId="20840"/>
    <cellStyle name="40% - Accent6 152 2" xfId="20841"/>
    <cellStyle name="40% - Accent6 152 2 2" xfId="20842"/>
    <cellStyle name="40% - Accent6 152 3" xfId="20843"/>
    <cellStyle name="40% - Accent6 152 3 2" xfId="20844"/>
    <cellStyle name="40% - Accent6 152 4" xfId="20845"/>
    <cellStyle name="40% - Accent6 153" xfId="20846"/>
    <cellStyle name="40% - Accent6 153 2" xfId="20847"/>
    <cellStyle name="40% - Accent6 153 2 2" xfId="20848"/>
    <cellStyle name="40% - Accent6 153 3" xfId="20849"/>
    <cellStyle name="40% - Accent6 153 3 2" xfId="20850"/>
    <cellStyle name="40% - Accent6 153 4" xfId="20851"/>
    <cellStyle name="40% - Accent6 154" xfId="20852"/>
    <cellStyle name="40% - Accent6 154 2" xfId="20853"/>
    <cellStyle name="40% - Accent6 154 2 2" xfId="20854"/>
    <cellStyle name="40% - Accent6 154 3" xfId="20855"/>
    <cellStyle name="40% - Accent6 154 3 2" xfId="20856"/>
    <cellStyle name="40% - Accent6 154 4" xfId="20857"/>
    <cellStyle name="40% - Accent6 155" xfId="20858"/>
    <cellStyle name="40% - Accent6 155 2" xfId="20859"/>
    <cellStyle name="40% - Accent6 155 2 2" xfId="20860"/>
    <cellStyle name="40% - Accent6 155 3" xfId="20861"/>
    <cellStyle name="40% - Accent6 155 3 2" xfId="20862"/>
    <cellStyle name="40% - Accent6 155 4" xfId="20863"/>
    <cellStyle name="40% - Accent6 156" xfId="20864"/>
    <cellStyle name="40% - Accent6 156 2" xfId="20865"/>
    <cellStyle name="40% - Accent6 156 2 2" xfId="20866"/>
    <cellStyle name="40% - Accent6 156 3" xfId="20867"/>
    <cellStyle name="40% - Accent6 156 3 2" xfId="20868"/>
    <cellStyle name="40% - Accent6 156 4" xfId="20869"/>
    <cellStyle name="40% - Accent6 157" xfId="20870"/>
    <cellStyle name="40% - Accent6 157 2" xfId="20871"/>
    <cellStyle name="40% - Accent6 157 2 2" xfId="20872"/>
    <cellStyle name="40% - Accent6 157 3" xfId="20873"/>
    <cellStyle name="40% - Accent6 157 3 2" xfId="20874"/>
    <cellStyle name="40% - Accent6 157 4" xfId="20875"/>
    <cellStyle name="40% - Accent6 158" xfId="20876"/>
    <cellStyle name="40% - Accent6 158 2" xfId="20877"/>
    <cellStyle name="40% - Accent6 158 2 2" xfId="20878"/>
    <cellStyle name="40% - Accent6 158 3" xfId="20879"/>
    <cellStyle name="40% - Accent6 158 3 2" xfId="20880"/>
    <cellStyle name="40% - Accent6 158 4" xfId="20881"/>
    <cellStyle name="40% - Accent6 159" xfId="20882"/>
    <cellStyle name="40% - Accent6 159 2" xfId="20883"/>
    <cellStyle name="40% - Accent6 159 2 2" xfId="20884"/>
    <cellStyle name="40% - Accent6 159 3" xfId="20885"/>
    <cellStyle name="40% - Accent6 159 3 2" xfId="20886"/>
    <cellStyle name="40% - Accent6 159 4" xfId="20887"/>
    <cellStyle name="40% - Accent6 16" xfId="20888"/>
    <cellStyle name="40% - Accent6 16 2" xfId="20889"/>
    <cellStyle name="40% - Accent6 16 2 2" xfId="20890"/>
    <cellStyle name="40% - Accent6 16 2 2 2" xfId="20891"/>
    <cellStyle name="40% - Accent6 16 2 3" xfId="20892"/>
    <cellStyle name="40% - Accent6 16 2 3 2" xfId="20893"/>
    <cellStyle name="40% - Accent6 16 2 4" xfId="20894"/>
    <cellStyle name="40% - Accent6 16 3" xfId="20895"/>
    <cellStyle name="40% - Accent6 16 3 2" xfId="20896"/>
    <cellStyle name="40% - Accent6 16 3 2 2" xfId="20897"/>
    <cellStyle name="40% - Accent6 16 3 3" xfId="20898"/>
    <cellStyle name="40% - Accent6 16 3 3 2" xfId="20899"/>
    <cellStyle name="40% - Accent6 16 3 4" xfId="20900"/>
    <cellStyle name="40% - Accent6 16 4" xfId="20901"/>
    <cellStyle name="40% - Accent6 16 4 2" xfId="20902"/>
    <cellStyle name="40% - Accent6 16 5" xfId="20903"/>
    <cellStyle name="40% - Accent6 16 5 2" xfId="20904"/>
    <cellStyle name="40% - Accent6 16 6" xfId="20905"/>
    <cellStyle name="40% - Accent6 160" xfId="20906"/>
    <cellStyle name="40% - Accent6 160 2" xfId="20907"/>
    <cellStyle name="40% - Accent6 160 2 2" xfId="20908"/>
    <cellStyle name="40% - Accent6 160 3" xfId="20909"/>
    <cellStyle name="40% - Accent6 160 3 2" xfId="20910"/>
    <cellStyle name="40% - Accent6 160 4" xfId="20911"/>
    <cellStyle name="40% - Accent6 161" xfId="20912"/>
    <cellStyle name="40% - Accent6 161 2" xfId="20913"/>
    <cellStyle name="40% - Accent6 161 2 2" xfId="20914"/>
    <cellStyle name="40% - Accent6 161 3" xfId="20915"/>
    <cellStyle name="40% - Accent6 161 3 2" xfId="20916"/>
    <cellStyle name="40% - Accent6 161 4" xfId="20917"/>
    <cellStyle name="40% - Accent6 162" xfId="20918"/>
    <cellStyle name="40% - Accent6 162 2" xfId="20919"/>
    <cellStyle name="40% - Accent6 162 2 2" xfId="20920"/>
    <cellStyle name="40% - Accent6 162 3" xfId="20921"/>
    <cellStyle name="40% - Accent6 162 3 2" xfId="20922"/>
    <cellStyle name="40% - Accent6 162 4" xfId="20923"/>
    <cellStyle name="40% - Accent6 163" xfId="20924"/>
    <cellStyle name="40% - Accent6 163 2" xfId="20925"/>
    <cellStyle name="40% - Accent6 163 2 2" xfId="20926"/>
    <cellStyle name="40% - Accent6 163 3" xfId="20927"/>
    <cellStyle name="40% - Accent6 163 3 2" xfId="20928"/>
    <cellStyle name="40% - Accent6 163 4" xfId="20929"/>
    <cellStyle name="40% - Accent6 164" xfId="20930"/>
    <cellStyle name="40% - Accent6 164 2" xfId="20931"/>
    <cellStyle name="40% - Accent6 164 2 2" xfId="20932"/>
    <cellStyle name="40% - Accent6 164 3" xfId="20933"/>
    <cellStyle name="40% - Accent6 164 3 2" xfId="20934"/>
    <cellStyle name="40% - Accent6 164 4" xfId="20935"/>
    <cellStyle name="40% - Accent6 165" xfId="20936"/>
    <cellStyle name="40% - Accent6 165 2" xfId="20937"/>
    <cellStyle name="40% - Accent6 165 2 2" xfId="20938"/>
    <cellStyle name="40% - Accent6 165 3" xfId="20939"/>
    <cellStyle name="40% - Accent6 165 3 2" xfId="20940"/>
    <cellStyle name="40% - Accent6 165 4" xfId="20941"/>
    <cellStyle name="40% - Accent6 166" xfId="20942"/>
    <cellStyle name="40% - Accent6 166 2" xfId="20943"/>
    <cellStyle name="40% - Accent6 166 2 2" xfId="20944"/>
    <cellStyle name="40% - Accent6 166 3" xfId="20945"/>
    <cellStyle name="40% - Accent6 166 3 2" xfId="20946"/>
    <cellStyle name="40% - Accent6 166 4" xfId="20947"/>
    <cellStyle name="40% - Accent6 167" xfId="20948"/>
    <cellStyle name="40% - Accent6 167 2" xfId="20949"/>
    <cellStyle name="40% - Accent6 167 2 2" xfId="20950"/>
    <cellStyle name="40% - Accent6 167 3" xfId="20951"/>
    <cellStyle name="40% - Accent6 167 3 2" xfId="20952"/>
    <cellStyle name="40% - Accent6 167 4" xfId="20953"/>
    <cellStyle name="40% - Accent6 168" xfId="20954"/>
    <cellStyle name="40% - Accent6 168 2" xfId="20955"/>
    <cellStyle name="40% - Accent6 168 2 2" xfId="20956"/>
    <cellStyle name="40% - Accent6 168 3" xfId="20957"/>
    <cellStyle name="40% - Accent6 168 3 2" xfId="20958"/>
    <cellStyle name="40% - Accent6 168 4" xfId="20959"/>
    <cellStyle name="40% - Accent6 169" xfId="20960"/>
    <cellStyle name="40% - Accent6 169 2" xfId="20961"/>
    <cellStyle name="40% - Accent6 169 2 2" xfId="20962"/>
    <cellStyle name="40% - Accent6 169 3" xfId="20963"/>
    <cellStyle name="40% - Accent6 169 3 2" xfId="20964"/>
    <cellStyle name="40% - Accent6 169 4" xfId="20965"/>
    <cellStyle name="40% - Accent6 17" xfId="20966"/>
    <cellStyle name="40% - Accent6 17 2" xfId="20967"/>
    <cellStyle name="40% - Accent6 17 2 2" xfId="20968"/>
    <cellStyle name="40% - Accent6 17 2 2 2" xfId="20969"/>
    <cellStyle name="40% - Accent6 17 2 3" xfId="20970"/>
    <cellStyle name="40% - Accent6 17 2 3 2" xfId="20971"/>
    <cellStyle name="40% - Accent6 17 2 4" xfId="20972"/>
    <cellStyle name="40% - Accent6 17 3" xfId="20973"/>
    <cellStyle name="40% - Accent6 17 3 2" xfId="20974"/>
    <cellStyle name="40% - Accent6 17 3 2 2" xfId="20975"/>
    <cellStyle name="40% - Accent6 17 3 3" xfId="20976"/>
    <cellStyle name="40% - Accent6 17 3 3 2" xfId="20977"/>
    <cellStyle name="40% - Accent6 17 3 4" xfId="20978"/>
    <cellStyle name="40% - Accent6 17 4" xfId="20979"/>
    <cellStyle name="40% - Accent6 17 4 2" xfId="20980"/>
    <cellStyle name="40% - Accent6 17 5" xfId="20981"/>
    <cellStyle name="40% - Accent6 17 5 2" xfId="20982"/>
    <cellStyle name="40% - Accent6 17 6" xfId="20983"/>
    <cellStyle name="40% - Accent6 170" xfId="20984"/>
    <cellStyle name="40% - Accent6 170 2" xfId="20985"/>
    <cellStyle name="40% - Accent6 170 2 2" xfId="20986"/>
    <cellStyle name="40% - Accent6 170 3" xfId="20987"/>
    <cellStyle name="40% - Accent6 170 3 2" xfId="20988"/>
    <cellStyle name="40% - Accent6 170 4" xfId="20989"/>
    <cellStyle name="40% - Accent6 171" xfId="20990"/>
    <cellStyle name="40% - Accent6 171 2" xfId="20991"/>
    <cellStyle name="40% - Accent6 171 2 2" xfId="20992"/>
    <cellStyle name="40% - Accent6 171 3" xfId="20993"/>
    <cellStyle name="40% - Accent6 171 3 2" xfId="20994"/>
    <cellStyle name="40% - Accent6 171 4" xfId="20995"/>
    <cellStyle name="40% - Accent6 172" xfId="20996"/>
    <cellStyle name="40% - Accent6 172 2" xfId="20997"/>
    <cellStyle name="40% - Accent6 172 2 2" xfId="20998"/>
    <cellStyle name="40% - Accent6 172 3" xfId="20999"/>
    <cellStyle name="40% - Accent6 172 3 2" xfId="21000"/>
    <cellStyle name="40% - Accent6 172 4" xfId="21001"/>
    <cellStyle name="40% - Accent6 173" xfId="21002"/>
    <cellStyle name="40% - Accent6 173 2" xfId="21003"/>
    <cellStyle name="40% - Accent6 173 2 2" xfId="21004"/>
    <cellStyle name="40% - Accent6 173 3" xfId="21005"/>
    <cellStyle name="40% - Accent6 173 3 2" xfId="21006"/>
    <cellStyle name="40% - Accent6 173 4" xfId="21007"/>
    <cellStyle name="40% - Accent6 174" xfId="21008"/>
    <cellStyle name="40% - Accent6 174 2" xfId="21009"/>
    <cellStyle name="40% - Accent6 174 2 2" xfId="21010"/>
    <cellStyle name="40% - Accent6 174 3" xfId="21011"/>
    <cellStyle name="40% - Accent6 174 3 2" xfId="21012"/>
    <cellStyle name="40% - Accent6 174 4" xfId="21013"/>
    <cellStyle name="40% - Accent6 175" xfId="21014"/>
    <cellStyle name="40% - Accent6 175 2" xfId="21015"/>
    <cellStyle name="40% - Accent6 175 2 2" xfId="21016"/>
    <cellStyle name="40% - Accent6 175 3" xfId="21017"/>
    <cellStyle name="40% - Accent6 175 3 2" xfId="21018"/>
    <cellStyle name="40% - Accent6 175 4" xfId="21019"/>
    <cellStyle name="40% - Accent6 176" xfId="21020"/>
    <cellStyle name="40% - Accent6 176 2" xfId="21021"/>
    <cellStyle name="40% - Accent6 176 2 2" xfId="21022"/>
    <cellStyle name="40% - Accent6 176 3" xfId="21023"/>
    <cellStyle name="40% - Accent6 176 3 2" xfId="21024"/>
    <cellStyle name="40% - Accent6 176 4" xfId="21025"/>
    <cellStyle name="40% - Accent6 177" xfId="21026"/>
    <cellStyle name="40% - Accent6 177 2" xfId="21027"/>
    <cellStyle name="40% - Accent6 177 2 2" xfId="21028"/>
    <cellStyle name="40% - Accent6 177 3" xfId="21029"/>
    <cellStyle name="40% - Accent6 177 3 2" xfId="21030"/>
    <cellStyle name="40% - Accent6 177 4" xfId="21031"/>
    <cellStyle name="40% - Accent6 178" xfId="21032"/>
    <cellStyle name="40% - Accent6 178 2" xfId="21033"/>
    <cellStyle name="40% - Accent6 178 2 2" xfId="21034"/>
    <cellStyle name="40% - Accent6 178 3" xfId="21035"/>
    <cellStyle name="40% - Accent6 178 3 2" xfId="21036"/>
    <cellStyle name="40% - Accent6 178 4" xfId="21037"/>
    <cellStyle name="40% - Accent6 179" xfId="21038"/>
    <cellStyle name="40% - Accent6 179 2" xfId="21039"/>
    <cellStyle name="40% - Accent6 179 2 2" xfId="21040"/>
    <cellStyle name="40% - Accent6 179 3" xfId="21041"/>
    <cellStyle name="40% - Accent6 179 3 2" xfId="21042"/>
    <cellStyle name="40% - Accent6 179 4" xfId="21043"/>
    <cellStyle name="40% - Accent6 18" xfId="21044"/>
    <cellStyle name="40% - Accent6 18 2" xfId="21045"/>
    <cellStyle name="40% - Accent6 18 2 2" xfId="21046"/>
    <cellStyle name="40% - Accent6 18 2 2 2" xfId="21047"/>
    <cellStyle name="40% - Accent6 18 2 3" xfId="21048"/>
    <cellStyle name="40% - Accent6 18 2 3 2" xfId="21049"/>
    <cellStyle name="40% - Accent6 18 2 4" xfId="21050"/>
    <cellStyle name="40% - Accent6 18 3" xfId="21051"/>
    <cellStyle name="40% - Accent6 18 3 2" xfId="21052"/>
    <cellStyle name="40% - Accent6 18 3 2 2" xfId="21053"/>
    <cellStyle name="40% - Accent6 18 3 3" xfId="21054"/>
    <cellStyle name="40% - Accent6 18 3 3 2" xfId="21055"/>
    <cellStyle name="40% - Accent6 18 3 4" xfId="21056"/>
    <cellStyle name="40% - Accent6 18 4" xfId="21057"/>
    <cellStyle name="40% - Accent6 18 4 2" xfId="21058"/>
    <cellStyle name="40% - Accent6 18 5" xfId="21059"/>
    <cellStyle name="40% - Accent6 18 5 2" xfId="21060"/>
    <cellStyle name="40% - Accent6 18 6" xfId="21061"/>
    <cellStyle name="40% - Accent6 180" xfId="21062"/>
    <cellStyle name="40% - Accent6 180 2" xfId="21063"/>
    <cellStyle name="40% - Accent6 180 2 2" xfId="21064"/>
    <cellStyle name="40% - Accent6 180 3" xfId="21065"/>
    <cellStyle name="40% - Accent6 180 3 2" xfId="21066"/>
    <cellStyle name="40% - Accent6 180 4" xfId="21067"/>
    <cellStyle name="40% - Accent6 181" xfId="21068"/>
    <cellStyle name="40% - Accent6 181 2" xfId="21069"/>
    <cellStyle name="40% - Accent6 181 2 2" xfId="21070"/>
    <cellStyle name="40% - Accent6 181 3" xfId="21071"/>
    <cellStyle name="40% - Accent6 181 3 2" xfId="21072"/>
    <cellStyle name="40% - Accent6 181 4" xfId="21073"/>
    <cellStyle name="40% - Accent6 182" xfId="21074"/>
    <cellStyle name="40% - Accent6 182 2" xfId="21075"/>
    <cellStyle name="40% - Accent6 182 2 2" xfId="21076"/>
    <cellStyle name="40% - Accent6 182 3" xfId="21077"/>
    <cellStyle name="40% - Accent6 182 3 2" xfId="21078"/>
    <cellStyle name="40% - Accent6 182 4" xfId="21079"/>
    <cellStyle name="40% - Accent6 183" xfId="21080"/>
    <cellStyle name="40% - Accent6 183 2" xfId="21081"/>
    <cellStyle name="40% - Accent6 183 2 2" xfId="21082"/>
    <cellStyle name="40% - Accent6 183 3" xfId="21083"/>
    <cellStyle name="40% - Accent6 183 3 2" xfId="21084"/>
    <cellStyle name="40% - Accent6 183 4" xfId="21085"/>
    <cellStyle name="40% - Accent6 184" xfId="21086"/>
    <cellStyle name="40% - Accent6 184 2" xfId="21087"/>
    <cellStyle name="40% - Accent6 184 2 2" xfId="21088"/>
    <cellStyle name="40% - Accent6 184 3" xfId="21089"/>
    <cellStyle name="40% - Accent6 184 3 2" xfId="21090"/>
    <cellStyle name="40% - Accent6 184 4" xfId="21091"/>
    <cellStyle name="40% - Accent6 185" xfId="21092"/>
    <cellStyle name="40% - Accent6 185 2" xfId="21093"/>
    <cellStyle name="40% - Accent6 185 2 2" xfId="21094"/>
    <cellStyle name="40% - Accent6 185 3" xfId="21095"/>
    <cellStyle name="40% - Accent6 185 3 2" xfId="21096"/>
    <cellStyle name="40% - Accent6 185 4" xfId="21097"/>
    <cellStyle name="40% - Accent6 186" xfId="21098"/>
    <cellStyle name="40% - Accent6 186 2" xfId="21099"/>
    <cellStyle name="40% - Accent6 186 2 2" xfId="21100"/>
    <cellStyle name="40% - Accent6 186 3" xfId="21101"/>
    <cellStyle name="40% - Accent6 186 3 2" xfId="21102"/>
    <cellStyle name="40% - Accent6 186 4" xfId="21103"/>
    <cellStyle name="40% - Accent6 187" xfId="21104"/>
    <cellStyle name="40% - Accent6 187 2" xfId="21105"/>
    <cellStyle name="40% - Accent6 187 2 2" xfId="21106"/>
    <cellStyle name="40% - Accent6 187 3" xfId="21107"/>
    <cellStyle name="40% - Accent6 187 3 2" xfId="21108"/>
    <cellStyle name="40% - Accent6 187 4" xfId="21109"/>
    <cellStyle name="40% - Accent6 188" xfId="21110"/>
    <cellStyle name="40% - Accent6 188 2" xfId="21111"/>
    <cellStyle name="40% - Accent6 188 2 2" xfId="21112"/>
    <cellStyle name="40% - Accent6 188 3" xfId="21113"/>
    <cellStyle name="40% - Accent6 188 3 2" xfId="21114"/>
    <cellStyle name="40% - Accent6 188 4" xfId="21115"/>
    <cellStyle name="40% - Accent6 189" xfId="21116"/>
    <cellStyle name="40% - Accent6 189 2" xfId="21117"/>
    <cellStyle name="40% - Accent6 189 2 2" xfId="21118"/>
    <cellStyle name="40% - Accent6 189 3" xfId="21119"/>
    <cellStyle name="40% - Accent6 189 3 2" xfId="21120"/>
    <cellStyle name="40% - Accent6 189 4" xfId="21121"/>
    <cellStyle name="40% - Accent6 19" xfId="21122"/>
    <cellStyle name="40% - Accent6 19 2" xfId="21123"/>
    <cellStyle name="40% - Accent6 19 2 2" xfId="21124"/>
    <cellStyle name="40% - Accent6 19 2 2 2" xfId="21125"/>
    <cellStyle name="40% - Accent6 19 2 3" xfId="21126"/>
    <cellStyle name="40% - Accent6 19 2 3 2" xfId="21127"/>
    <cellStyle name="40% - Accent6 19 2 4" xfId="21128"/>
    <cellStyle name="40% - Accent6 19 3" xfId="21129"/>
    <cellStyle name="40% - Accent6 19 3 2" xfId="21130"/>
    <cellStyle name="40% - Accent6 19 3 2 2" xfId="21131"/>
    <cellStyle name="40% - Accent6 19 3 3" xfId="21132"/>
    <cellStyle name="40% - Accent6 19 3 3 2" xfId="21133"/>
    <cellStyle name="40% - Accent6 19 3 4" xfId="21134"/>
    <cellStyle name="40% - Accent6 19 4" xfId="21135"/>
    <cellStyle name="40% - Accent6 19 4 2" xfId="21136"/>
    <cellStyle name="40% - Accent6 19 5" xfId="21137"/>
    <cellStyle name="40% - Accent6 19 5 2" xfId="21138"/>
    <cellStyle name="40% - Accent6 19 6" xfId="21139"/>
    <cellStyle name="40% - Accent6 190" xfId="21140"/>
    <cellStyle name="40% - Accent6 190 2" xfId="21141"/>
    <cellStyle name="40% - Accent6 190 2 2" xfId="21142"/>
    <cellStyle name="40% - Accent6 190 3" xfId="21143"/>
    <cellStyle name="40% - Accent6 190 3 2" xfId="21144"/>
    <cellStyle name="40% - Accent6 190 4" xfId="21145"/>
    <cellStyle name="40% - Accent6 191" xfId="21146"/>
    <cellStyle name="40% - Accent6 191 2" xfId="21147"/>
    <cellStyle name="40% - Accent6 191 2 2" xfId="21148"/>
    <cellStyle name="40% - Accent6 191 3" xfId="21149"/>
    <cellStyle name="40% - Accent6 191 3 2" xfId="21150"/>
    <cellStyle name="40% - Accent6 191 4" xfId="21151"/>
    <cellStyle name="40% - Accent6 192" xfId="21152"/>
    <cellStyle name="40% - Accent6 192 2" xfId="21153"/>
    <cellStyle name="40% - Accent6 192 2 2" xfId="21154"/>
    <cellStyle name="40% - Accent6 192 3" xfId="21155"/>
    <cellStyle name="40% - Accent6 192 3 2" xfId="21156"/>
    <cellStyle name="40% - Accent6 192 4" xfId="21157"/>
    <cellStyle name="40% - Accent6 193" xfId="21158"/>
    <cellStyle name="40% - Accent6 193 2" xfId="21159"/>
    <cellStyle name="40% - Accent6 193 2 2" xfId="21160"/>
    <cellStyle name="40% - Accent6 193 3" xfId="21161"/>
    <cellStyle name="40% - Accent6 193 3 2" xfId="21162"/>
    <cellStyle name="40% - Accent6 193 4" xfId="21163"/>
    <cellStyle name="40% - Accent6 194" xfId="21164"/>
    <cellStyle name="40% - Accent6 194 2" xfId="21165"/>
    <cellStyle name="40% - Accent6 194 2 2" xfId="21166"/>
    <cellStyle name="40% - Accent6 194 3" xfId="21167"/>
    <cellStyle name="40% - Accent6 194 3 2" xfId="21168"/>
    <cellStyle name="40% - Accent6 194 4" xfId="21169"/>
    <cellStyle name="40% - Accent6 195" xfId="21170"/>
    <cellStyle name="40% - Accent6 195 2" xfId="21171"/>
    <cellStyle name="40% - Accent6 195 2 2" xfId="21172"/>
    <cellStyle name="40% - Accent6 195 3" xfId="21173"/>
    <cellStyle name="40% - Accent6 195 3 2" xfId="21174"/>
    <cellStyle name="40% - Accent6 195 4" xfId="21175"/>
    <cellStyle name="40% - Accent6 196" xfId="21176"/>
    <cellStyle name="40% - Accent6 196 2" xfId="21177"/>
    <cellStyle name="40% - Accent6 196 2 2" xfId="21178"/>
    <cellStyle name="40% - Accent6 196 3" xfId="21179"/>
    <cellStyle name="40% - Accent6 196 3 2" xfId="21180"/>
    <cellStyle name="40% - Accent6 196 4" xfId="21181"/>
    <cellStyle name="40% - Accent6 197" xfId="21182"/>
    <cellStyle name="40% - Accent6 197 2" xfId="21183"/>
    <cellStyle name="40% - Accent6 197 2 2" xfId="21184"/>
    <cellStyle name="40% - Accent6 197 3" xfId="21185"/>
    <cellStyle name="40% - Accent6 197 3 2" xfId="21186"/>
    <cellStyle name="40% - Accent6 197 4" xfId="21187"/>
    <cellStyle name="40% - Accent6 198" xfId="21188"/>
    <cellStyle name="40% - Accent6 198 2" xfId="21189"/>
    <cellStyle name="40% - Accent6 198 2 2" xfId="21190"/>
    <cellStyle name="40% - Accent6 198 3" xfId="21191"/>
    <cellStyle name="40% - Accent6 198 3 2" xfId="21192"/>
    <cellStyle name="40% - Accent6 198 4" xfId="21193"/>
    <cellStyle name="40% - Accent6 199" xfId="21194"/>
    <cellStyle name="40% - Accent6 199 2" xfId="21195"/>
    <cellStyle name="40% - Accent6 199 2 2" xfId="21196"/>
    <cellStyle name="40% - Accent6 199 3" xfId="21197"/>
    <cellStyle name="40% - Accent6 199 3 2" xfId="21198"/>
    <cellStyle name="40% - Accent6 199 4" xfId="21199"/>
    <cellStyle name="40% - Accent6 2" xfId="21200"/>
    <cellStyle name="40% - Accent6 2 2" xfId="21201"/>
    <cellStyle name="40% - Accent6 2 2 2" xfId="21202"/>
    <cellStyle name="40% - Accent6 2 2 2 2" xfId="21203"/>
    <cellStyle name="40% - Accent6 2 2 3" xfId="21204"/>
    <cellStyle name="40% - Accent6 2 2 3 2" xfId="21205"/>
    <cellStyle name="40% - Accent6 2 2 4" xfId="21206"/>
    <cellStyle name="40% - Accent6 2 3" xfId="21207"/>
    <cellStyle name="40% - Accent6 2 3 2" xfId="21208"/>
    <cellStyle name="40% - Accent6 2 3 2 2" xfId="21209"/>
    <cellStyle name="40% - Accent6 2 3 3" xfId="21210"/>
    <cellStyle name="40% - Accent6 2 3 3 2" xfId="21211"/>
    <cellStyle name="40% - Accent6 2 3 4" xfId="21212"/>
    <cellStyle name="40% - Accent6 2 4" xfId="21213"/>
    <cellStyle name="40% - Accent6 2 4 2" xfId="21214"/>
    <cellStyle name="40% - Accent6 2 5" xfId="21215"/>
    <cellStyle name="40% - Accent6 2 5 2" xfId="21216"/>
    <cellStyle name="40% - Accent6 2 6" xfId="21217"/>
    <cellStyle name="40% - Accent6 20" xfId="21218"/>
    <cellStyle name="40% - Accent6 20 2" xfId="21219"/>
    <cellStyle name="40% - Accent6 20 2 2" xfId="21220"/>
    <cellStyle name="40% - Accent6 20 2 2 2" xfId="21221"/>
    <cellStyle name="40% - Accent6 20 2 3" xfId="21222"/>
    <cellStyle name="40% - Accent6 20 2 3 2" xfId="21223"/>
    <cellStyle name="40% - Accent6 20 2 4" xfId="21224"/>
    <cellStyle name="40% - Accent6 20 3" xfId="21225"/>
    <cellStyle name="40% - Accent6 20 3 2" xfId="21226"/>
    <cellStyle name="40% - Accent6 20 3 2 2" xfId="21227"/>
    <cellStyle name="40% - Accent6 20 3 3" xfId="21228"/>
    <cellStyle name="40% - Accent6 20 3 3 2" xfId="21229"/>
    <cellStyle name="40% - Accent6 20 3 4" xfId="21230"/>
    <cellStyle name="40% - Accent6 20 4" xfId="21231"/>
    <cellStyle name="40% - Accent6 20 4 2" xfId="21232"/>
    <cellStyle name="40% - Accent6 20 5" xfId="21233"/>
    <cellStyle name="40% - Accent6 20 5 2" xfId="21234"/>
    <cellStyle name="40% - Accent6 20 6" xfId="21235"/>
    <cellStyle name="40% - Accent6 200" xfId="21236"/>
    <cellStyle name="40% - Accent6 200 2" xfId="21237"/>
    <cellStyle name="40% - Accent6 200 2 2" xfId="21238"/>
    <cellStyle name="40% - Accent6 200 3" xfId="21239"/>
    <cellStyle name="40% - Accent6 200 3 2" xfId="21240"/>
    <cellStyle name="40% - Accent6 200 4" xfId="21241"/>
    <cellStyle name="40% - Accent6 201" xfId="21242"/>
    <cellStyle name="40% - Accent6 201 2" xfId="21243"/>
    <cellStyle name="40% - Accent6 201 2 2" xfId="21244"/>
    <cellStyle name="40% - Accent6 201 3" xfId="21245"/>
    <cellStyle name="40% - Accent6 201 3 2" xfId="21246"/>
    <cellStyle name="40% - Accent6 201 4" xfId="21247"/>
    <cellStyle name="40% - Accent6 202" xfId="21248"/>
    <cellStyle name="40% - Accent6 202 2" xfId="21249"/>
    <cellStyle name="40% - Accent6 202 2 2" xfId="21250"/>
    <cellStyle name="40% - Accent6 202 3" xfId="21251"/>
    <cellStyle name="40% - Accent6 202 3 2" xfId="21252"/>
    <cellStyle name="40% - Accent6 202 4" xfId="21253"/>
    <cellStyle name="40% - Accent6 203" xfId="21254"/>
    <cellStyle name="40% - Accent6 203 2" xfId="21255"/>
    <cellStyle name="40% - Accent6 203 2 2" xfId="21256"/>
    <cellStyle name="40% - Accent6 203 3" xfId="21257"/>
    <cellStyle name="40% - Accent6 203 3 2" xfId="21258"/>
    <cellStyle name="40% - Accent6 203 4" xfId="21259"/>
    <cellStyle name="40% - Accent6 204" xfId="21260"/>
    <cellStyle name="40% - Accent6 204 2" xfId="21261"/>
    <cellStyle name="40% - Accent6 204 2 2" xfId="21262"/>
    <cellStyle name="40% - Accent6 204 3" xfId="21263"/>
    <cellStyle name="40% - Accent6 204 3 2" xfId="21264"/>
    <cellStyle name="40% - Accent6 204 4" xfId="21265"/>
    <cellStyle name="40% - Accent6 205" xfId="21266"/>
    <cellStyle name="40% - Accent6 205 2" xfId="21267"/>
    <cellStyle name="40% - Accent6 205 2 2" xfId="21268"/>
    <cellStyle name="40% - Accent6 205 3" xfId="21269"/>
    <cellStyle name="40% - Accent6 205 3 2" xfId="21270"/>
    <cellStyle name="40% - Accent6 205 4" xfId="21271"/>
    <cellStyle name="40% - Accent6 206" xfId="21272"/>
    <cellStyle name="40% - Accent6 206 2" xfId="21273"/>
    <cellStyle name="40% - Accent6 206 2 2" xfId="21274"/>
    <cellStyle name="40% - Accent6 206 3" xfId="21275"/>
    <cellStyle name="40% - Accent6 206 3 2" xfId="21276"/>
    <cellStyle name="40% - Accent6 206 4" xfId="21277"/>
    <cellStyle name="40% - Accent6 207" xfId="21278"/>
    <cellStyle name="40% - Accent6 207 2" xfId="21279"/>
    <cellStyle name="40% - Accent6 207 2 2" xfId="21280"/>
    <cellStyle name="40% - Accent6 207 3" xfId="21281"/>
    <cellStyle name="40% - Accent6 207 3 2" xfId="21282"/>
    <cellStyle name="40% - Accent6 207 4" xfId="21283"/>
    <cellStyle name="40% - Accent6 208" xfId="21284"/>
    <cellStyle name="40% - Accent6 208 2" xfId="21285"/>
    <cellStyle name="40% - Accent6 208 2 2" xfId="21286"/>
    <cellStyle name="40% - Accent6 208 3" xfId="21287"/>
    <cellStyle name="40% - Accent6 208 3 2" xfId="21288"/>
    <cellStyle name="40% - Accent6 208 4" xfId="21289"/>
    <cellStyle name="40% - Accent6 209" xfId="21290"/>
    <cellStyle name="40% - Accent6 209 2" xfId="21291"/>
    <cellStyle name="40% - Accent6 209 2 2" xfId="21292"/>
    <cellStyle name="40% - Accent6 209 3" xfId="21293"/>
    <cellStyle name="40% - Accent6 209 3 2" xfId="21294"/>
    <cellStyle name="40% - Accent6 209 4" xfId="21295"/>
    <cellStyle name="40% - Accent6 21" xfId="21296"/>
    <cellStyle name="40% - Accent6 21 2" xfId="21297"/>
    <cellStyle name="40% - Accent6 21 2 2" xfId="21298"/>
    <cellStyle name="40% - Accent6 21 2 2 2" xfId="21299"/>
    <cellStyle name="40% - Accent6 21 2 3" xfId="21300"/>
    <cellStyle name="40% - Accent6 21 2 3 2" xfId="21301"/>
    <cellStyle name="40% - Accent6 21 2 4" xfId="21302"/>
    <cellStyle name="40% - Accent6 21 3" xfId="21303"/>
    <cellStyle name="40% - Accent6 21 3 2" xfId="21304"/>
    <cellStyle name="40% - Accent6 21 3 2 2" xfId="21305"/>
    <cellStyle name="40% - Accent6 21 3 3" xfId="21306"/>
    <cellStyle name="40% - Accent6 21 3 3 2" xfId="21307"/>
    <cellStyle name="40% - Accent6 21 3 4" xfId="21308"/>
    <cellStyle name="40% - Accent6 21 4" xfId="21309"/>
    <cellStyle name="40% - Accent6 21 4 2" xfId="21310"/>
    <cellStyle name="40% - Accent6 21 5" xfId="21311"/>
    <cellStyle name="40% - Accent6 21 5 2" xfId="21312"/>
    <cellStyle name="40% - Accent6 21 6" xfId="21313"/>
    <cellStyle name="40% - Accent6 210" xfId="21314"/>
    <cellStyle name="40% - Accent6 210 2" xfId="21315"/>
    <cellStyle name="40% - Accent6 210 2 2" xfId="21316"/>
    <cellStyle name="40% - Accent6 210 3" xfId="21317"/>
    <cellStyle name="40% - Accent6 210 3 2" xfId="21318"/>
    <cellStyle name="40% - Accent6 210 4" xfId="21319"/>
    <cellStyle name="40% - Accent6 211" xfId="21320"/>
    <cellStyle name="40% - Accent6 211 2" xfId="21321"/>
    <cellStyle name="40% - Accent6 211 2 2" xfId="21322"/>
    <cellStyle name="40% - Accent6 211 3" xfId="21323"/>
    <cellStyle name="40% - Accent6 211 3 2" xfId="21324"/>
    <cellStyle name="40% - Accent6 211 4" xfId="21325"/>
    <cellStyle name="40% - Accent6 212" xfId="21326"/>
    <cellStyle name="40% - Accent6 212 2" xfId="21327"/>
    <cellStyle name="40% - Accent6 212 2 2" xfId="21328"/>
    <cellStyle name="40% - Accent6 212 3" xfId="21329"/>
    <cellStyle name="40% - Accent6 212 3 2" xfId="21330"/>
    <cellStyle name="40% - Accent6 212 4" xfId="21331"/>
    <cellStyle name="40% - Accent6 213" xfId="21332"/>
    <cellStyle name="40% - Accent6 213 2" xfId="21333"/>
    <cellStyle name="40% - Accent6 213 2 2" xfId="21334"/>
    <cellStyle name="40% - Accent6 213 3" xfId="21335"/>
    <cellStyle name="40% - Accent6 213 3 2" xfId="21336"/>
    <cellStyle name="40% - Accent6 213 4" xfId="21337"/>
    <cellStyle name="40% - Accent6 214" xfId="21338"/>
    <cellStyle name="40% - Accent6 214 2" xfId="21339"/>
    <cellStyle name="40% - Accent6 214 2 2" xfId="21340"/>
    <cellStyle name="40% - Accent6 214 3" xfId="21341"/>
    <cellStyle name="40% - Accent6 214 3 2" xfId="21342"/>
    <cellStyle name="40% - Accent6 214 4" xfId="21343"/>
    <cellStyle name="40% - Accent6 215" xfId="21344"/>
    <cellStyle name="40% - Accent6 215 2" xfId="21345"/>
    <cellStyle name="40% - Accent6 215 2 2" xfId="21346"/>
    <cellStyle name="40% - Accent6 215 3" xfId="21347"/>
    <cellStyle name="40% - Accent6 215 3 2" xfId="21348"/>
    <cellStyle name="40% - Accent6 215 4" xfId="21349"/>
    <cellStyle name="40% - Accent6 216" xfId="21350"/>
    <cellStyle name="40% - Accent6 216 2" xfId="21351"/>
    <cellStyle name="40% - Accent6 216 2 2" xfId="21352"/>
    <cellStyle name="40% - Accent6 216 3" xfId="21353"/>
    <cellStyle name="40% - Accent6 216 3 2" xfId="21354"/>
    <cellStyle name="40% - Accent6 216 4" xfId="21355"/>
    <cellStyle name="40% - Accent6 217" xfId="21356"/>
    <cellStyle name="40% - Accent6 217 2" xfId="21357"/>
    <cellStyle name="40% - Accent6 217 2 2" xfId="21358"/>
    <cellStyle name="40% - Accent6 217 3" xfId="21359"/>
    <cellStyle name="40% - Accent6 217 3 2" xfId="21360"/>
    <cellStyle name="40% - Accent6 217 4" xfId="21361"/>
    <cellStyle name="40% - Accent6 218" xfId="21362"/>
    <cellStyle name="40% - Accent6 218 2" xfId="21363"/>
    <cellStyle name="40% - Accent6 218 2 2" xfId="21364"/>
    <cellStyle name="40% - Accent6 218 3" xfId="21365"/>
    <cellStyle name="40% - Accent6 218 3 2" xfId="21366"/>
    <cellStyle name="40% - Accent6 218 4" xfId="21367"/>
    <cellStyle name="40% - Accent6 219" xfId="21368"/>
    <cellStyle name="40% - Accent6 219 2" xfId="21369"/>
    <cellStyle name="40% - Accent6 219 2 2" xfId="21370"/>
    <cellStyle name="40% - Accent6 219 3" xfId="21371"/>
    <cellStyle name="40% - Accent6 219 3 2" xfId="21372"/>
    <cellStyle name="40% - Accent6 219 4" xfId="21373"/>
    <cellStyle name="40% - Accent6 22" xfId="21374"/>
    <cellStyle name="40% - Accent6 22 2" xfId="21375"/>
    <cellStyle name="40% - Accent6 22 2 2" xfId="21376"/>
    <cellStyle name="40% - Accent6 22 2 2 2" xfId="21377"/>
    <cellStyle name="40% - Accent6 22 2 3" xfId="21378"/>
    <cellStyle name="40% - Accent6 22 2 3 2" xfId="21379"/>
    <cellStyle name="40% - Accent6 22 2 4" xfId="21380"/>
    <cellStyle name="40% - Accent6 22 3" xfId="21381"/>
    <cellStyle name="40% - Accent6 22 3 2" xfId="21382"/>
    <cellStyle name="40% - Accent6 22 3 2 2" xfId="21383"/>
    <cellStyle name="40% - Accent6 22 3 3" xfId="21384"/>
    <cellStyle name="40% - Accent6 22 3 3 2" xfId="21385"/>
    <cellStyle name="40% - Accent6 22 3 4" xfId="21386"/>
    <cellStyle name="40% - Accent6 22 4" xfId="21387"/>
    <cellStyle name="40% - Accent6 22 4 2" xfId="21388"/>
    <cellStyle name="40% - Accent6 22 5" xfId="21389"/>
    <cellStyle name="40% - Accent6 22 5 2" xfId="21390"/>
    <cellStyle name="40% - Accent6 22 6" xfId="21391"/>
    <cellStyle name="40% - Accent6 220" xfId="21392"/>
    <cellStyle name="40% - Accent6 220 2" xfId="21393"/>
    <cellStyle name="40% - Accent6 220 2 2" xfId="21394"/>
    <cellStyle name="40% - Accent6 220 3" xfId="21395"/>
    <cellStyle name="40% - Accent6 220 3 2" xfId="21396"/>
    <cellStyle name="40% - Accent6 220 4" xfId="21397"/>
    <cellStyle name="40% - Accent6 221" xfId="21398"/>
    <cellStyle name="40% - Accent6 221 2" xfId="21399"/>
    <cellStyle name="40% - Accent6 221 2 2" xfId="21400"/>
    <cellStyle name="40% - Accent6 221 3" xfId="21401"/>
    <cellStyle name="40% - Accent6 221 3 2" xfId="21402"/>
    <cellStyle name="40% - Accent6 221 4" xfId="21403"/>
    <cellStyle name="40% - Accent6 222" xfId="21404"/>
    <cellStyle name="40% - Accent6 222 2" xfId="21405"/>
    <cellStyle name="40% - Accent6 223" xfId="21406"/>
    <cellStyle name="40% - Accent6 223 2" xfId="21407"/>
    <cellStyle name="40% - Accent6 224" xfId="21408"/>
    <cellStyle name="40% - Accent6 23" xfId="21409"/>
    <cellStyle name="40% - Accent6 23 2" xfId="21410"/>
    <cellStyle name="40% - Accent6 23 2 2" xfId="21411"/>
    <cellStyle name="40% - Accent6 23 2 2 2" xfId="21412"/>
    <cellStyle name="40% - Accent6 23 2 3" xfId="21413"/>
    <cellStyle name="40% - Accent6 23 2 3 2" xfId="21414"/>
    <cellStyle name="40% - Accent6 23 2 4" xfId="21415"/>
    <cellStyle name="40% - Accent6 23 3" xfId="21416"/>
    <cellStyle name="40% - Accent6 23 3 2" xfId="21417"/>
    <cellStyle name="40% - Accent6 23 3 2 2" xfId="21418"/>
    <cellStyle name="40% - Accent6 23 3 3" xfId="21419"/>
    <cellStyle name="40% - Accent6 23 3 3 2" xfId="21420"/>
    <cellStyle name="40% - Accent6 23 3 4" xfId="21421"/>
    <cellStyle name="40% - Accent6 23 4" xfId="21422"/>
    <cellStyle name="40% - Accent6 23 4 2" xfId="21423"/>
    <cellStyle name="40% - Accent6 23 5" xfId="21424"/>
    <cellStyle name="40% - Accent6 23 5 2" xfId="21425"/>
    <cellStyle name="40% - Accent6 23 6" xfId="21426"/>
    <cellStyle name="40% - Accent6 24" xfId="21427"/>
    <cellStyle name="40% - Accent6 24 2" xfId="21428"/>
    <cellStyle name="40% - Accent6 24 2 2" xfId="21429"/>
    <cellStyle name="40% - Accent6 24 2 2 2" xfId="21430"/>
    <cellStyle name="40% - Accent6 24 2 3" xfId="21431"/>
    <cellStyle name="40% - Accent6 24 2 3 2" xfId="21432"/>
    <cellStyle name="40% - Accent6 24 2 4" xfId="21433"/>
    <cellStyle name="40% - Accent6 24 3" xfId="21434"/>
    <cellStyle name="40% - Accent6 24 3 2" xfId="21435"/>
    <cellStyle name="40% - Accent6 24 3 2 2" xfId="21436"/>
    <cellStyle name="40% - Accent6 24 3 3" xfId="21437"/>
    <cellStyle name="40% - Accent6 24 3 3 2" xfId="21438"/>
    <cellStyle name="40% - Accent6 24 3 4" xfId="21439"/>
    <cellStyle name="40% - Accent6 24 4" xfId="21440"/>
    <cellStyle name="40% - Accent6 24 4 2" xfId="21441"/>
    <cellStyle name="40% - Accent6 24 5" xfId="21442"/>
    <cellStyle name="40% - Accent6 24 5 2" xfId="21443"/>
    <cellStyle name="40% - Accent6 24 6" xfId="21444"/>
    <cellStyle name="40% - Accent6 24 7" xfId="21445"/>
    <cellStyle name="40% - Accent6 25" xfId="21446"/>
    <cellStyle name="40% - Accent6 25 2" xfId="21447"/>
    <cellStyle name="40% - Accent6 25 2 2" xfId="21448"/>
    <cellStyle name="40% - Accent6 25 2 2 2" xfId="21449"/>
    <cellStyle name="40% - Accent6 25 2 3" xfId="21450"/>
    <cellStyle name="40% - Accent6 25 2 3 2" xfId="21451"/>
    <cellStyle name="40% - Accent6 25 2 4" xfId="21452"/>
    <cellStyle name="40% - Accent6 25 3" xfId="21453"/>
    <cellStyle name="40% - Accent6 25 3 2" xfId="21454"/>
    <cellStyle name="40% - Accent6 25 3 2 2" xfId="21455"/>
    <cellStyle name="40% - Accent6 25 3 3" xfId="21456"/>
    <cellStyle name="40% - Accent6 25 3 3 2" xfId="21457"/>
    <cellStyle name="40% - Accent6 25 3 4" xfId="21458"/>
    <cellStyle name="40% - Accent6 25 4" xfId="21459"/>
    <cellStyle name="40% - Accent6 25 4 2" xfId="21460"/>
    <cellStyle name="40% - Accent6 25 5" xfId="21461"/>
    <cellStyle name="40% - Accent6 25 5 2" xfId="21462"/>
    <cellStyle name="40% - Accent6 25 6" xfId="21463"/>
    <cellStyle name="40% - Accent6 25 7" xfId="21464"/>
    <cellStyle name="40% - Accent6 26" xfId="21465"/>
    <cellStyle name="40% - Accent6 26 2" xfId="21466"/>
    <cellStyle name="40% - Accent6 26 2 2" xfId="21467"/>
    <cellStyle name="40% - Accent6 26 2 2 2" xfId="21468"/>
    <cellStyle name="40% - Accent6 26 2 3" xfId="21469"/>
    <cellStyle name="40% - Accent6 26 2 3 2" xfId="21470"/>
    <cellStyle name="40% - Accent6 26 2 4" xfId="21471"/>
    <cellStyle name="40% - Accent6 26 3" xfId="21472"/>
    <cellStyle name="40% - Accent6 26 3 2" xfId="21473"/>
    <cellStyle name="40% - Accent6 26 3 2 2" xfId="21474"/>
    <cellStyle name="40% - Accent6 26 3 3" xfId="21475"/>
    <cellStyle name="40% - Accent6 26 3 3 2" xfId="21476"/>
    <cellStyle name="40% - Accent6 26 3 4" xfId="21477"/>
    <cellStyle name="40% - Accent6 26 4" xfId="21478"/>
    <cellStyle name="40% - Accent6 26 4 2" xfId="21479"/>
    <cellStyle name="40% - Accent6 26 5" xfId="21480"/>
    <cellStyle name="40% - Accent6 26 5 2" xfId="21481"/>
    <cellStyle name="40% - Accent6 26 6" xfId="21482"/>
    <cellStyle name="40% - Accent6 26 7" xfId="21483"/>
    <cellStyle name="40% - Accent6 27" xfId="21484"/>
    <cellStyle name="40% - Accent6 27 2" xfId="21485"/>
    <cellStyle name="40% - Accent6 27 2 2" xfId="21486"/>
    <cellStyle name="40% - Accent6 27 2 2 2" xfId="21487"/>
    <cellStyle name="40% - Accent6 27 2 3" xfId="21488"/>
    <cellStyle name="40% - Accent6 27 2 3 2" xfId="21489"/>
    <cellStyle name="40% - Accent6 27 2 4" xfId="21490"/>
    <cellStyle name="40% - Accent6 27 3" xfId="21491"/>
    <cellStyle name="40% - Accent6 27 3 2" xfId="21492"/>
    <cellStyle name="40% - Accent6 27 3 2 2" xfId="21493"/>
    <cellStyle name="40% - Accent6 27 3 3" xfId="21494"/>
    <cellStyle name="40% - Accent6 27 3 3 2" xfId="21495"/>
    <cellStyle name="40% - Accent6 27 3 4" xfId="21496"/>
    <cellStyle name="40% - Accent6 27 4" xfId="21497"/>
    <cellStyle name="40% - Accent6 27 4 2" xfId="21498"/>
    <cellStyle name="40% - Accent6 27 5" xfId="21499"/>
    <cellStyle name="40% - Accent6 27 5 2" xfId="21500"/>
    <cellStyle name="40% - Accent6 27 6" xfId="21501"/>
    <cellStyle name="40% - Accent6 27 7" xfId="21502"/>
    <cellStyle name="40% - Accent6 28" xfId="21503"/>
    <cellStyle name="40% - Accent6 28 2" xfId="21504"/>
    <cellStyle name="40% - Accent6 28 2 2" xfId="21505"/>
    <cellStyle name="40% - Accent6 28 2 2 2" xfId="21506"/>
    <cellStyle name="40% - Accent6 28 2 3" xfId="21507"/>
    <cellStyle name="40% - Accent6 28 2 3 2" xfId="21508"/>
    <cellStyle name="40% - Accent6 28 2 4" xfId="21509"/>
    <cellStyle name="40% - Accent6 28 3" xfId="21510"/>
    <cellStyle name="40% - Accent6 28 3 2" xfId="21511"/>
    <cellStyle name="40% - Accent6 28 3 2 2" xfId="21512"/>
    <cellStyle name="40% - Accent6 28 3 3" xfId="21513"/>
    <cellStyle name="40% - Accent6 28 3 3 2" xfId="21514"/>
    <cellStyle name="40% - Accent6 28 3 4" xfId="21515"/>
    <cellStyle name="40% - Accent6 28 4" xfId="21516"/>
    <cellStyle name="40% - Accent6 28 4 2" xfId="21517"/>
    <cellStyle name="40% - Accent6 28 5" xfId="21518"/>
    <cellStyle name="40% - Accent6 28 5 2" xfId="21519"/>
    <cellStyle name="40% - Accent6 28 6" xfId="21520"/>
    <cellStyle name="40% - Accent6 28 7" xfId="21521"/>
    <cellStyle name="40% - Accent6 29" xfId="21522"/>
    <cellStyle name="40% - Accent6 29 2" xfId="21523"/>
    <cellStyle name="40% - Accent6 29 2 2" xfId="21524"/>
    <cellStyle name="40% - Accent6 29 2 2 2" xfId="21525"/>
    <cellStyle name="40% - Accent6 29 2 3" xfId="21526"/>
    <cellStyle name="40% - Accent6 29 2 3 2" xfId="21527"/>
    <cellStyle name="40% - Accent6 29 2 4" xfId="21528"/>
    <cellStyle name="40% - Accent6 29 3" xfId="21529"/>
    <cellStyle name="40% - Accent6 29 3 2" xfId="21530"/>
    <cellStyle name="40% - Accent6 29 3 2 2" xfId="21531"/>
    <cellStyle name="40% - Accent6 29 3 3" xfId="21532"/>
    <cellStyle name="40% - Accent6 29 3 3 2" xfId="21533"/>
    <cellStyle name="40% - Accent6 29 3 4" xfId="21534"/>
    <cellStyle name="40% - Accent6 29 4" xfId="21535"/>
    <cellStyle name="40% - Accent6 29 4 2" xfId="21536"/>
    <cellStyle name="40% - Accent6 29 5" xfId="21537"/>
    <cellStyle name="40% - Accent6 29 5 2" xfId="21538"/>
    <cellStyle name="40% - Accent6 29 6" xfId="21539"/>
    <cellStyle name="40% - Accent6 29 7" xfId="21540"/>
    <cellStyle name="40% - Accent6 3" xfId="21541"/>
    <cellStyle name="40% - Accent6 3 2" xfId="21542"/>
    <cellStyle name="40% - Accent6 3 2 2" xfId="21543"/>
    <cellStyle name="40% - Accent6 3 2 2 2" xfId="21544"/>
    <cellStyle name="40% - Accent6 3 2 3" xfId="21545"/>
    <cellStyle name="40% - Accent6 3 2 3 2" xfId="21546"/>
    <cellStyle name="40% - Accent6 3 2 4" xfId="21547"/>
    <cellStyle name="40% - Accent6 3 3" xfId="21548"/>
    <cellStyle name="40% - Accent6 3 3 2" xfId="21549"/>
    <cellStyle name="40% - Accent6 3 3 2 2" xfId="21550"/>
    <cellStyle name="40% - Accent6 3 3 3" xfId="21551"/>
    <cellStyle name="40% - Accent6 3 3 3 2" xfId="21552"/>
    <cellStyle name="40% - Accent6 3 3 4" xfId="21553"/>
    <cellStyle name="40% - Accent6 3 4" xfId="21554"/>
    <cellStyle name="40% - Accent6 3 4 2" xfId="21555"/>
    <cellStyle name="40% - Accent6 3 5" xfId="21556"/>
    <cellStyle name="40% - Accent6 3 5 2" xfId="21557"/>
    <cellStyle name="40% - Accent6 3 6" xfId="21558"/>
    <cellStyle name="40% - Accent6 30" xfId="21559"/>
    <cellStyle name="40% - Accent6 30 2" xfId="21560"/>
    <cellStyle name="40% - Accent6 30 2 2" xfId="21561"/>
    <cellStyle name="40% - Accent6 30 2 2 2" xfId="21562"/>
    <cellStyle name="40% - Accent6 30 2 3" xfId="21563"/>
    <cellStyle name="40% - Accent6 30 2 3 2" xfId="21564"/>
    <cellStyle name="40% - Accent6 30 2 4" xfId="21565"/>
    <cellStyle name="40% - Accent6 30 3" xfId="21566"/>
    <cellStyle name="40% - Accent6 30 3 2" xfId="21567"/>
    <cellStyle name="40% - Accent6 30 3 2 2" xfId="21568"/>
    <cellStyle name="40% - Accent6 30 3 3" xfId="21569"/>
    <cellStyle name="40% - Accent6 30 3 3 2" xfId="21570"/>
    <cellStyle name="40% - Accent6 30 3 4" xfId="21571"/>
    <cellStyle name="40% - Accent6 30 4" xfId="21572"/>
    <cellStyle name="40% - Accent6 30 4 2" xfId="21573"/>
    <cellStyle name="40% - Accent6 30 5" xfId="21574"/>
    <cellStyle name="40% - Accent6 30 5 2" xfId="21575"/>
    <cellStyle name="40% - Accent6 30 6" xfId="21576"/>
    <cellStyle name="40% - Accent6 30 7" xfId="21577"/>
    <cellStyle name="40% - Accent6 31" xfId="21578"/>
    <cellStyle name="40% - Accent6 31 2" xfId="21579"/>
    <cellStyle name="40% - Accent6 31 2 2" xfId="21580"/>
    <cellStyle name="40% - Accent6 31 2 2 2" xfId="21581"/>
    <cellStyle name="40% - Accent6 31 2 3" xfId="21582"/>
    <cellStyle name="40% - Accent6 31 2 3 2" xfId="21583"/>
    <cellStyle name="40% - Accent6 31 2 4" xfId="21584"/>
    <cellStyle name="40% - Accent6 31 3" xfId="21585"/>
    <cellStyle name="40% - Accent6 31 3 2" xfId="21586"/>
    <cellStyle name="40% - Accent6 31 3 2 2" xfId="21587"/>
    <cellStyle name="40% - Accent6 31 3 3" xfId="21588"/>
    <cellStyle name="40% - Accent6 31 3 3 2" xfId="21589"/>
    <cellStyle name="40% - Accent6 31 3 4" xfId="21590"/>
    <cellStyle name="40% - Accent6 31 4" xfId="21591"/>
    <cellStyle name="40% - Accent6 31 4 2" xfId="21592"/>
    <cellStyle name="40% - Accent6 31 5" xfId="21593"/>
    <cellStyle name="40% - Accent6 31 5 2" xfId="21594"/>
    <cellStyle name="40% - Accent6 31 6" xfId="21595"/>
    <cellStyle name="40% - Accent6 31 7" xfId="21596"/>
    <cellStyle name="40% - Accent6 32" xfId="21597"/>
    <cellStyle name="40% - Accent6 32 2" xfId="21598"/>
    <cellStyle name="40% - Accent6 32 2 2" xfId="21599"/>
    <cellStyle name="40% - Accent6 32 2 2 2" xfId="21600"/>
    <cellStyle name="40% - Accent6 32 2 3" xfId="21601"/>
    <cellStyle name="40% - Accent6 32 2 3 2" xfId="21602"/>
    <cellStyle name="40% - Accent6 32 2 4" xfId="21603"/>
    <cellStyle name="40% - Accent6 32 3" xfId="21604"/>
    <cellStyle name="40% - Accent6 32 3 2" xfId="21605"/>
    <cellStyle name="40% - Accent6 32 3 2 2" xfId="21606"/>
    <cellStyle name="40% - Accent6 32 3 3" xfId="21607"/>
    <cellStyle name="40% - Accent6 32 3 3 2" xfId="21608"/>
    <cellStyle name="40% - Accent6 32 3 4" xfId="21609"/>
    <cellStyle name="40% - Accent6 32 4" xfId="21610"/>
    <cellStyle name="40% - Accent6 32 4 2" xfId="21611"/>
    <cellStyle name="40% - Accent6 32 5" xfId="21612"/>
    <cellStyle name="40% - Accent6 32 5 2" xfId="21613"/>
    <cellStyle name="40% - Accent6 32 6" xfId="21614"/>
    <cellStyle name="40% - Accent6 32 7" xfId="21615"/>
    <cellStyle name="40% - Accent6 33" xfId="21616"/>
    <cellStyle name="40% - Accent6 33 2" xfId="21617"/>
    <cellStyle name="40% - Accent6 33 2 2" xfId="21618"/>
    <cellStyle name="40% - Accent6 33 2 2 2" xfId="21619"/>
    <cellStyle name="40% - Accent6 33 2 3" xfId="21620"/>
    <cellStyle name="40% - Accent6 33 2 3 2" xfId="21621"/>
    <cellStyle name="40% - Accent6 33 2 4" xfId="21622"/>
    <cellStyle name="40% - Accent6 33 3" xfId="21623"/>
    <cellStyle name="40% - Accent6 33 3 2" xfId="21624"/>
    <cellStyle name="40% - Accent6 33 3 2 2" xfId="21625"/>
    <cellStyle name="40% - Accent6 33 3 3" xfId="21626"/>
    <cellStyle name="40% - Accent6 33 3 3 2" xfId="21627"/>
    <cellStyle name="40% - Accent6 33 3 4" xfId="21628"/>
    <cellStyle name="40% - Accent6 33 4" xfId="21629"/>
    <cellStyle name="40% - Accent6 33 4 2" xfId="21630"/>
    <cellStyle name="40% - Accent6 33 5" xfId="21631"/>
    <cellStyle name="40% - Accent6 33 5 2" xfId="21632"/>
    <cellStyle name="40% - Accent6 33 6" xfId="21633"/>
    <cellStyle name="40% - Accent6 33 7" xfId="21634"/>
    <cellStyle name="40% - Accent6 34" xfId="21635"/>
    <cellStyle name="40% - Accent6 34 2" xfId="21636"/>
    <cellStyle name="40% - Accent6 34 2 2" xfId="21637"/>
    <cellStyle name="40% - Accent6 34 2 2 2" xfId="21638"/>
    <cellStyle name="40% - Accent6 34 2 3" xfId="21639"/>
    <cellStyle name="40% - Accent6 34 2 3 2" xfId="21640"/>
    <cellStyle name="40% - Accent6 34 2 4" xfId="21641"/>
    <cellStyle name="40% - Accent6 34 3" xfId="21642"/>
    <cellStyle name="40% - Accent6 34 3 2" xfId="21643"/>
    <cellStyle name="40% - Accent6 34 3 2 2" xfId="21644"/>
    <cellStyle name="40% - Accent6 34 3 3" xfId="21645"/>
    <cellStyle name="40% - Accent6 34 3 3 2" xfId="21646"/>
    <cellStyle name="40% - Accent6 34 3 4" xfId="21647"/>
    <cellStyle name="40% - Accent6 34 4" xfId="21648"/>
    <cellStyle name="40% - Accent6 34 4 2" xfId="21649"/>
    <cellStyle name="40% - Accent6 34 5" xfId="21650"/>
    <cellStyle name="40% - Accent6 34 5 2" xfId="21651"/>
    <cellStyle name="40% - Accent6 34 6" xfId="21652"/>
    <cellStyle name="40% - Accent6 34 7" xfId="21653"/>
    <cellStyle name="40% - Accent6 35" xfId="21654"/>
    <cellStyle name="40% - Accent6 35 2" xfId="21655"/>
    <cellStyle name="40% - Accent6 35 2 2" xfId="21656"/>
    <cellStyle name="40% - Accent6 35 2 2 2" xfId="21657"/>
    <cellStyle name="40% - Accent6 35 2 3" xfId="21658"/>
    <cellStyle name="40% - Accent6 35 2 3 2" xfId="21659"/>
    <cellStyle name="40% - Accent6 35 2 4" xfId="21660"/>
    <cellStyle name="40% - Accent6 35 3" xfId="21661"/>
    <cellStyle name="40% - Accent6 35 3 2" xfId="21662"/>
    <cellStyle name="40% - Accent6 35 3 2 2" xfId="21663"/>
    <cellStyle name="40% - Accent6 35 3 3" xfId="21664"/>
    <cellStyle name="40% - Accent6 35 3 3 2" xfId="21665"/>
    <cellStyle name="40% - Accent6 35 3 4" xfId="21666"/>
    <cellStyle name="40% - Accent6 35 4" xfId="21667"/>
    <cellStyle name="40% - Accent6 35 4 2" xfId="21668"/>
    <cellStyle name="40% - Accent6 35 5" xfId="21669"/>
    <cellStyle name="40% - Accent6 35 5 2" xfId="21670"/>
    <cellStyle name="40% - Accent6 35 6" xfId="21671"/>
    <cellStyle name="40% - Accent6 35 7" xfId="21672"/>
    <cellStyle name="40% - Accent6 36" xfId="21673"/>
    <cellStyle name="40% - Accent6 36 2" xfId="21674"/>
    <cellStyle name="40% - Accent6 36 2 2" xfId="21675"/>
    <cellStyle name="40% - Accent6 36 2 2 2" xfId="21676"/>
    <cellStyle name="40% - Accent6 36 2 3" xfId="21677"/>
    <cellStyle name="40% - Accent6 36 2 3 2" xfId="21678"/>
    <cellStyle name="40% - Accent6 36 2 4" xfId="21679"/>
    <cellStyle name="40% - Accent6 36 3" xfId="21680"/>
    <cellStyle name="40% - Accent6 36 3 2" xfId="21681"/>
    <cellStyle name="40% - Accent6 36 3 2 2" xfId="21682"/>
    <cellStyle name="40% - Accent6 36 3 3" xfId="21683"/>
    <cellStyle name="40% - Accent6 36 3 3 2" xfId="21684"/>
    <cellStyle name="40% - Accent6 36 3 4" xfId="21685"/>
    <cellStyle name="40% - Accent6 36 4" xfId="21686"/>
    <cellStyle name="40% - Accent6 36 4 2" xfId="21687"/>
    <cellStyle name="40% - Accent6 36 5" xfId="21688"/>
    <cellStyle name="40% - Accent6 36 5 2" xfId="21689"/>
    <cellStyle name="40% - Accent6 36 6" xfId="21690"/>
    <cellStyle name="40% - Accent6 36 7" xfId="21691"/>
    <cellStyle name="40% - Accent6 37" xfId="21692"/>
    <cellStyle name="40% - Accent6 37 2" xfId="21693"/>
    <cellStyle name="40% - Accent6 37 2 2" xfId="21694"/>
    <cellStyle name="40% - Accent6 37 2 2 2" xfId="21695"/>
    <cellStyle name="40% - Accent6 37 2 3" xfId="21696"/>
    <cellStyle name="40% - Accent6 37 2 3 2" xfId="21697"/>
    <cellStyle name="40% - Accent6 37 2 4" xfId="21698"/>
    <cellStyle name="40% - Accent6 37 3" xfId="21699"/>
    <cellStyle name="40% - Accent6 37 3 2" xfId="21700"/>
    <cellStyle name="40% - Accent6 37 3 2 2" xfId="21701"/>
    <cellStyle name="40% - Accent6 37 3 3" xfId="21702"/>
    <cellStyle name="40% - Accent6 37 3 3 2" xfId="21703"/>
    <cellStyle name="40% - Accent6 37 3 4" xfId="21704"/>
    <cellStyle name="40% - Accent6 37 4" xfId="21705"/>
    <cellStyle name="40% - Accent6 37 4 2" xfId="21706"/>
    <cellStyle name="40% - Accent6 37 5" xfId="21707"/>
    <cellStyle name="40% - Accent6 37 5 2" xfId="21708"/>
    <cellStyle name="40% - Accent6 37 6" xfId="21709"/>
    <cellStyle name="40% - Accent6 37 7" xfId="21710"/>
    <cellStyle name="40% - Accent6 38" xfId="21711"/>
    <cellStyle name="40% - Accent6 38 2" xfId="21712"/>
    <cellStyle name="40% - Accent6 38 2 2" xfId="21713"/>
    <cellStyle name="40% - Accent6 38 2 2 2" xfId="21714"/>
    <cellStyle name="40% - Accent6 38 2 3" xfId="21715"/>
    <cellStyle name="40% - Accent6 38 2 3 2" xfId="21716"/>
    <cellStyle name="40% - Accent6 38 2 4" xfId="21717"/>
    <cellStyle name="40% - Accent6 38 3" xfId="21718"/>
    <cellStyle name="40% - Accent6 38 3 2" xfId="21719"/>
    <cellStyle name="40% - Accent6 38 3 2 2" xfId="21720"/>
    <cellStyle name="40% - Accent6 38 3 3" xfId="21721"/>
    <cellStyle name="40% - Accent6 38 3 3 2" xfId="21722"/>
    <cellStyle name="40% - Accent6 38 3 4" xfId="21723"/>
    <cellStyle name="40% - Accent6 38 4" xfId="21724"/>
    <cellStyle name="40% - Accent6 38 4 2" xfId="21725"/>
    <cellStyle name="40% - Accent6 38 5" xfId="21726"/>
    <cellStyle name="40% - Accent6 38 5 2" xfId="21727"/>
    <cellStyle name="40% - Accent6 38 6" xfId="21728"/>
    <cellStyle name="40% - Accent6 38 7" xfId="21729"/>
    <cellStyle name="40% - Accent6 39" xfId="21730"/>
    <cellStyle name="40% - Accent6 39 2" xfId="21731"/>
    <cellStyle name="40% - Accent6 39 2 2" xfId="21732"/>
    <cellStyle name="40% - Accent6 39 2 2 2" xfId="21733"/>
    <cellStyle name="40% - Accent6 39 2 3" xfId="21734"/>
    <cellStyle name="40% - Accent6 39 2 3 2" xfId="21735"/>
    <cellStyle name="40% - Accent6 39 2 4" xfId="21736"/>
    <cellStyle name="40% - Accent6 39 3" xfId="21737"/>
    <cellStyle name="40% - Accent6 39 3 2" xfId="21738"/>
    <cellStyle name="40% - Accent6 39 3 2 2" xfId="21739"/>
    <cellStyle name="40% - Accent6 39 3 3" xfId="21740"/>
    <cellStyle name="40% - Accent6 39 3 3 2" xfId="21741"/>
    <cellStyle name="40% - Accent6 39 3 4" xfId="21742"/>
    <cellStyle name="40% - Accent6 39 4" xfId="21743"/>
    <cellStyle name="40% - Accent6 39 4 2" xfId="21744"/>
    <cellStyle name="40% - Accent6 39 5" xfId="21745"/>
    <cellStyle name="40% - Accent6 39 5 2" xfId="21746"/>
    <cellStyle name="40% - Accent6 39 6" xfId="21747"/>
    <cellStyle name="40% - Accent6 39 7" xfId="21748"/>
    <cellStyle name="40% - Accent6 4" xfId="21749"/>
    <cellStyle name="40% - Accent6 4 2" xfId="21750"/>
    <cellStyle name="40% - Accent6 4 2 2" xfId="21751"/>
    <cellStyle name="40% - Accent6 4 2 2 2" xfId="21752"/>
    <cellStyle name="40% - Accent6 4 2 3" xfId="21753"/>
    <cellStyle name="40% - Accent6 4 2 3 2" xfId="21754"/>
    <cellStyle name="40% - Accent6 4 2 4" xfId="21755"/>
    <cellStyle name="40% - Accent6 4 3" xfId="21756"/>
    <cellStyle name="40% - Accent6 4 3 2" xfId="21757"/>
    <cellStyle name="40% - Accent6 4 3 2 2" xfId="21758"/>
    <cellStyle name="40% - Accent6 4 3 3" xfId="21759"/>
    <cellStyle name="40% - Accent6 4 3 3 2" xfId="21760"/>
    <cellStyle name="40% - Accent6 4 3 4" xfId="21761"/>
    <cellStyle name="40% - Accent6 4 4" xfId="21762"/>
    <cellStyle name="40% - Accent6 4 4 2" xfId="21763"/>
    <cellStyle name="40% - Accent6 4 5" xfId="21764"/>
    <cellStyle name="40% - Accent6 4 5 2" xfId="21765"/>
    <cellStyle name="40% - Accent6 4 6" xfId="21766"/>
    <cellStyle name="40% - Accent6 40" xfId="21767"/>
    <cellStyle name="40% - Accent6 40 2" xfId="21768"/>
    <cellStyle name="40% - Accent6 40 2 2" xfId="21769"/>
    <cellStyle name="40% - Accent6 40 2 2 2" xfId="21770"/>
    <cellStyle name="40% - Accent6 40 2 3" xfId="21771"/>
    <cellStyle name="40% - Accent6 40 2 3 2" xfId="21772"/>
    <cellStyle name="40% - Accent6 40 2 4" xfId="21773"/>
    <cellStyle name="40% - Accent6 40 3" xfId="21774"/>
    <cellStyle name="40% - Accent6 40 3 2" xfId="21775"/>
    <cellStyle name="40% - Accent6 40 3 2 2" xfId="21776"/>
    <cellStyle name="40% - Accent6 40 3 3" xfId="21777"/>
    <cellStyle name="40% - Accent6 40 3 3 2" xfId="21778"/>
    <cellStyle name="40% - Accent6 40 3 4" xfId="21779"/>
    <cellStyle name="40% - Accent6 40 4" xfId="21780"/>
    <cellStyle name="40% - Accent6 40 4 2" xfId="21781"/>
    <cellStyle name="40% - Accent6 40 5" xfId="21782"/>
    <cellStyle name="40% - Accent6 40 5 2" xfId="21783"/>
    <cellStyle name="40% - Accent6 40 6" xfId="21784"/>
    <cellStyle name="40% - Accent6 40 7" xfId="21785"/>
    <cellStyle name="40% - Accent6 41" xfId="21786"/>
    <cellStyle name="40% - Accent6 41 2" xfId="21787"/>
    <cellStyle name="40% - Accent6 41 2 2" xfId="21788"/>
    <cellStyle name="40% - Accent6 41 2 2 2" xfId="21789"/>
    <cellStyle name="40% - Accent6 41 2 3" xfId="21790"/>
    <cellStyle name="40% - Accent6 41 2 3 2" xfId="21791"/>
    <cellStyle name="40% - Accent6 41 2 4" xfId="21792"/>
    <cellStyle name="40% - Accent6 41 3" xfId="21793"/>
    <cellStyle name="40% - Accent6 41 3 2" xfId="21794"/>
    <cellStyle name="40% - Accent6 41 3 2 2" xfId="21795"/>
    <cellStyle name="40% - Accent6 41 3 3" xfId="21796"/>
    <cellStyle name="40% - Accent6 41 3 3 2" xfId="21797"/>
    <cellStyle name="40% - Accent6 41 3 4" xfId="21798"/>
    <cellStyle name="40% - Accent6 41 4" xfId="21799"/>
    <cellStyle name="40% - Accent6 41 4 2" xfId="21800"/>
    <cellStyle name="40% - Accent6 41 5" xfId="21801"/>
    <cellStyle name="40% - Accent6 41 5 2" xfId="21802"/>
    <cellStyle name="40% - Accent6 41 6" xfId="21803"/>
    <cellStyle name="40% - Accent6 41 7" xfId="21804"/>
    <cellStyle name="40% - Accent6 42" xfId="21805"/>
    <cellStyle name="40% - Accent6 42 2" xfId="21806"/>
    <cellStyle name="40% - Accent6 42 2 2" xfId="21807"/>
    <cellStyle name="40% - Accent6 42 3" xfId="21808"/>
    <cellStyle name="40% - Accent6 42 3 2" xfId="21809"/>
    <cellStyle name="40% - Accent6 42 4" xfId="21810"/>
    <cellStyle name="40% - Accent6 42 5" xfId="21811"/>
    <cellStyle name="40% - Accent6 43" xfId="21812"/>
    <cellStyle name="40% - Accent6 43 2" xfId="21813"/>
    <cellStyle name="40% - Accent6 43 2 2" xfId="21814"/>
    <cellStyle name="40% - Accent6 43 3" xfId="21815"/>
    <cellStyle name="40% - Accent6 43 3 2" xfId="21816"/>
    <cellStyle name="40% - Accent6 43 4" xfId="21817"/>
    <cellStyle name="40% - Accent6 43 5" xfId="21818"/>
    <cellStyle name="40% - Accent6 44" xfId="21819"/>
    <cellStyle name="40% - Accent6 44 2" xfId="21820"/>
    <cellStyle name="40% - Accent6 44 2 2" xfId="21821"/>
    <cellStyle name="40% - Accent6 44 3" xfId="21822"/>
    <cellStyle name="40% - Accent6 44 3 2" xfId="21823"/>
    <cellStyle name="40% - Accent6 44 4" xfId="21824"/>
    <cellStyle name="40% - Accent6 44 5" xfId="21825"/>
    <cellStyle name="40% - Accent6 45" xfId="21826"/>
    <cellStyle name="40% - Accent6 45 2" xfId="21827"/>
    <cellStyle name="40% - Accent6 45 2 2" xfId="21828"/>
    <cellStyle name="40% - Accent6 45 3" xfId="21829"/>
    <cellStyle name="40% - Accent6 45 3 2" xfId="21830"/>
    <cellStyle name="40% - Accent6 45 4" xfId="21831"/>
    <cellStyle name="40% - Accent6 45 5" xfId="21832"/>
    <cellStyle name="40% - Accent6 46" xfId="21833"/>
    <cellStyle name="40% - Accent6 46 2" xfId="21834"/>
    <cellStyle name="40% - Accent6 46 2 2" xfId="21835"/>
    <cellStyle name="40% - Accent6 46 3" xfId="21836"/>
    <cellStyle name="40% - Accent6 46 3 2" xfId="21837"/>
    <cellStyle name="40% - Accent6 46 4" xfId="21838"/>
    <cellStyle name="40% - Accent6 46 5" xfId="21839"/>
    <cellStyle name="40% - Accent6 47" xfId="21840"/>
    <cellStyle name="40% - Accent6 47 2" xfId="21841"/>
    <cellStyle name="40% - Accent6 47 2 2" xfId="21842"/>
    <cellStyle name="40% - Accent6 47 3" xfId="21843"/>
    <cellStyle name="40% - Accent6 47 3 2" xfId="21844"/>
    <cellStyle name="40% - Accent6 47 4" xfId="21845"/>
    <cellStyle name="40% - Accent6 47 5" xfId="21846"/>
    <cellStyle name="40% - Accent6 48" xfId="21847"/>
    <cellStyle name="40% - Accent6 48 2" xfId="21848"/>
    <cellStyle name="40% - Accent6 48 2 2" xfId="21849"/>
    <cellStyle name="40% - Accent6 48 3" xfId="21850"/>
    <cellStyle name="40% - Accent6 48 3 2" xfId="21851"/>
    <cellStyle name="40% - Accent6 48 4" xfId="21852"/>
    <cellStyle name="40% - Accent6 48 5" xfId="21853"/>
    <cellStyle name="40% - Accent6 49" xfId="21854"/>
    <cellStyle name="40% - Accent6 49 2" xfId="21855"/>
    <cellStyle name="40% - Accent6 49 2 2" xfId="21856"/>
    <cellStyle name="40% - Accent6 49 3" xfId="21857"/>
    <cellStyle name="40% - Accent6 49 3 2" xfId="21858"/>
    <cellStyle name="40% - Accent6 49 4" xfId="21859"/>
    <cellStyle name="40% - Accent6 49 5" xfId="21860"/>
    <cellStyle name="40% - Accent6 5" xfId="21861"/>
    <cellStyle name="40% - Accent6 5 2" xfId="21862"/>
    <cellStyle name="40% - Accent6 5 2 2" xfId="21863"/>
    <cellStyle name="40% - Accent6 5 2 2 2" xfId="21864"/>
    <cellStyle name="40% - Accent6 5 2 3" xfId="21865"/>
    <cellStyle name="40% - Accent6 5 2 3 2" xfId="21866"/>
    <cellStyle name="40% - Accent6 5 2 4" xfId="21867"/>
    <cellStyle name="40% - Accent6 5 3" xfId="21868"/>
    <cellStyle name="40% - Accent6 5 3 2" xfId="21869"/>
    <cellStyle name="40% - Accent6 5 3 2 2" xfId="21870"/>
    <cellStyle name="40% - Accent6 5 3 3" xfId="21871"/>
    <cellStyle name="40% - Accent6 5 3 3 2" xfId="21872"/>
    <cellStyle name="40% - Accent6 5 3 4" xfId="21873"/>
    <cellStyle name="40% - Accent6 5 4" xfId="21874"/>
    <cellStyle name="40% - Accent6 5 4 2" xfId="21875"/>
    <cellStyle name="40% - Accent6 5 5" xfId="21876"/>
    <cellStyle name="40% - Accent6 5 5 2" xfId="21877"/>
    <cellStyle name="40% - Accent6 5 6" xfId="21878"/>
    <cellStyle name="40% - Accent6 50" xfId="21879"/>
    <cellStyle name="40% - Accent6 50 2" xfId="21880"/>
    <cellStyle name="40% - Accent6 50 2 2" xfId="21881"/>
    <cellStyle name="40% - Accent6 50 3" xfId="21882"/>
    <cellStyle name="40% - Accent6 50 3 2" xfId="21883"/>
    <cellStyle name="40% - Accent6 50 4" xfId="21884"/>
    <cellStyle name="40% - Accent6 50 5" xfId="21885"/>
    <cellStyle name="40% - Accent6 51" xfId="21886"/>
    <cellStyle name="40% - Accent6 51 2" xfId="21887"/>
    <cellStyle name="40% - Accent6 51 2 2" xfId="21888"/>
    <cellStyle name="40% - Accent6 51 3" xfId="21889"/>
    <cellStyle name="40% - Accent6 51 3 2" xfId="21890"/>
    <cellStyle name="40% - Accent6 51 4" xfId="21891"/>
    <cellStyle name="40% - Accent6 51 5" xfId="21892"/>
    <cellStyle name="40% - Accent6 52" xfId="21893"/>
    <cellStyle name="40% - Accent6 52 2" xfId="21894"/>
    <cellStyle name="40% - Accent6 52 2 2" xfId="21895"/>
    <cellStyle name="40% - Accent6 52 3" xfId="21896"/>
    <cellStyle name="40% - Accent6 52 3 2" xfId="21897"/>
    <cellStyle name="40% - Accent6 52 4" xfId="21898"/>
    <cellStyle name="40% - Accent6 52 5" xfId="21899"/>
    <cellStyle name="40% - Accent6 53" xfId="21900"/>
    <cellStyle name="40% - Accent6 53 2" xfId="21901"/>
    <cellStyle name="40% - Accent6 53 2 2" xfId="21902"/>
    <cellStyle name="40% - Accent6 53 3" xfId="21903"/>
    <cellStyle name="40% - Accent6 53 3 2" xfId="21904"/>
    <cellStyle name="40% - Accent6 53 4" xfId="21905"/>
    <cellStyle name="40% - Accent6 53 5" xfId="21906"/>
    <cellStyle name="40% - Accent6 54" xfId="21907"/>
    <cellStyle name="40% - Accent6 54 2" xfId="21908"/>
    <cellStyle name="40% - Accent6 54 2 2" xfId="21909"/>
    <cellStyle name="40% - Accent6 54 3" xfId="21910"/>
    <cellStyle name="40% - Accent6 54 3 2" xfId="21911"/>
    <cellStyle name="40% - Accent6 54 4" xfId="21912"/>
    <cellStyle name="40% - Accent6 54 5" xfId="21913"/>
    <cellStyle name="40% - Accent6 55" xfId="21914"/>
    <cellStyle name="40% - Accent6 55 2" xfId="21915"/>
    <cellStyle name="40% - Accent6 55 2 2" xfId="21916"/>
    <cellStyle name="40% - Accent6 55 3" xfId="21917"/>
    <cellStyle name="40% - Accent6 55 3 2" xfId="21918"/>
    <cellStyle name="40% - Accent6 55 4" xfId="21919"/>
    <cellStyle name="40% - Accent6 55 5" xfId="21920"/>
    <cellStyle name="40% - Accent6 56" xfId="21921"/>
    <cellStyle name="40% - Accent6 56 2" xfId="21922"/>
    <cellStyle name="40% - Accent6 56 2 2" xfId="21923"/>
    <cellStyle name="40% - Accent6 56 3" xfId="21924"/>
    <cellStyle name="40% - Accent6 56 3 2" xfId="21925"/>
    <cellStyle name="40% - Accent6 56 4" xfId="21926"/>
    <cellStyle name="40% - Accent6 56 5" xfId="21927"/>
    <cellStyle name="40% - Accent6 57" xfId="21928"/>
    <cellStyle name="40% - Accent6 57 2" xfId="21929"/>
    <cellStyle name="40% - Accent6 57 2 2" xfId="21930"/>
    <cellStyle name="40% - Accent6 57 3" xfId="21931"/>
    <cellStyle name="40% - Accent6 57 3 2" xfId="21932"/>
    <cellStyle name="40% - Accent6 57 4" xfId="21933"/>
    <cellStyle name="40% - Accent6 57 5" xfId="21934"/>
    <cellStyle name="40% - Accent6 58" xfId="21935"/>
    <cellStyle name="40% - Accent6 58 2" xfId="21936"/>
    <cellStyle name="40% - Accent6 58 2 2" xfId="21937"/>
    <cellStyle name="40% - Accent6 58 3" xfId="21938"/>
    <cellStyle name="40% - Accent6 58 3 2" xfId="21939"/>
    <cellStyle name="40% - Accent6 58 4" xfId="21940"/>
    <cellStyle name="40% - Accent6 58 5" xfId="21941"/>
    <cellStyle name="40% - Accent6 59" xfId="21942"/>
    <cellStyle name="40% - Accent6 59 2" xfId="21943"/>
    <cellStyle name="40% - Accent6 59 2 2" xfId="21944"/>
    <cellStyle name="40% - Accent6 59 3" xfId="21945"/>
    <cellStyle name="40% - Accent6 59 3 2" xfId="21946"/>
    <cellStyle name="40% - Accent6 59 4" xfId="21947"/>
    <cellStyle name="40% - Accent6 59 5" xfId="21948"/>
    <cellStyle name="40% - Accent6 6" xfId="21949"/>
    <cellStyle name="40% - Accent6 6 2" xfId="21950"/>
    <cellStyle name="40% - Accent6 6 2 2" xfId="21951"/>
    <cellStyle name="40% - Accent6 6 2 2 2" xfId="21952"/>
    <cellStyle name="40% - Accent6 6 2 3" xfId="21953"/>
    <cellStyle name="40% - Accent6 6 2 3 2" xfId="21954"/>
    <cellStyle name="40% - Accent6 6 2 4" xfId="21955"/>
    <cellStyle name="40% - Accent6 6 3" xfId="21956"/>
    <cellStyle name="40% - Accent6 6 3 2" xfId="21957"/>
    <cellStyle name="40% - Accent6 6 3 2 2" xfId="21958"/>
    <cellStyle name="40% - Accent6 6 3 3" xfId="21959"/>
    <cellStyle name="40% - Accent6 6 3 3 2" xfId="21960"/>
    <cellStyle name="40% - Accent6 6 3 4" xfId="21961"/>
    <cellStyle name="40% - Accent6 6 4" xfId="21962"/>
    <cellStyle name="40% - Accent6 6 4 2" xfId="21963"/>
    <cellStyle name="40% - Accent6 6 5" xfId="21964"/>
    <cellStyle name="40% - Accent6 6 5 2" xfId="21965"/>
    <cellStyle name="40% - Accent6 6 6" xfId="21966"/>
    <cellStyle name="40% - Accent6 60" xfId="21967"/>
    <cellStyle name="40% - Accent6 60 2" xfId="21968"/>
    <cellStyle name="40% - Accent6 60 2 2" xfId="21969"/>
    <cellStyle name="40% - Accent6 60 3" xfId="21970"/>
    <cellStyle name="40% - Accent6 60 3 2" xfId="21971"/>
    <cellStyle name="40% - Accent6 60 4" xfId="21972"/>
    <cellStyle name="40% - Accent6 60 5" xfId="21973"/>
    <cellStyle name="40% - Accent6 61" xfId="21974"/>
    <cellStyle name="40% - Accent6 61 2" xfId="21975"/>
    <cellStyle name="40% - Accent6 61 2 2" xfId="21976"/>
    <cellStyle name="40% - Accent6 61 3" xfId="21977"/>
    <cellStyle name="40% - Accent6 61 3 2" xfId="21978"/>
    <cellStyle name="40% - Accent6 61 4" xfId="21979"/>
    <cellStyle name="40% - Accent6 61 5" xfId="21980"/>
    <cellStyle name="40% - Accent6 62" xfId="21981"/>
    <cellStyle name="40% - Accent6 62 2" xfId="21982"/>
    <cellStyle name="40% - Accent6 62 2 2" xfId="21983"/>
    <cellStyle name="40% - Accent6 62 3" xfId="21984"/>
    <cellStyle name="40% - Accent6 62 3 2" xfId="21985"/>
    <cellStyle name="40% - Accent6 62 4" xfId="21986"/>
    <cellStyle name="40% - Accent6 62 5" xfId="21987"/>
    <cellStyle name="40% - Accent6 63" xfId="21988"/>
    <cellStyle name="40% - Accent6 63 2" xfId="21989"/>
    <cellStyle name="40% - Accent6 63 2 2" xfId="21990"/>
    <cellStyle name="40% - Accent6 63 3" xfId="21991"/>
    <cellStyle name="40% - Accent6 63 3 2" xfId="21992"/>
    <cellStyle name="40% - Accent6 63 4" xfId="21993"/>
    <cellStyle name="40% - Accent6 63 5" xfId="21994"/>
    <cellStyle name="40% - Accent6 64" xfId="21995"/>
    <cellStyle name="40% - Accent6 64 2" xfId="21996"/>
    <cellStyle name="40% - Accent6 64 2 2" xfId="21997"/>
    <cellStyle name="40% - Accent6 64 3" xfId="21998"/>
    <cellStyle name="40% - Accent6 64 3 2" xfId="21999"/>
    <cellStyle name="40% - Accent6 64 4" xfId="22000"/>
    <cellStyle name="40% - Accent6 64 5" xfId="22001"/>
    <cellStyle name="40% - Accent6 65" xfId="22002"/>
    <cellStyle name="40% - Accent6 65 2" xfId="22003"/>
    <cellStyle name="40% - Accent6 65 2 2" xfId="22004"/>
    <cellStyle name="40% - Accent6 65 3" xfId="22005"/>
    <cellStyle name="40% - Accent6 65 3 2" xfId="22006"/>
    <cellStyle name="40% - Accent6 65 4" xfId="22007"/>
    <cellStyle name="40% - Accent6 65 5" xfId="22008"/>
    <cellStyle name="40% - Accent6 66" xfId="22009"/>
    <cellStyle name="40% - Accent6 66 2" xfId="22010"/>
    <cellStyle name="40% - Accent6 66 2 2" xfId="22011"/>
    <cellStyle name="40% - Accent6 66 3" xfId="22012"/>
    <cellStyle name="40% - Accent6 66 3 2" xfId="22013"/>
    <cellStyle name="40% - Accent6 66 4" xfId="22014"/>
    <cellStyle name="40% - Accent6 66 5" xfId="22015"/>
    <cellStyle name="40% - Accent6 67" xfId="22016"/>
    <cellStyle name="40% - Accent6 67 2" xfId="22017"/>
    <cellStyle name="40% - Accent6 67 2 2" xfId="22018"/>
    <cellStyle name="40% - Accent6 67 3" xfId="22019"/>
    <cellStyle name="40% - Accent6 67 3 2" xfId="22020"/>
    <cellStyle name="40% - Accent6 67 4" xfId="22021"/>
    <cellStyle name="40% - Accent6 67 5" xfId="22022"/>
    <cellStyle name="40% - Accent6 68" xfId="22023"/>
    <cellStyle name="40% - Accent6 68 2" xfId="22024"/>
    <cellStyle name="40% - Accent6 68 2 2" xfId="22025"/>
    <cellStyle name="40% - Accent6 68 3" xfId="22026"/>
    <cellStyle name="40% - Accent6 68 3 2" xfId="22027"/>
    <cellStyle name="40% - Accent6 68 4" xfId="22028"/>
    <cellStyle name="40% - Accent6 68 5" xfId="22029"/>
    <cellStyle name="40% - Accent6 69" xfId="22030"/>
    <cellStyle name="40% - Accent6 69 2" xfId="22031"/>
    <cellStyle name="40% - Accent6 69 2 2" xfId="22032"/>
    <cellStyle name="40% - Accent6 69 3" xfId="22033"/>
    <cellStyle name="40% - Accent6 69 3 2" xfId="22034"/>
    <cellStyle name="40% - Accent6 69 4" xfId="22035"/>
    <cellStyle name="40% - Accent6 69 5" xfId="22036"/>
    <cellStyle name="40% - Accent6 7" xfId="22037"/>
    <cellStyle name="40% - Accent6 7 2" xfId="22038"/>
    <cellStyle name="40% - Accent6 7 2 2" xfId="22039"/>
    <cellStyle name="40% - Accent6 7 2 2 2" xfId="22040"/>
    <cellStyle name="40% - Accent6 7 2 3" xfId="22041"/>
    <cellStyle name="40% - Accent6 7 2 3 2" xfId="22042"/>
    <cellStyle name="40% - Accent6 7 2 4" xfId="22043"/>
    <cellStyle name="40% - Accent6 7 3" xfId="22044"/>
    <cellStyle name="40% - Accent6 7 3 2" xfId="22045"/>
    <cellStyle name="40% - Accent6 7 3 2 2" xfId="22046"/>
    <cellStyle name="40% - Accent6 7 3 3" xfId="22047"/>
    <cellStyle name="40% - Accent6 7 3 3 2" xfId="22048"/>
    <cellStyle name="40% - Accent6 7 3 4" xfId="22049"/>
    <cellStyle name="40% - Accent6 7 4" xfId="22050"/>
    <cellStyle name="40% - Accent6 7 4 2" xfId="22051"/>
    <cellStyle name="40% - Accent6 7 5" xfId="22052"/>
    <cellStyle name="40% - Accent6 7 5 2" xfId="22053"/>
    <cellStyle name="40% - Accent6 7 6" xfId="22054"/>
    <cellStyle name="40% - Accent6 70" xfId="22055"/>
    <cellStyle name="40% - Accent6 70 2" xfId="22056"/>
    <cellStyle name="40% - Accent6 70 2 2" xfId="22057"/>
    <cellStyle name="40% - Accent6 70 3" xfId="22058"/>
    <cellStyle name="40% - Accent6 70 3 2" xfId="22059"/>
    <cellStyle name="40% - Accent6 70 4" xfId="22060"/>
    <cellStyle name="40% - Accent6 71" xfId="22061"/>
    <cellStyle name="40% - Accent6 71 2" xfId="22062"/>
    <cellStyle name="40% - Accent6 71 2 2" xfId="22063"/>
    <cellStyle name="40% - Accent6 71 3" xfId="22064"/>
    <cellStyle name="40% - Accent6 71 3 2" xfId="22065"/>
    <cellStyle name="40% - Accent6 71 4" xfId="22066"/>
    <cellStyle name="40% - Accent6 72" xfId="22067"/>
    <cellStyle name="40% - Accent6 72 2" xfId="22068"/>
    <cellStyle name="40% - Accent6 72 2 2" xfId="22069"/>
    <cellStyle name="40% - Accent6 72 3" xfId="22070"/>
    <cellStyle name="40% - Accent6 72 3 2" xfId="22071"/>
    <cellStyle name="40% - Accent6 72 4" xfId="22072"/>
    <cellStyle name="40% - Accent6 73" xfId="22073"/>
    <cellStyle name="40% - Accent6 73 2" xfId="22074"/>
    <cellStyle name="40% - Accent6 73 2 2" xfId="22075"/>
    <cellStyle name="40% - Accent6 73 3" xfId="22076"/>
    <cellStyle name="40% - Accent6 73 3 2" xfId="22077"/>
    <cellStyle name="40% - Accent6 73 4" xfId="22078"/>
    <cellStyle name="40% - Accent6 74" xfId="22079"/>
    <cellStyle name="40% - Accent6 74 2" xfId="22080"/>
    <cellStyle name="40% - Accent6 74 2 2" xfId="22081"/>
    <cellStyle name="40% - Accent6 74 3" xfId="22082"/>
    <cellStyle name="40% - Accent6 74 3 2" xfId="22083"/>
    <cellStyle name="40% - Accent6 74 4" xfId="22084"/>
    <cellStyle name="40% - Accent6 75" xfId="22085"/>
    <cellStyle name="40% - Accent6 75 2" xfId="22086"/>
    <cellStyle name="40% - Accent6 75 2 2" xfId="22087"/>
    <cellStyle name="40% - Accent6 75 3" xfId="22088"/>
    <cellStyle name="40% - Accent6 75 3 2" xfId="22089"/>
    <cellStyle name="40% - Accent6 75 4" xfId="22090"/>
    <cellStyle name="40% - Accent6 76" xfId="22091"/>
    <cellStyle name="40% - Accent6 76 2" xfId="22092"/>
    <cellStyle name="40% - Accent6 76 2 2" xfId="22093"/>
    <cellStyle name="40% - Accent6 76 3" xfId="22094"/>
    <cellStyle name="40% - Accent6 76 3 2" xfId="22095"/>
    <cellStyle name="40% - Accent6 76 4" xfId="22096"/>
    <cellStyle name="40% - Accent6 77" xfId="22097"/>
    <cellStyle name="40% - Accent6 77 2" xfId="22098"/>
    <cellStyle name="40% - Accent6 77 2 2" xfId="22099"/>
    <cellStyle name="40% - Accent6 77 3" xfId="22100"/>
    <cellStyle name="40% - Accent6 77 3 2" xfId="22101"/>
    <cellStyle name="40% - Accent6 77 4" xfId="22102"/>
    <cellStyle name="40% - Accent6 78" xfId="22103"/>
    <cellStyle name="40% - Accent6 78 2" xfId="22104"/>
    <cellStyle name="40% - Accent6 78 2 2" xfId="22105"/>
    <cellStyle name="40% - Accent6 78 3" xfId="22106"/>
    <cellStyle name="40% - Accent6 78 3 2" xfId="22107"/>
    <cellStyle name="40% - Accent6 78 4" xfId="22108"/>
    <cellStyle name="40% - Accent6 79" xfId="22109"/>
    <cellStyle name="40% - Accent6 79 2" xfId="22110"/>
    <cellStyle name="40% - Accent6 79 2 2" xfId="22111"/>
    <cellStyle name="40% - Accent6 79 3" xfId="22112"/>
    <cellStyle name="40% - Accent6 79 3 2" xfId="22113"/>
    <cellStyle name="40% - Accent6 79 4" xfId="22114"/>
    <cellStyle name="40% - Accent6 8" xfId="22115"/>
    <cellStyle name="40% - Accent6 8 2" xfId="22116"/>
    <cellStyle name="40% - Accent6 8 2 2" xfId="22117"/>
    <cellStyle name="40% - Accent6 8 2 2 2" xfId="22118"/>
    <cellStyle name="40% - Accent6 8 2 3" xfId="22119"/>
    <cellStyle name="40% - Accent6 8 2 3 2" xfId="22120"/>
    <cellStyle name="40% - Accent6 8 2 4" xfId="22121"/>
    <cellStyle name="40% - Accent6 8 3" xfId="22122"/>
    <cellStyle name="40% - Accent6 8 3 2" xfId="22123"/>
    <cellStyle name="40% - Accent6 8 3 2 2" xfId="22124"/>
    <cellStyle name="40% - Accent6 8 3 3" xfId="22125"/>
    <cellStyle name="40% - Accent6 8 3 3 2" xfId="22126"/>
    <cellStyle name="40% - Accent6 8 3 4" xfId="22127"/>
    <cellStyle name="40% - Accent6 8 4" xfId="22128"/>
    <cellStyle name="40% - Accent6 8 4 2" xfId="22129"/>
    <cellStyle name="40% - Accent6 8 5" xfId="22130"/>
    <cellStyle name="40% - Accent6 8 5 2" xfId="22131"/>
    <cellStyle name="40% - Accent6 8 6" xfId="22132"/>
    <cellStyle name="40% - Accent6 80" xfId="22133"/>
    <cellStyle name="40% - Accent6 80 2" xfId="22134"/>
    <cellStyle name="40% - Accent6 80 2 2" xfId="22135"/>
    <cellStyle name="40% - Accent6 80 3" xfId="22136"/>
    <cellStyle name="40% - Accent6 80 3 2" xfId="22137"/>
    <cellStyle name="40% - Accent6 80 4" xfId="22138"/>
    <cellStyle name="40% - Accent6 81" xfId="22139"/>
    <cellStyle name="40% - Accent6 81 2" xfId="22140"/>
    <cellStyle name="40% - Accent6 81 2 2" xfId="22141"/>
    <cellStyle name="40% - Accent6 81 3" xfId="22142"/>
    <cellStyle name="40% - Accent6 81 3 2" xfId="22143"/>
    <cellStyle name="40% - Accent6 81 4" xfId="22144"/>
    <cellStyle name="40% - Accent6 82" xfId="22145"/>
    <cellStyle name="40% - Accent6 82 2" xfId="22146"/>
    <cellStyle name="40% - Accent6 82 2 2" xfId="22147"/>
    <cellStyle name="40% - Accent6 82 3" xfId="22148"/>
    <cellStyle name="40% - Accent6 82 3 2" xfId="22149"/>
    <cellStyle name="40% - Accent6 82 4" xfId="22150"/>
    <cellStyle name="40% - Accent6 83" xfId="22151"/>
    <cellStyle name="40% - Accent6 83 2" xfId="22152"/>
    <cellStyle name="40% - Accent6 83 2 2" xfId="22153"/>
    <cellStyle name="40% - Accent6 83 3" xfId="22154"/>
    <cellStyle name="40% - Accent6 83 3 2" xfId="22155"/>
    <cellStyle name="40% - Accent6 83 4" xfId="22156"/>
    <cellStyle name="40% - Accent6 84" xfId="22157"/>
    <cellStyle name="40% - Accent6 84 2" xfId="22158"/>
    <cellStyle name="40% - Accent6 84 2 2" xfId="22159"/>
    <cellStyle name="40% - Accent6 84 3" xfId="22160"/>
    <cellStyle name="40% - Accent6 84 3 2" xfId="22161"/>
    <cellStyle name="40% - Accent6 84 4" xfId="22162"/>
    <cellStyle name="40% - Accent6 85" xfId="22163"/>
    <cellStyle name="40% - Accent6 85 2" xfId="22164"/>
    <cellStyle name="40% - Accent6 85 2 2" xfId="22165"/>
    <cellStyle name="40% - Accent6 85 3" xfId="22166"/>
    <cellStyle name="40% - Accent6 85 3 2" xfId="22167"/>
    <cellStyle name="40% - Accent6 85 4" xfId="22168"/>
    <cellStyle name="40% - Accent6 86" xfId="22169"/>
    <cellStyle name="40% - Accent6 86 2" xfId="22170"/>
    <cellStyle name="40% - Accent6 86 2 2" xfId="22171"/>
    <cellStyle name="40% - Accent6 86 3" xfId="22172"/>
    <cellStyle name="40% - Accent6 86 3 2" xfId="22173"/>
    <cellStyle name="40% - Accent6 86 4" xfId="22174"/>
    <cellStyle name="40% - Accent6 87" xfId="22175"/>
    <cellStyle name="40% - Accent6 87 2" xfId="22176"/>
    <cellStyle name="40% - Accent6 87 2 2" xfId="22177"/>
    <cellStyle name="40% - Accent6 87 3" xfId="22178"/>
    <cellStyle name="40% - Accent6 87 3 2" xfId="22179"/>
    <cellStyle name="40% - Accent6 87 4" xfId="22180"/>
    <cellStyle name="40% - Accent6 88" xfId="22181"/>
    <cellStyle name="40% - Accent6 88 2" xfId="22182"/>
    <cellStyle name="40% - Accent6 88 2 2" xfId="22183"/>
    <cellStyle name="40% - Accent6 88 3" xfId="22184"/>
    <cellStyle name="40% - Accent6 88 3 2" xfId="22185"/>
    <cellStyle name="40% - Accent6 88 4" xfId="22186"/>
    <cellStyle name="40% - Accent6 89" xfId="22187"/>
    <cellStyle name="40% - Accent6 89 2" xfId="22188"/>
    <cellStyle name="40% - Accent6 89 2 2" xfId="22189"/>
    <cellStyle name="40% - Accent6 89 3" xfId="22190"/>
    <cellStyle name="40% - Accent6 89 3 2" xfId="22191"/>
    <cellStyle name="40% - Accent6 89 4" xfId="22192"/>
    <cellStyle name="40% - Accent6 9" xfId="22193"/>
    <cellStyle name="40% - Accent6 9 2" xfId="22194"/>
    <cellStyle name="40% - Accent6 9 2 2" xfId="22195"/>
    <cellStyle name="40% - Accent6 9 2 2 2" xfId="22196"/>
    <cellStyle name="40% - Accent6 9 2 3" xfId="22197"/>
    <cellStyle name="40% - Accent6 9 2 3 2" xfId="22198"/>
    <cellStyle name="40% - Accent6 9 2 4" xfId="22199"/>
    <cellStyle name="40% - Accent6 9 3" xfId="22200"/>
    <cellStyle name="40% - Accent6 9 3 2" xfId="22201"/>
    <cellStyle name="40% - Accent6 9 3 2 2" xfId="22202"/>
    <cellStyle name="40% - Accent6 9 3 3" xfId="22203"/>
    <cellStyle name="40% - Accent6 9 3 3 2" xfId="22204"/>
    <cellStyle name="40% - Accent6 9 3 4" xfId="22205"/>
    <cellStyle name="40% - Accent6 9 4" xfId="22206"/>
    <cellStyle name="40% - Accent6 9 4 2" xfId="22207"/>
    <cellStyle name="40% - Accent6 9 5" xfId="22208"/>
    <cellStyle name="40% - Accent6 9 5 2" xfId="22209"/>
    <cellStyle name="40% - Accent6 9 6" xfId="22210"/>
    <cellStyle name="40% - Accent6 90" xfId="22211"/>
    <cellStyle name="40% - Accent6 90 2" xfId="22212"/>
    <cellStyle name="40% - Accent6 90 2 2" xfId="22213"/>
    <cellStyle name="40% - Accent6 90 3" xfId="22214"/>
    <cellStyle name="40% - Accent6 90 3 2" xfId="22215"/>
    <cellStyle name="40% - Accent6 90 4" xfId="22216"/>
    <cellStyle name="40% - Accent6 91" xfId="22217"/>
    <cellStyle name="40% - Accent6 91 2" xfId="22218"/>
    <cellStyle name="40% - Accent6 91 2 2" xfId="22219"/>
    <cellStyle name="40% - Accent6 91 3" xfId="22220"/>
    <cellStyle name="40% - Accent6 91 3 2" xfId="22221"/>
    <cellStyle name="40% - Accent6 91 4" xfId="22222"/>
    <cellStyle name="40% - Accent6 92" xfId="22223"/>
    <cellStyle name="40% - Accent6 92 2" xfId="22224"/>
    <cellStyle name="40% - Accent6 92 2 2" xfId="22225"/>
    <cellStyle name="40% - Accent6 92 3" xfId="22226"/>
    <cellStyle name="40% - Accent6 92 3 2" xfId="22227"/>
    <cellStyle name="40% - Accent6 92 4" xfId="22228"/>
    <cellStyle name="40% - Accent6 93" xfId="22229"/>
    <cellStyle name="40% - Accent6 93 2" xfId="22230"/>
    <cellStyle name="40% - Accent6 93 2 2" xfId="22231"/>
    <cellStyle name="40% - Accent6 93 3" xfId="22232"/>
    <cellStyle name="40% - Accent6 93 3 2" xfId="22233"/>
    <cellStyle name="40% - Accent6 93 4" xfId="22234"/>
    <cellStyle name="40% - Accent6 94" xfId="22235"/>
    <cellStyle name="40% - Accent6 94 2" xfId="22236"/>
    <cellStyle name="40% - Accent6 94 2 2" xfId="22237"/>
    <cellStyle name="40% - Accent6 94 3" xfId="22238"/>
    <cellStyle name="40% - Accent6 94 3 2" xfId="22239"/>
    <cellStyle name="40% - Accent6 94 4" xfId="22240"/>
    <cellStyle name="40% - Accent6 95" xfId="22241"/>
    <cellStyle name="40% - Accent6 95 2" xfId="22242"/>
    <cellStyle name="40% - Accent6 95 2 2" xfId="22243"/>
    <cellStyle name="40% - Accent6 95 3" xfId="22244"/>
    <cellStyle name="40% - Accent6 95 3 2" xfId="22245"/>
    <cellStyle name="40% - Accent6 95 4" xfId="22246"/>
    <cellStyle name="40% - Accent6 96" xfId="22247"/>
    <cellStyle name="40% - Accent6 96 2" xfId="22248"/>
    <cellStyle name="40% - Accent6 96 2 2" xfId="22249"/>
    <cellStyle name="40% - Accent6 96 3" xfId="22250"/>
    <cellStyle name="40% - Accent6 96 3 2" xfId="22251"/>
    <cellStyle name="40% - Accent6 96 4" xfId="22252"/>
    <cellStyle name="40% - Accent6 97" xfId="22253"/>
    <cellStyle name="40% - Accent6 97 2" xfId="22254"/>
    <cellStyle name="40% - Accent6 97 2 2" xfId="22255"/>
    <cellStyle name="40% - Accent6 97 3" xfId="22256"/>
    <cellStyle name="40% - Accent6 97 3 2" xfId="22257"/>
    <cellStyle name="40% - Accent6 97 4" xfId="22258"/>
    <cellStyle name="40% - Accent6 98" xfId="22259"/>
    <cellStyle name="40% - Accent6 98 2" xfId="22260"/>
    <cellStyle name="40% - Accent6 98 2 2" xfId="22261"/>
    <cellStyle name="40% - Accent6 98 3" xfId="22262"/>
    <cellStyle name="40% - Accent6 98 3 2" xfId="22263"/>
    <cellStyle name="40% - Accent6 98 4" xfId="22264"/>
    <cellStyle name="40% - Accent6 99" xfId="22265"/>
    <cellStyle name="40% - Accent6 99 2" xfId="22266"/>
    <cellStyle name="40% - Accent6 99 2 2" xfId="22267"/>
    <cellStyle name="40% - Accent6 99 3" xfId="22268"/>
    <cellStyle name="40% - Accent6 99 3 2" xfId="22269"/>
    <cellStyle name="40% - Accent6 99 4" xfId="22270"/>
    <cellStyle name="40% - ส่วนที่ถูกเน้น1" xfId="22271"/>
    <cellStyle name="40% - ส่วนที่ถูกเน้น1 2" xfId="22272"/>
    <cellStyle name="40% - ส่วนที่ถูกเน้น1 3" xfId="22273"/>
    <cellStyle name="40% - ส่วนที่ถูกเน้น1 4" xfId="22274"/>
    <cellStyle name="40% - ส่วนที่ถูกเน้น1 5" xfId="22275"/>
    <cellStyle name="40% - ส่วนที่ถูกเน้น1 6" xfId="22276"/>
    <cellStyle name="40% - ส่วนที่ถูกเน้น1 7" xfId="22277"/>
    <cellStyle name="40% - ส่วนที่ถูกเน้น2" xfId="22278"/>
    <cellStyle name="40% - ส่วนที่ถูกเน้น2 2" xfId="22279"/>
    <cellStyle name="40% - ส่วนที่ถูกเน้น2 3" xfId="22280"/>
    <cellStyle name="40% - ส่วนที่ถูกเน้น2 4" xfId="22281"/>
    <cellStyle name="40% - ส่วนที่ถูกเน้น2 5" xfId="22282"/>
    <cellStyle name="40% - ส่วนที่ถูกเน้น2 6" xfId="22283"/>
    <cellStyle name="40% - ส่วนที่ถูกเน้น2 7" xfId="22284"/>
    <cellStyle name="40% - ส่วนที่ถูกเน้น3" xfId="22285"/>
    <cellStyle name="40% - ส่วนที่ถูกเน้น3 2" xfId="22286"/>
    <cellStyle name="40% - ส่วนที่ถูกเน้น3 3" xfId="22287"/>
    <cellStyle name="40% - ส่วนที่ถูกเน้น3 4" xfId="22288"/>
    <cellStyle name="40% - ส่วนที่ถูกเน้น3 5" xfId="22289"/>
    <cellStyle name="40% - ส่วนที่ถูกเน้น3 6" xfId="22290"/>
    <cellStyle name="40% - ส่วนที่ถูกเน้น3 7" xfId="22291"/>
    <cellStyle name="40% - ส่วนที่ถูกเน้น4" xfId="22292"/>
    <cellStyle name="40% - ส่วนที่ถูกเน้น4 2" xfId="22293"/>
    <cellStyle name="40% - ส่วนที่ถูกเน้น4 3" xfId="22294"/>
    <cellStyle name="40% - ส่วนที่ถูกเน้น4 4" xfId="22295"/>
    <cellStyle name="40% - ส่วนที่ถูกเน้น4 5" xfId="22296"/>
    <cellStyle name="40% - ส่วนที่ถูกเน้น4 6" xfId="22297"/>
    <cellStyle name="40% - ส่วนที่ถูกเน้น4 7" xfId="22298"/>
    <cellStyle name="40% - ส่วนที่ถูกเน้น5" xfId="22299"/>
    <cellStyle name="40% - ส่วนที่ถูกเน้น5 2" xfId="22300"/>
    <cellStyle name="40% - ส่วนที่ถูกเน้น5 3" xfId="22301"/>
    <cellStyle name="40% - ส่วนที่ถูกเน้น5 4" xfId="22302"/>
    <cellStyle name="40% - ส่วนที่ถูกเน้น5 5" xfId="22303"/>
    <cellStyle name="40% - ส่วนที่ถูกเน้น5 6" xfId="22304"/>
    <cellStyle name="40% - ส่วนที่ถูกเน้น5 7" xfId="22305"/>
    <cellStyle name="40% - ส่วนที่ถูกเน้น6" xfId="22306"/>
    <cellStyle name="40% - ส่วนที่ถูกเน้น6 2" xfId="22307"/>
    <cellStyle name="40% - ส่วนที่ถูกเน้น6 3" xfId="22308"/>
    <cellStyle name="40% - ส่วนที่ถูกเน้น6 4" xfId="22309"/>
    <cellStyle name="40% - ส่วนที่ถูกเน้น6 5" xfId="22310"/>
    <cellStyle name="40% - ส่วนที่ถูกเน้น6 6" xfId="22311"/>
    <cellStyle name="40% - ส่วนที่ถูกเน้น6 7" xfId="22312"/>
    <cellStyle name="60% - Accent1 10" xfId="22313"/>
    <cellStyle name="60% - Accent1 11" xfId="22314"/>
    <cellStyle name="60% - Accent1 12" xfId="22315"/>
    <cellStyle name="60% - Accent1 13" xfId="22316"/>
    <cellStyle name="60% - Accent1 14" xfId="22317"/>
    <cellStyle name="60% - Accent1 15" xfId="22318"/>
    <cellStyle name="60% - Accent1 16" xfId="22319"/>
    <cellStyle name="60% - Accent1 17" xfId="22320"/>
    <cellStyle name="60% - Accent1 18" xfId="22321"/>
    <cellStyle name="60% - Accent1 19" xfId="22322"/>
    <cellStyle name="60% - Accent1 2" xfId="22323"/>
    <cellStyle name="60% - Accent1 20" xfId="22324"/>
    <cellStyle name="60% - Accent1 21" xfId="22325"/>
    <cellStyle name="60% - Accent1 22" xfId="22326"/>
    <cellStyle name="60% - Accent1 23" xfId="22327"/>
    <cellStyle name="60% - Accent1 24" xfId="22328"/>
    <cellStyle name="60% - Accent1 25" xfId="22329"/>
    <cellStyle name="60% - Accent1 26" xfId="22330"/>
    <cellStyle name="60% - Accent1 27" xfId="22331"/>
    <cellStyle name="60% - Accent1 28" xfId="22332"/>
    <cellStyle name="60% - Accent1 29" xfId="22333"/>
    <cellStyle name="60% - Accent1 3" xfId="22334"/>
    <cellStyle name="60% - Accent1 30" xfId="22335"/>
    <cellStyle name="60% - Accent1 31" xfId="22336"/>
    <cellStyle name="60% - Accent1 32" xfId="22337"/>
    <cellStyle name="60% - Accent1 33" xfId="22338"/>
    <cellStyle name="60% - Accent1 34" xfId="22339"/>
    <cellStyle name="60% - Accent1 35" xfId="22340"/>
    <cellStyle name="60% - Accent1 36" xfId="22341"/>
    <cellStyle name="60% - Accent1 37" xfId="22342"/>
    <cellStyle name="60% - Accent1 38" xfId="22343"/>
    <cellStyle name="60% - Accent1 39" xfId="22344"/>
    <cellStyle name="60% - Accent1 4" xfId="22345"/>
    <cellStyle name="60% - Accent1 40" xfId="22346"/>
    <cellStyle name="60% - Accent1 41" xfId="22347"/>
    <cellStyle name="60% - Accent1 42" xfId="22348"/>
    <cellStyle name="60% - Accent1 43" xfId="22349"/>
    <cellStyle name="60% - Accent1 44" xfId="22350"/>
    <cellStyle name="60% - Accent1 45" xfId="22351"/>
    <cellStyle name="60% - Accent1 46" xfId="22352"/>
    <cellStyle name="60% - Accent1 47" xfId="22353"/>
    <cellStyle name="60% - Accent1 48" xfId="22354"/>
    <cellStyle name="60% - Accent1 49" xfId="22355"/>
    <cellStyle name="60% - Accent1 5" xfId="22356"/>
    <cellStyle name="60% - Accent1 50" xfId="22357"/>
    <cellStyle name="60% - Accent1 51" xfId="22358"/>
    <cellStyle name="60% - Accent1 52" xfId="22359"/>
    <cellStyle name="60% - Accent1 53" xfId="22360"/>
    <cellStyle name="60% - Accent1 54" xfId="22361"/>
    <cellStyle name="60% - Accent1 55" xfId="22362"/>
    <cellStyle name="60% - Accent1 56" xfId="22363"/>
    <cellStyle name="60% - Accent1 57" xfId="22364"/>
    <cellStyle name="60% - Accent1 58" xfId="22365"/>
    <cellStyle name="60% - Accent1 59" xfId="22366"/>
    <cellStyle name="60% - Accent1 6" xfId="22367"/>
    <cellStyle name="60% - Accent1 60" xfId="22368"/>
    <cellStyle name="60% - Accent1 61" xfId="22369"/>
    <cellStyle name="60% - Accent1 62" xfId="22370"/>
    <cellStyle name="60% - Accent1 63" xfId="22371"/>
    <cellStyle name="60% - Accent1 64" xfId="22372"/>
    <cellStyle name="60% - Accent1 65" xfId="22373"/>
    <cellStyle name="60% - Accent1 66" xfId="22374"/>
    <cellStyle name="60% - Accent1 67" xfId="22375"/>
    <cellStyle name="60% - Accent1 68" xfId="22376"/>
    <cellStyle name="60% - Accent1 69" xfId="22377"/>
    <cellStyle name="60% - Accent1 7" xfId="22378"/>
    <cellStyle name="60% - Accent1 8" xfId="22379"/>
    <cellStyle name="60% - Accent1 9" xfId="22380"/>
    <cellStyle name="60% - Accent2 10" xfId="22381"/>
    <cellStyle name="60% - Accent2 11" xfId="22382"/>
    <cellStyle name="60% - Accent2 12" xfId="22383"/>
    <cellStyle name="60% - Accent2 13" xfId="22384"/>
    <cellStyle name="60% - Accent2 14" xfId="22385"/>
    <cellStyle name="60% - Accent2 15" xfId="22386"/>
    <cellStyle name="60% - Accent2 16" xfId="22387"/>
    <cellStyle name="60% - Accent2 17" xfId="22388"/>
    <cellStyle name="60% - Accent2 18" xfId="22389"/>
    <cellStyle name="60% - Accent2 19" xfId="22390"/>
    <cellStyle name="60% - Accent2 2" xfId="22391"/>
    <cellStyle name="60% - Accent2 20" xfId="22392"/>
    <cellStyle name="60% - Accent2 21" xfId="22393"/>
    <cellStyle name="60% - Accent2 22" xfId="22394"/>
    <cellStyle name="60% - Accent2 23" xfId="22395"/>
    <cellStyle name="60% - Accent2 24" xfId="22396"/>
    <cellStyle name="60% - Accent2 25" xfId="22397"/>
    <cellStyle name="60% - Accent2 26" xfId="22398"/>
    <cellStyle name="60% - Accent2 27" xfId="22399"/>
    <cellStyle name="60% - Accent2 28" xfId="22400"/>
    <cellStyle name="60% - Accent2 29" xfId="22401"/>
    <cellStyle name="60% - Accent2 3" xfId="22402"/>
    <cellStyle name="60% - Accent2 30" xfId="22403"/>
    <cellStyle name="60% - Accent2 31" xfId="22404"/>
    <cellStyle name="60% - Accent2 32" xfId="22405"/>
    <cellStyle name="60% - Accent2 33" xfId="22406"/>
    <cellStyle name="60% - Accent2 34" xfId="22407"/>
    <cellStyle name="60% - Accent2 35" xfId="22408"/>
    <cellStyle name="60% - Accent2 36" xfId="22409"/>
    <cellStyle name="60% - Accent2 37" xfId="22410"/>
    <cellStyle name="60% - Accent2 38" xfId="22411"/>
    <cellStyle name="60% - Accent2 39" xfId="22412"/>
    <cellStyle name="60% - Accent2 4" xfId="22413"/>
    <cellStyle name="60% - Accent2 40" xfId="22414"/>
    <cellStyle name="60% - Accent2 41" xfId="22415"/>
    <cellStyle name="60% - Accent2 42" xfId="22416"/>
    <cellStyle name="60% - Accent2 43" xfId="22417"/>
    <cellStyle name="60% - Accent2 44" xfId="22418"/>
    <cellStyle name="60% - Accent2 45" xfId="22419"/>
    <cellStyle name="60% - Accent2 46" xfId="22420"/>
    <cellStyle name="60% - Accent2 47" xfId="22421"/>
    <cellStyle name="60% - Accent2 48" xfId="22422"/>
    <cellStyle name="60% - Accent2 49" xfId="22423"/>
    <cellStyle name="60% - Accent2 5" xfId="22424"/>
    <cellStyle name="60% - Accent2 50" xfId="22425"/>
    <cellStyle name="60% - Accent2 51" xfId="22426"/>
    <cellStyle name="60% - Accent2 52" xfId="22427"/>
    <cellStyle name="60% - Accent2 53" xfId="22428"/>
    <cellStyle name="60% - Accent2 54" xfId="22429"/>
    <cellStyle name="60% - Accent2 55" xfId="22430"/>
    <cellStyle name="60% - Accent2 56" xfId="22431"/>
    <cellStyle name="60% - Accent2 57" xfId="22432"/>
    <cellStyle name="60% - Accent2 58" xfId="22433"/>
    <cellStyle name="60% - Accent2 59" xfId="22434"/>
    <cellStyle name="60% - Accent2 6" xfId="22435"/>
    <cellStyle name="60% - Accent2 60" xfId="22436"/>
    <cellStyle name="60% - Accent2 61" xfId="22437"/>
    <cellStyle name="60% - Accent2 62" xfId="22438"/>
    <cellStyle name="60% - Accent2 63" xfId="22439"/>
    <cellStyle name="60% - Accent2 64" xfId="22440"/>
    <cellStyle name="60% - Accent2 65" xfId="22441"/>
    <cellStyle name="60% - Accent2 66" xfId="22442"/>
    <cellStyle name="60% - Accent2 67" xfId="22443"/>
    <cellStyle name="60% - Accent2 68" xfId="22444"/>
    <cellStyle name="60% - Accent2 69" xfId="22445"/>
    <cellStyle name="60% - Accent2 7" xfId="22446"/>
    <cellStyle name="60% - Accent2 8" xfId="22447"/>
    <cellStyle name="60% - Accent2 9" xfId="22448"/>
    <cellStyle name="60% - Accent3 10" xfId="22449"/>
    <cellStyle name="60% - Accent3 11" xfId="22450"/>
    <cellStyle name="60% - Accent3 12" xfId="22451"/>
    <cellStyle name="60% - Accent3 13" xfId="22452"/>
    <cellStyle name="60% - Accent3 14" xfId="22453"/>
    <cellStyle name="60% - Accent3 15" xfId="22454"/>
    <cellStyle name="60% - Accent3 16" xfId="22455"/>
    <cellStyle name="60% - Accent3 17" xfId="22456"/>
    <cellStyle name="60% - Accent3 18" xfId="22457"/>
    <cellStyle name="60% - Accent3 19" xfId="22458"/>
    <cellStyle name="60% - Accent3 2" xfId="22459"/>
    <cellStyle name="60% - Accent3 20" xfId="22460"/>
    <cellStyle name="60% - Accent3 21" xfId="22461"/>
    <cellStyle name="60% - Accent3 22" xfId="22462"/>
    <cellStyle name="60% - Accent3 23" xfId="22463"/>
    <cellStyle name="60% - Accent3 24" xfId="22464"/>
    <cellStyle name="60% - Accent3 25" xfId="22465"/>
    <cellStyle name="60% - Accent3 26" xfId="22466"/>
    <cellStyle name="60% - Accent3 27" xfId="22467"/>
    <cellStyle name="60% - Accent3 28" xfId="22468"/>
    <cellStyle name="60% - Accent3 29" xfId="22469"/>
    <cellStyle name="60% - Accent3 3" xfId="22470"/>
    <cellStyle name="60% - Accent3 30" xfId="22471"/>
    <cellStyle name="60% - Accent3 31" xfId="22472"/>
    <cellStyle name="60% - Accent3 32" xfId="22473"/>
    <cellStyle name="60% - Accent3 33" xfId="22474"/>
    <cellStyle name="60% - Accent3 34" xfId="22475"/>
    <cellStyle name="60% - Accent3 35" xfId="22476"/>
    <cellStyle name="60% - Accent3 36" xfId="22477"/>
    <cellStyle name="60% - Accent3 37" xfId="22478"/>
    <cellStyle name="60% - Accent3 38" xfId="22479"/>
    <cellStyle name="60% - Accent3 39" xfId="22480"/>
    <cellStyle name="60% - Accent3 4" xfId="22481"/>
    <cellStyle name="60% - Accent3 40" xfId="22482"/>
    <cellStyle name="60% - Accent3 41" xfId="22483"/>
    <cellStyle name="60% - Accent3 42" xfId="22484"/>
    <cellStyle name="60% - Accent3 43" xfId="22485"/>
    <cellStyle name="60% - Accent3 44" xfId="22486"/>
    <cellStyle name="60% - Accent3 45" xfId="22487"/>
    <cellStyle name="60% - Accent3 46" xfId="22488"/>
    <cellStyle name="60% - Accent3 47" xfId="22489"/>
    <cellStyle name="60% - Accent3 48" xfId="22490"/>
    <cellStyle name="60% - Accent3 49" xfId="22491"/>
    <cellStyle name="60% - Accent3 5" xfId="22492"/>
    <cellStyle name="60% - Accent3 50" xfId="22493"/>
    <cellStyle name="60% - Accent3 51" xfId="22494"/>
    <cellStyle name="60% - Accent3 52" xfId="22495"/>
    <cellStyle name="60% - Accent3 53" xfId="22496"/>
    <cellStyle name="60% - Accent3 54" xfId="22497"/>
    <cellStyle name="60% - Accent3 55" xfId="22498"/>
    <cellStyle name="60% - Accent3 56" xfId="22499"/>
    <cellStyle name="60% - Accent3 57" xfId="22500"/>
    <cellStyle name="60% - Accent3 58" xfId="22501"/>
    <cellStyle name="60% - Accent3 59" xfId="22502"/>
    <cellStyle name="60% - Accent3 6" xfId="22503"/>
    <cellStyle name="60% - Accent3 60" xfId="22504"/>
    <cellStyle name="60% - Accent3 61" xfId="22505"/>
    <cellStyle name="60% - Accent3 62" xfId="22506"/>
    <cellStyle name="60% - Accent3 63" xfId="22507"/>
    <cellStyle name="60% - Accent3 64" xfId="22508"/>
    <cellStyle name="60% - Accent3 65" xfId="22509"/>
    <cellStyle name="60% - Accent3 66" xfId="22510"/>
    <cellStyle name="60% - Accent3 67" xfId="22511"/>
    <cellStyle name="60% - Accent3 68" xfId="22512"/>
    <cellStyle name="60% - Accent3 69" xfId="22513"/>
    <cellStyle name="60% - Accent3 7" xfId="22514"/>
    <cellStyle name="60% - Accent3 8" xfId="22515"/>
    <cellStyle name="60% - Accent3 9" xfId="22516"/>
    <cellStyle name="60% - Accent4 10" xfId="22517"/>
    <cellStyle name="60% - Accent4 11" xfId="22518"/>
    <cellStyle name="60% - Accent4 12" xfId="22519"/>
    <cellStyle name="60% - Accent4 13" xfId="22520"/>
    <cellStyle name="60% - Accent4 14" xfId="22521"/>
    <cellStyle name="60% - Accent4 15" xfId="22522"/>
    <cellStyle name="60% - Accent4 16" xfId="22523"/>
    <cellStyle name="60% - Accent4 17" xfId="22524"/>
    <cellStyle name="60% - Accent4 18" xfId="22525"/>
    <cellStyle name="60% - Accent4 19" xfId="22526"/>
    <cellStyle name="60% - Accent4 2" xfId="22527"/>
    <cellStyle name="60% - Accent4 20" xfId="22528"/>
    <cellStyle name="60% - Accent4 21" xfId="22529"/>
    <cellStyle name="60% - Accent4 22" xfId="22530"/>
    <cellStyle name="60% - Accent4 23" xfId="22531"/>
    <cellStyle name="60% - Accent4 24" xfId="22532"/>
    <cellStyle name="60% - Accent4 25" xfId="22533"/>
    <cellStyle name="60% - Accent4 26" xfId="22534"/>
    <cellStyle name="60% - Accent4 27" xfId="22535"/>
    <cellStyle name="60% - Accent4 28" xfId="22536"/>
    <cellStyle name="60% - Accent4 29" xfId="22537"/>
    <cellStyle name="60% - Accent4 3" xfId="22538"/>
    <cellStyle name="60% - Accent4 30" xfId="22539"/>
    <cellStyle name="60% - Accent4 31" xfId="22540"/>
    <cellStyle name="60% - Accent4 32" xfId="22541"/>
    <cellStyle name="60% - Accent4 33" xfId="22542"/>
    <cellStyle name="60% - Accent4 34" xfId="22543"/>
    <cellStyle name="60% - Accent4 35" xfId="22544"/>
    <cellStyle name="60% - Accent4 36" xfId="22545"/>
    <cellStyle name="60% - Accent4 37" xfId="22546"/>
    <cellStyle name="60% - Accent4 38" xfId="22547"/>
    <cellStyle name="60% - Accent4 39" xfId="22548"/>
    <cellStyle name="60% - Accent4 4" xfId="22549"/>
    <cellStyle name="60% - Accent4 40" xfId="22550"/>
    <cellStyle name="60% - Accent4 41" xfId="22551"/>
    <cellStyle name="60% - Accent4 42" xfId="22552"/>
    <cellStyle name="60% - Accent4 43" xfId="22553"/>
    <cellStyle name="60% - Accent4 44" xfId="22554"/>
    <cellStyle name="60% - Accent4 45" xfId="22555"/>
    <cellStyle name="60% - Accent4 46" xfId="22556"/>
    <cellStyle name="60% - Accent4 47" xfId="22557"/>
    <cellStyle name="60% - Accent4 48" xfId="22558"/>
    <cellStyle name="60% - Accent4 49" xfId="22559"/>
    <cellStyle name="60% - Accent4 5" xfId="22560"/>
    <cellStyle name="60% - Accent4 50" xfId="22561"/>
    <cellStyle name="60% - Accent4 51" xfId="22562"/>
    <cellStyle name="60% - Accent4 52" xfId="22563"/>
    <cellStyle name="60% - Accent4 53" xfId="22564"/>
    <cellStyle name="60% - Accent4 54" xfId="22565"/>
    <cellStyle name="60% - Accent4 55" xfId="22566"/>
    <cellStyle name="60% - Accent4 56" xfId="22567"/>
    <cellStyle name="60% - Accent4 57" xfId="22568"/>
    <cellStyle name="60% - Accent4 58" xfId="22569"/>
    <cellStyle name="60% - Accent4 59" xfId="22570"/>
    <cellStyle name="60% - Accent4 6" xfId="22571"/>
    <cellStyle name="60% - Accent4 60" xfId="22572"/>
    <cellStyle name="60% - Accent4 61" xfId="22573"/>
    <cellStyle name="60% - Accent4 62" xfId="22574"/>
    <cellStyle name="60% - Accent4 63" xfId="22575"/>
    <cellStyle name="60% - Accent4 64" xfId="22576"/>
    <cellStyle name="60% - Accent4 65" xfId="22577"/>
    <cellStyle name="60% - Accent4 66" xfId="22578"/>
    <cellStyle name="60% - Accent4 67" xfId="22579"/>
    <cellStyle name="60% - Accent4 68" xfId="22580"/>
    <cellStyle name="60% - Accent4 69" xfId="22581"/>
    <cellStyle name="60% - Accent4 7" xfId="22582"/>
    <cellStyle name="60% - Accent4 8" xfId="22583"/>
    <cellStyle name="60% - Accent4 9" xfId="22584"/>
    <cellStyle name="60% - Accent5 10" xfId="22585"/>
    <cellStyle name="60% - Accent5 11" xfId="22586"/>
    <cellStyle name="60% - Accent5 12" xfId="22587"/>
    <cellStyle name="60% - Accent5 13" xfId="22588"/>
    <cellStyle name="60% - Accent5 14" xfId="22589"/>
    <cellStyle name="60% - Accent5 15" xfId="22590"/>
    <cellStyle name="60% - Accent5 16" xfId="22591"/>
    <cellStyle name="60% - Accent5 17" xfId="22592"/>
    <cellStyle name="60% - Accent5 18" xfId="22593"/>
    <cellStyle name="60% - Accent5 19" xfId="22594"/>
    <cellStyle name="60% - Accent5 2" xfId="22595"/>
    <cellStyle name="60% - Accent5 20" xfId="22596"/>
    <cellStyle name="60% - Accent5 21" xfId="22597"/>
    <cellStyle name="60% - Accent5 22" xfId="22598"/>
    <cellStyle name="60% - Accent5 23" xfId="22599"/>
    <cellStyle name="60% - Accent5 24" xfId="22600"/>
    <cellStyle name="60% - Accent5 25" xfId="22601"/>
    <cellStyle name="60% - Accent5 26" xfId="22602"/>
    <cellStyle name="60% - Accent5 27" xfId="22603"/>
    <cellStyle name="60% - Accent5 28" xfId="22604"/>
    <cellStyle name="60% - Accent5 29" xfId="22605"/>
    <cellStyle name="60% - Accent5 3" xfId="22606"/>
    <cellStyle name="60% - Accent5 30" xfId="22607"/>
    <cellStyle name="60% - Accent5 31" xfId="22608"/>
    <cellStyle name="60% - Accent5 32" xfId="22609"/>
    <cellStyle name="60% - Accent5 33" xfId="22610"/>
    <cellStyle name="60% - Accent5 34" xfId="22611"/>
    <cellStyle name="60% - Accent5 35" xfId="22612"/>
    <cellStyle name="60% - Accent5 36" xfId="22613"/>
    <cellStyle name="60% - Accent5 37" xfId="22614"/>
    <cellStyle name="60% - Accent5 38" xfId="22615"/>
    <cellStyle name="60% - Accent5 39" xfId="22616"/>
    <cellStyle name="60% - Accent5 4" xfId="22617"/>
    <cellStyle name="60% - Accent5 40" xfId="22618"/>
    <cellStyle name="60% - Accent5 41" xfId="22619"/>
    <cellStyle name="60% - Accent5 42" xfId="22620"/>
    <cellStyle name="60% - Accent5 43" xfId="22621"/>
    <cellStyle name="60% - Accent5 44" xfId="22622"/>
    <cellStyle name="60% - Accent5 45" xfId="22623"/>
    <cellStyle name="60% - Accent5 46" xfId="22624"/>
    <cellStyle name="60% - Accent5 47" xfId="22625"/>
    <cellStyle name="60% - Accent5 48" xfId="22626"/>
    <cellStyle name="60% - Accent5 49" xfId="22627"/>
    <cellStyle name="60% - Accent5 5" xfId="22628"/>
    <cellStyle name="60% - Accent5 50" xfId="22629"/>
    <cellStyle name="60% - Accent5 51" xfId="22630"/>
    <cellStyle name="60% - Accent5 52" xfId="22631"/>
    <cellStyle name="60% - Accent5 53" xfId="22632"/>
    <cellStyle name="60% - Accent5 54" xfId="22633"/>
    <cellStyle name="60% - Accent5 55" xfId="22634"/>
    <cellStyle name="60% - Accent5 56" xfId="22635"/>
    <cellStyle name="60% - Accent5 57" xfId="22636"/>
    <cellStyle name="60% - Accent5 58" xfId="22637"/>
    <cellStyle name="60% - Accent5 59" xfId="22638"/>
    <cellStyle name="60% - Accent5 6" xfId="22639"/>
    <cellStyle name="60% - Accent5 60" xfId="22640"/>
    <cellStyle name="60% - Accent5 61" xfId="22641"/>
    <cellStyle name="60% - Accent5 62" xfId="22642"/>
    <cellStyle name="60% - Accent5 63" xfId="22643"/>
    <cellStyle name="60% - Accent5 64" xfId="22644"/>
    <cellStyle name="60% - Accent5 65" xfId="22645"/>
    <cellStyle name="60% - Accent5 66" xfId="22646"/>
    <cellStyle name="60% - Accent5 67" xfId="22647"/>
    <cellStyle name="60% - Accent5 68" xfId="22648"/>
    <cellStyle name="60% - Accent5 69" xfId="22649"/>
    <cellStyle name="60% - Accent5 7" xfId="22650"/>
    <cellStyle name="60% - Accent5 8" xfId="22651"/>
    <cellStyle name="60% - Accent5 9" xfId="22652"/>
    <cellStyle name="60% - Accent6 10" xfId="22653"/>
    <cellStyle name="60% - Accent6 11" xfId="22654"/>
    <cellStyle name="60% - Accent6 12" xfId="22655"/>
    <cellStyle name="60% - Accent6 13" xfId="22656"/>
    <cellStyle name="60% - Accent6 14" xfId="22657"/>
    <cellStyle name="60% - Accent6 15" xfId="22658"/>
    <cellStyle name="60% - Accent6 16" xfId="22659"/>
    <cellStyle name="60% - Accent6 17" xfId="22660"/>
    <cellStyle name="60% - Accent6 18" xfId="22661"/>
    <cellStyle name="60% - Accent6 19" xfId="22662"/>
    <cellStyle name="60% - Accent6 2" xfId="22663"/>
    <cellStyle name="60% - Accent6 20" xfId="22664"/>
    <cellStyle name="60% - Accent6 21" xfId="22665"/>
    <cellStyle name="60% - Accent6 22" xfId="22666"/>
    <cellStyle name="60% - Accent6 23" xfId="22667"/>
    <cellStyle name="60% - Accent6 24" xfId="22668"/>
    <cellStyle name="60% - Accent6 25" xfId="22669"/>
    <cellStyle name="60% - Accent6 26" xfId="22670"/>
    <cellStyle name="60% - Accent6 27" xfId="22671"/>
    <cellStyle name="60% - Accent6 28" xfId="22672"/>
    <cellStyle name="60% - Accent6 29" xfId="22673"/>
    <cellStyle name="60% - Accent6 3" xfId="22674"/>
    <cellStyle name="60% - Accent6 30" xfId="22675"/>
    <cellStyle name="60% - Accent6 31" xfId="22676"/>
    <cellStyle name="60% - Accent6 32" xfId="22677"/>
    <cellStyle name="60% - Accent6 33" xfId="22678"/>
    <cellStyle name="60% - Accent6 34" xfId="22679"/>
    <cellStyle name="60% - Accent6 35" xfId="22680"/>
    <cellStyle name="60% - Accent6 36" xfId="22681"/>
    <cellStyle name="60% - Accent6 37" xfId="22682"/>
    <cellStyle name="60% - Accent6 38" xfId="22683"/>
    <cellStyle name="60% - Accent6 39" xfId="22684"/>
    <cellStyle name="60% - Accent6 4" xfId="22685"/>
    <cellStyle name="60% - Accent6 40" xfId="22686"/>
    <cellStyle name="60% - Accent6 41" xfId="22687"/>
    <cellStyle name="60% - Accent6 42" xfId="22688"/>
    <cellStyle name="60% - Accent6 43" xfId="22689"/>
    <cellStyle name="60% - Accent6 44" xfId="22690"/>
    <cellStyle name="60% - Accent6 45" xfId="22691"/>
    <cellStyle name="60% - Accent6 46" xfId="22692"/>
    <cellStyle name="60% - Accent6 47" xfId="22693"/>
    <cellStyle name="60% - Accent6 48" xfId="22694"/>
    <cellStyle name="60% - Accent6 49" xfId="22695"/>
    <cellStyle name="60% - Accent6 5" xfId="22696"/>
    <cellStyle name="60% - Accent6 50" xfId="22697"/>
    <cellStyle name="60% - Accent6 51" xfId="22698"/>
    <cellStyle name="60% - Accent6 52" xfId="22699"/>
    <cellStyle name="60% - Accent6 53" xfId="22700"/>
    <cellStyle name="60% - Accent6 54" xfId="22701"/>
    <cellStyle name="60% - Accent6 55" xfId="22702"/>
    <cellStyle name="60% - Accent6 56" xfId="22703"/>
    <cellStyle name="60% - Accent6 57" xfId="22704"/>
    <cellStyle name="60% - Accent6 58" xfId="22705"/>
    <cellStyle name="60% - Accent6 59" xfId="22706"/>
    <cellStyle name="60% - Accent6 6" xfId="22707"/>
    <cellStyle name="60% - Accent6 60" xfId="22708"/>
    <cellStyle name="60% - Accent6 61" xfId="22709"/>
    <cellStyle name="60% - Accent6 62" xfId="22710"/>
    <cellStyle name="60% - Accent6 63" xfId="22711"/>
    <cellStyle name="60% - Accent6 64" xfId="22712"/>
    <cellStyle name="60% - Accent6 65" xfId="22713"/>
    <cellStyle name="60% - Accent6 66" xfId="22714"/>
    <cellStyle name="60% - Accent6 67" xfId="22715"/>
    <cellStyle name="60% - Accent6 68" xfId="22716"/>
    <cellStyle name="60% - Accent6 69" xfId="22717"/>
    <cellStyle name="60% - Accent6 7" xfId="22718"/>
    <cellStyle name="60% - Accent6 8" xfId="22719"/>
    <cellStyle name="60% - Accent6 9" xfId="22720"/>
    <cellStyle name="60% - ส่วนที่ถูกเน้น1" xfId="22721"/>
    <cellStyle name="60% - ส่วนที่ถูกเน้น1 2" xfId="22722"/>
    <cellStyle name="60% - ส่วนที่ถูกเน้น1 3" xfId="22723"/>
    <cellStyle name="60% - ส่วนที่ถูกเน้น1 4" xfId="22724"/>
    <cellStyle name="60% - ส่วนที่ถูกเน้น1 5" xfId="22725"/>
    <cellStyle name="60% - ส่วนที่ถูกเน้น1 6" xfId="22726"/>
    <cellStyle name="60% - ส่วนที่ถูกเน้น1 7" xfId="22727"/>
    <cellStyle name="60% - ส่วนที่ถูกเน้น2" xfId="22728"/>
    <cellStyle name="60% - ส่วนที่ถูกเน้น2 2" xfId="22729"/>
    <cellStyle name="60% - ส่วนที่ถูกเน้น2 3" xfId="22730"/>
    <cellStyle name="60% - ส่วนที่ถูกเน้น2 4" xfId="22731"/>
    <cellStyle name="60% - ส่วนที่ถูกเน้น2 5" xfId="22732"/>
    <cellStyle name="60% - ส่วนที่ถูกเน้น2 6" xfId="22733"/>
    <cellStyle name="60% - ส่วนที่ถูกเน้น2 7" xfId="22734"/>
    <cellStyle name="60% - ส่วนที่ถูกเน้น3" xfId="22735"/>
    <cellStyle name="60% - ส่วนที่ถูกเน้น3 2" xfId="22736"/>
    <cellStyle name="60% - ส่วนที่ถูกเน้น3 3" xfId="22737"/>
    <cellStyle name="60% - ส่วนที่ถูกเน้น3 4" xfId="22738"/>
    <cellStyle name="60% - ส่วนที่ถูกเน้น3 5" xfId="22739"/>
    <cellStyle name="60% - ส่วนที่ถูกเน้น3 6" xfId="22740"/>
    <cellStyle name="60% - ส่วนที่ถูกเน้น3 7" xfId="22741"/>
    <cellStyle name="60% - ส่วนที่ถูกเน้น4" xfId="22742"/>
    <cellStyle name="60% - ส่วนที่ถูกเน้น4 2" xfId="22743"/>
    <cellStyle name="60% - ส่วนที่ถูกเน้น4 3" xfId="22744"/>
    <cellStyle name="60% - ส่วนที่ถูกเน้น4 4" xfId="22745"/>
    <cellStyle name="60% - ส่วนที่ถูกเน้น4 5" xfId="22746"/>
    <cellStyle name="60% - ส่วนที่ถูกเน้น4 6" xfId="22747"/>
    <cellStyle name="60% - ส่วนที่ถูกเน้น4 7" xfId="22748"/>
    <cellStyle name="60% - ส่วนที่ถูกเน้น5" xfId="22749"/>
    <cellStyle name="60% - ส่วนที่ถูกเน้น5 2" xfId="22750"/>
    <cellStyle name="60% - ส่วนที่ถูกเน้น5 3" xfId="22751"/>
    <cellStyle name="60% - ส่วนที่ถูกเน้น5 4" xfId="22752"/>
    <cellStyle name="60% - ส่วนที่ถูกเน้น5 5" xfId="22753"/>
    <cellStyle name="60% - ส่วนที่ถูกเน้น5 6" xfId="22754"/>
    <cellStyle name="60% - ส่วนที่ถูกเน้น5 7" xfId="22755"/>
    <cellStyle name="60% - ส่วนที่ถูกเน้น6" xfId="22756"/>
    <cellStyle name="60% - ส่วนที่ถูกเน้น6 2" xfId="22757"/>
    <cellStyle name="60% - ส่วนที่ถูกเน้น6 3" xfId="22758"/>
    <cellStyle name="60% - ส่วนที่ถูกเน้น6 4" xfId="22759"/>
    <cellStyle name="60% - ส่วนที่ถูกเน้น6 5" xfId="22760"/>
    <cellStyle name="60% - ส่วนที่ถูกเน้น6 6" xfId="22761"/>
    <cellStyle name="60% - ส่วนที่ถูกเน้น6 7" xfId="22762"/>
    <cellStyle name="75" xfId="22763"/>
    <cellStyle name="Accent1 - 20%" xfId="22764"/>
    <cellStyle name="Accent1 - 40%" xfId="22765"/>
    <cellStyle name="Accent1 - 60%" xfId="22766"/>
    <cellStyle name="Accent1 10" xfId="22767"/>
    <cellStyle name="Accent1 11" xfId="22768"/>
    <cellStyle name="Accent1 12" xfId="22769"/>
    <cellStyle name="Accent1 13" xfId="22770"/>
    <cellStyle name="Accent1 14" xfId="22771"/>
    <cellStyle name="Accent1 15" xfId="22772"/>
    <cellStyle name="Accent1 16" xfId="22773"/>
    <cellStyle name="Accent1 17" xfId="22774"/>
    <cellStyle name="Accent1 18" xfId="22775"/>
    <cellStyle name="Accent1 19" xfId="22776"/>
    <cellStyle name="Accent1 2" xfId="22777"/>
    <cellStyle name="Accent1 20" xfId="22778"/>
    <cellStyle name="Accent1 21" xfId="22779"/>
    <cellStyle name="Accent1 22" xfId="22780"/>
    <cellStyle name="Accent1 23" xfId="22781"/>
    <cellStyle name="Accent1 24" xfId="22782"/>
    <cellStyle name="Accent1 25" xfId="22783"/>
    <cellStyle name="Accent1 26" xfId="22784"/>
    <cellStyle name="Accent1 27" xfId="22785"/>
    <cellStyle name="Accent1 28" xfId="22786"/>
    <cellStyle name="Accent1 29" xfId="22787"/>
    <cellStyle name="Accent1 3" xfId="22788"/>
    <cellStyle name="Accent1 30" xfId="22789"/>
    <cellStyle name="Accent1 31" xfId="22790"/>
    <cellStyle name="Accent1 32" xfId="22791"/>
    <cellStyle name="Accent1 33" xfId="22792"/>
    <cellStyle name="Accent1 34" xfId="22793"/>
    <cellStyle name="Accent1 35" xfId="22794"/>
    <cellStyle name="Accent1 36" xfId="22795"/>
    <cellStyle name="Accent1 37" xfId="22796"/>
    <cellStyle name="Accent1 38" xfId="22797"/>
    <cellStyle name="Accent1 39" xfId="22798"/>
    <cellStyle name="Accent1 4" xfId="22799"/>
    <cellStyle name="Accent1 40" xfId="22800"/>
    <cellStyle name="Accent1 41" xfId="22801"/>
    <cellStyle name="Accent1 42" xfId="22802"/>
    <cellStyle name="Accent1 43" xfId="22803"/>
    <cellStyle name="Accent1 44" xfId="22804"/>
    <cellStyle name="Accent1 45" xfId="22805"/>
    <cellStyle name="Accent1 46" xfId="22806"/>
    <cellStyle name="Accent1 47" xfId="22807"/>
    <cellStyle name="Accent1 48" xfId="22808"/>
    <cellStyle name="Accent1 49" xfId="22809"/>
    <cellStyle name="Accent1 5" xfId="22810"/>
    <cellStyle name="Accent1 50" xfId="22811"/>
    <cellStyle name="Accent1 51" xfId="22812"/>
    <cellStyle name="Accent1 52" xfId="22813"/>
    <cellStyle name="Accent1 53" xfId="22814"/>
    <cellStyle name="Accent1 54" xfId="22815"/>
    <cellStyle name="Accent1 55" xfId="22816"/>
    <cellStyle name="Accent1 56" xfId="22817"/>
    <cellStyle name="Accent1 57" xfId="22818"/>
    <cellStyle name="Accent1 58" xfId="22819"/>
    <cellStyle name="Accent1 59" xfId="22820"/>
    <cellStyle name="Accent1 6" xfId="22821"/>
    <cellStyle name="Accent1 60" xfId="22822"/>
    <cellStyle name="Accent1 61" xfId="22823"/>
    <cellStyle name="Accent1 62" xfId="22824"/>
    <cellStyle name="Accent1 63" xfId="22825"/>
    <cellStyle name="Accent1 64" xfId="22826"/>
    <cellStyle name="Accent1 65" xfId="22827"/>
    <cellStyle name="Accent1 66" xfId="22828"/>
    <cellStyle name="Accent1 67" xfId="22829"/>
    <cellStyle name="Accent1 68" xfId="22830"/>
    <cellStyle name="Accent1 69" xfId="22831"/>
    <cellStyle name="Accent1 7" xfId="22832"/>
    <cellStyle name="Accent1 8" xfId="22833"/>
    <cellStyle name="Accent1 9" xfId="22834"/>
    <cellStyle name="Accent2 - 20%" xfId="22835"/>
    <cellStyle name="Accent2 - 40%" xfId="22836"/>
    <cellStyle name="Accent2 - 60%" xfId="22837"/>
    <cellStyle name="Accent2 10" xfId="22838"/>
    <cellStyle name="Accent2 11" xfId="22839"/>
    <cellStyle name="Accent2 12" xfId="22840"/>
    <cellStyle name="Accent2 13" xfId="22841"/>
    <cellStyle name="Accent2 14" xfId="22842"/>
    <cellStyle name="Accent2 15" xfId="22843"/>
    <cellStyle name="Accent2 16" xfId="22844"/>
    <cellStyle name="Accent2 17" xfId="22845"/>
    <cellStyle name="Accent2 18" xfId="22846"/>
    <cellStyle name="Accent2 19" xfId="22847"/>
    <cellStyle name="Accent2 2" xfId="22848"/>
    <cellStyle name="Accent2 20" xfId="22849"/>
    <cellStyle name="Accent2 21" xfId="22850"/>
    <cellStyle name="Accent2 22" xfId="22851"/>
    <cellStyle name="Accent2 23" xfId="22852"/>
    <cellStyle name="Accent2 24" xfId="22853"/>
    <cellStyle name="Accent2 25" xfId="22854"/>
    <cellStyle name="Accent2 26" xfId="22855"/>
    <cellStyle name="Accent2 27" xfId="22856"/>
    <cellStyle name="Accent2 28" xfId="22857"/>
    <cellStyle name="Accent2 29" xfId="22858"/>
    <cellStyle name="Accent2 3" xfId="22859"/>
    <cellStyle name="Accent2 30" xfId="22860"/>
    <cellStyle name="Accent2 31" xfId="22861"/>
    <cellStyle name="Accent2 32" xfId="22862"/>
    <cellStyle name="Accent2 33" xfId="22863"/>
    <cellStyle name="Accent2 34" xfId="22864"/>
    <cellStyle name="Accent2 35" xfId="22865"/>
    <cellStyle name="Accent2 36" xfId="22866"/>
    <cellStyle name="Accent2 37" xfId="22867"/>
    <cellStyle name="Accent2 38" xfId="22868"/>
    <cellStyle name="Accent2 39" xfId="22869"/>
    <cellStyle name="Accent2 4" xfId="22870"/>
    <cellStyle name="Accent2 40" xfId="22871"/>
    <cellStyle name="Accent2 41" xfId="22872"/>
    <cellStyle name="Accent2 42" xfId="22873"/>
    <cellStyle name="Accent2 43" xfId="22874"/>
    <cellStyle name="Accent2 44" xfId="22875"/>
    <cellStyle name="Accent2 45" xfId="22876"/>
    <cellStyle name="Accent2 46" xfId="22877"/>
    <cellStyle name="Accent2 47" xfId="22878"/>
    <cellStyle name="Accent2 48" xfId="22879"/>
    <cellStyle name="Accent2 49" xfId="22880"/>
    <cellStyle name="Accent2 5" xfId="22881"/>
    <cellStyle name="Accent2 50" xfId="22882"/>
    <cellStyle name="Accent2 51" xfId="22883"/>
    <cellStyle name="Accent2 52" xfId="22884"/>
    <cellStyle name="Accent2 53" xfId="22885"/>
    <cellStyle name="Accent2 54" xfId="22886"/>
    <cellStyle name="Accent2 55" xfId="22887"/>
    <cellStyle name="Accent2 56" xfId="22888"/>
    <cellStyle name="Accent2 57" xfId="22889"/>
    <cellStyle name="Accent2 58" xfId="22890"/>
    <cellStyle name="Accent2 59" xfId="22891"/>
    <cellStyle name="Accent2 6" xfId="22892"/>
    <cellStyle name="Accent2 60" xfId="22893"/>
    <cellStyle name="Accent2 61" xfId="22894"/>
    <cellStyle name="Accent2 62" xfId="22895"/>
    <cellStyle name="Accent2 63" xfId="22896"/>
    <cellStyle name="Accent2 64" xfId="22897"/>
    <cellStyle name="Accent2 65" xfId="22898"/>
    <cellStyle name="Accent2 66" xfId="22899"/>
    <cellStyle name="Accent2 67" xfId="22900"/>
    <cellStyle name="Accent2 68" xfId="22901"/>
    <cellStyle name="Accent2 69" xfId="22902"/>
    <cellStyle name="Accent2 7" xfId="22903"/>
    <cellStyle name="Accent2 8" xfId="22904"/>
    <cellStyle name="Accent2 9" xfId="22905"/>
    <cellStyle name="Accent3 - 20%" xfId="22906"/>
    <cellStyle name="Accent3 - 40%" xfId="22907"/>
    <cellStyle name="Accent3 - 60%" xfId="22908"/>
    <cellStyle name="Accent3 10" xfId="22909"/>
    <cellStyle name="Accent3 11" xfId="22910"/>
    <cellStyle name="Accent3 12" xfId="22911"/>
    <cellStyle name="Accent3 13" xfId="22912"/>
    <cellStyle name="Accent3 14" xfId="22913"/>
    <cellStyle name="Accent3 15" xfId="22914"/>
    <cellStyle name="Accent3 16" xfId="22915"/>
    <cellStyle name="Accent3 17" xfId="22916"/>
    <cellStyle name="Accent3 18" xfId="22917"/>
    <cellStyle name="Accent3 19" xfId="22918"/>
    <cellStyle name="Accent3 2" xfId="22919"/>
    <cellStyle name="Accent3 20" xfId="22920"/>
    <cellStyle name="Accent3 21" xfId="22921"/>
    <cellStyle name="Accent3 22" xfId="22922"/>
    <cellStyle name="Accent3 23" xfId="22923"/>
    <cellStyle name="Accent3 24" xfId="22924"/>
    <cellStyle name="Accent3 25" xfId="22925"/>
    <cellStyle name="Accent3 26" xfId="22926"/>
    <cellStyle name="Accent3 27" xfId="22927"/>
    <cellStyle name="Accent3 28" xfId="22928"/>
    <cellStyle name="Accent3 29" xfId="22929"/>
    <cellStyle name="Accent3 3" xfId="22930"/>
    <cellStyle name="Accent3 30" xfId="22931"/>
    <cellStyle name="Accent3 31" xfId="22932"/>
    <cellStyle name="Accent3 32" xfId="22933"/>
    <cellStyle name="Accent3 33" xfId="22934"/>
    <cellStyle name="Accent3 34" xfId="22935"/>
    <cellStyle name="Accent3 35" xfId="22936"/>
    <cellStyle name="Accent3 36" xfId="22937"/>
    <cellStyle name="Accent3 37" xfId="22938"/>
    <cellStyle name="Accent3 38" xfId="22939"/>
    <cellStyle name="Accent3 39" xfId="22940"/>
    <cellStyle name="Accent3 4" xfId="22941"/>
    <cellStyle name="Accent3 40" xfId="22942"/>
    <cellStyle name="Accent3 41" xfId="22943"/>
    <cellStyle name="Accent3 42" xfId="22944"/>
    <cellStyle name="Accent3 43" xfId="22945"/>
    <cellStyle name="Accent3 44" xfId="22946"/>
    <cellStyle name="Accent3 45" xfId="22947"/>
    <cellStyle name="Accent3 46" xfId="22948"/>
    <cellStyle name="Accent3 47" xfId="22949"/>
    <cellStyle name="Accent3 48" xfId="22950"/>
    <cellStyle name="Accent3 49" xfId="22951"/>
    <cellStyle name="Accent3 5" xfId="22952"/>
    <cellStyle name="Accent3 50" xfId="22953"/>
    <cellStyle name="Accent3 51" xfId="22954"/>
    <cellStyle name="Accent3 52" xfId="22955"/>
    <cellStyle name="Accent3 53" xfId="22956"/>
    <cellStyle name="Accent3 54" xfId="22957"/>
    <cellStyle name="Accent3 55" xfId="22958"/>
    <cellStyle name="Accent3 56" xfId="22959"/>
    <cellStyle name="Accent3 57" xfId="22960"/>
    <cellStyle name="Accent3 58" xfId="22961"/>
    <cellStyle name="Accent3 59" xfId="22962"/>
    <cellStyle name="Accent3 6" xfId="22963"/>
    <cellStyle name="Accent3 60" xfId="22964"/>
    <cellStyle name="Accent3 61" xfId="22965"/>
    <cellStyle name="Accent3 62" xfId="22966"/>
    <cellStyle name="Accent3 63" xfId="22967"/>
    <cellStyle name="Accent3 64" xfId="22968"/>
    <cellStyle name="Accent3 65" xfId="22969"/>
    <cellStyle name="Accent3 66" xfId="22970"/>
    <cellStyle name="Accent3 67" xfId="22971"/>
    <cellStyle name="Accent3 68" xfId="22972"/>
    <cellStyle name="Accent3 69" xfId="22973"/>
    <cellStyle name="Accent3 7" xfId="22974"/>
    <cellStyle name="Accent3 8" xfId="22975"/>
    <cellStyle name="Accent3 9" xfId="22976"/>
    <cellStyle name="Accent4 - 20%" xfId="22977"/>
    <cellStyle name="Accent4 - 40%" xfId="22978"/>
    <cellStyle name="Accent4 - 60%" xfId="22979"/>
    <cellStyle name="Accent4 10" xfId="22980"/>
    <cellStyle name="Accent4 11" xfId="22981"/>
    <cellStyle name="Accent4 12" xfId="22982"/>
    <cellStyle name="Accent4 13" xfId="22983"/>
    <cellStyle name="Accent4 14" xfId="22984"/>
    <cellStyle name="Accent4 15" xfId="22985"/>
    <cellStyle name="Accent4 16" xfId="22986"/>
    <cellStyle name="Accent4 17" xfId="22987"/>
    <cellStyle name="Accent4 18" xfId="22988"/>
    <cellStyle name="Accent4 19" xfId="22989"/>
    <cellStyle name="Accent4 2" xfId="22990"/>
    <cellStyle name="Accent4 20" xfId="22991"/>
    <cellStyle name="Accent4 21" xfId="22992"/>
    <cellStyle name="Accent4 22" xfId="22993"/>
    <cellStyle name="Accent4 23" xfId="22994"/>
    <cellStyle name="Accent4 24" xfId="22995"/>
    <cellStyle name="Accent4 25" xfId="22996"/>
    <cellStyle name="Accent4 26" xfId="22997"/>
    <cellStyle name="Accent4 27" xfId="22998"/>
    <cellStyle name="Accent4 28" xfId="22999"/>
    <cellStyle name="Accent4 29" xfId="23000"/>
    <cellStyle name="Accent4 3" xfId="23001"/>
    <cellStyle name="Accent4 30" xfId="23002"/>
    <cellStyle name="Accent4 31" xfId="23003"/>
    <cellStyle name="Accent4 32" xfId="23004"/>
    <cellStyle name="Accent4 33" xfId="23005"/>
    <cellStyle name="Accent4 34" xfId="23006"/>
    <cellStyle name="Accent4 35" xfId="23007"/>
    <cellStyle name="Accent4 36" xfId="23008"/>
    <cellStyle name="Accent4 37" xfId="23009"/>
    <cellStyle name="Accent4 38" xfId="23010"/>
    <cellStyle name="Accent4 39" xfId="23011"/>
    <cellStyle name="Accent4 4" xfId="23012"/>
    <cellStyle name="Accent4 40" xfId="23013"/>
    <cellStyle name="Accent4 41" xfId="23014"/>
    <cellStyle name="Accent4 42" xfId="23015"/>
    <cellStyle name="Accent4 43" xfId="23016"/>
    <cellStyle name="Accent4 44" xfId="23017"/>
    <cellStyle name="Accent4 45" xfId="23018"/>
    <cellStyle name="Accent4 46" xfId="23019"/>
    <cellStyle name="Accent4 47" xfId="23020"/>
    <cellStyle name="Accent4 48" xfId="23021"/>
    <cellStyle name="Accent4 49" xfId="23022"/>
    <cellStyle name="Accent4 5" xfId="23023"/>
    <cellStyle name="Accent4 50" xfId="23024"/>
    <cellStyle name="Accent4 51" xfId="23025"/>
    <cellStyle name="Accent4 52" xfId="23026"/>
    <cellStyle name="Accent4 53" xfId="23027"/>
    <cellStyle name="Accent4 54" xfId="23028"/>
    <cellStyle name="Accent4 55" xfId="23029"/>
    <cellStyle name="Accent4 56" xfId="23030"/>
    <cellStyle name="Accent4 57" xfId="23031"/>
    <cellStyle name="Accent4 58" xfId="23032"/>
    <cellStyle name="Accent4 59" xfId="23033"/>
    <cellStyle name="Accent4 6" xfId="23034"/>
    <cellStyle name="Accent4 60" xfId="23035"/>
    <cellStyle name="Accent4 61" xfId="23036"/>
    <cellStyle name="Accent4 62" xfId="23037"/>
    <cellStyle name="Accent4 63" xfId="23038"/>
    <cellStyle name="Accent4 64" xfId="23039"/>
    <cellStyle name="Accent4 65" xfId="23040"/>
    <cellStyle name="Accent4 66" xfId="23041"/>
    <cellStyle name="Accent4 67" xfId="23042"/>
    <cellStyle name="Accent4 68" xfId="23043"/>
    <cellStyle name="Accent4 69" xfId="23044"/>
    <cellStyle name="Accent4 7" xfId="23045"/>
    <cellStyle name="Accent4 8" xfId="23046"/>
    <cellStyle name="Accent4 9" xfId="23047"/>
    <cellStyle name="Accent5 - 20%" xfId="23048"/>
    <cellStyle name="Accent5 - 40%" xfId="23049"/>
    <cellStyle name="Accent5 - 60%" xfId="23050"/>
    <cellStyle name="Accent5 10" xfId="23051"/>
    <cellStyle name="Accent5 11" xfId="23052"/>
    <cellStyle name="Accent5 12" xfId="23053"/>
    <cellStyle name="Accent5 13" xfId="23054"/>
    <cellStyle name="Accent5 14" xfId="23055"/>
    <cellStyle name="Accent5 15" xfId="23056"/>
    <cellStyle name="Accent5 16" xfId="23057"/>
    <cellStyle name="Accent5 17" xfId="23058"/>
    <cellStyle name="Accent5 18" xfId="23059"/>
    <cellStyle name="Accent5 19" xfId="23060"/>
    <cellStyle name="Accent5 2" xfId="23061"/>
    <cellStyle name="Accent5 20" xfId="23062"/>
    <cellStyle name="Accent5 21" xfId="23063"/>
    <cellStyle name="Accent5 22" xfId="23064"/>
    <cellStyle name="Accent5 23" xfId="23065"/>
    <cellStyle name="Accent5 24" xfId="23066"/>
    <cellStyle name="Accent5 25" xfId="23067"/>
    <cellStyle name="Accent5 26" xfId="23068"/>
    <cellStyle name="Accent5 27" xfId="23069"/>
    <cellStyle name="Accent5 28" xfId="23070"/>
    <cellStyle name="Accent5 29" xfId="23071"/>
    <cellStyle name="Accent5 3" xfId="23072"/>
    <cellStyle name="Accent5 30" xfId="23073"/>
    <cellStyle name="Accent5 31" xfId="23074"/>
    <cellStyle name="Accent5 32" xfId="23075"/>
    <cellStyle name="Accent5 33" xfId="23076"/>
    <cellStyle name="Accent5 34" xfId="23077"/>
    <cellStyle name="Accent5 35" xfId="23078"/>
    <cellStyle name="Accent5 36" xfId="23079"/>
    <cellStyle name="Accent5 37" xfId="23080"/>
    <cellStyle name="Accent5 38" xfId="23081"/>
    <cellStyle name="Accent5 39" xfId="23082"/>
    <cellStyle name="Accent5 4" xfId="23083"/>
    <cellStyle name="Accent5 40" xfId="23084"/>
    <cellStyle name="Accent5 41" xfId="23085"/>
    <cellStyle name="Accent5 42" xfId="23086"/>
    <cellStyle name="Accent5 43" xfId="23087"/>
    <cellStyle name="Accent5 44" xfId="23088"/>
    <cellStyle name="Accent5 45" xfId="23089"/>
    <cellStyle name="Accent5 46" xfId="23090"/>
    <cellStyle name="Accent5 47" xfId="23091"/>
    <cellStyle name="Accent5 48" xfId="23092"/>
    <cellStyle name="Accent5 49" xfId="23093"/>
    <cellStyle name="Accent5 5" xfId="23094"/>
    <cellStyle name="Accent5 50" xfId="23095"/>
    <cellStyle name="Accent5 51" xfId="23096"/>
    <cellStyle name="Accent5 52" xfId="23097"/>
    <cellStyle name="Accent5 53" xfId="23098"/>
    <cellStyle name="Accent5 54" xfId="23099"/>
    <cellStyle name="Accent5 55" xfId="23100"/>
    <cellStyle name="Accent5 56" xfId="23101"/>
    <cellStyle name="Accent5 57" xfId="23102"/>
    <cellStyle name="Accent5 58" xfId="23103"/>
    <cellStyle name="Accent5 59" xfId="23104"/>
    <cellStyle name="Accent5 6" xfId="23105"/>
    <cellStyle name="Accent5 60" xfId="23106"/>
    <cellStyle name="Accent5 61" xfId="23107"/>
    <cellStyle name="Accent5 62" xfId="23108"/>
    <cellStyle name="Accent5 63" xfId="23109"/>
    <cellStyle name="Accent5 64" xfId="23110"/>
    <cellStyle name="Accent5 65" xfId="23111"/>
    <cellStyle name="Accent5 66" xfId="23112"/>
    <cellStyle name="Accent5 67" xfId="23113"/>
    <cellStyle name="Accent5 68" xfId="23114"/>
    <cellStyle name="Accent5 69" xfId="23115"/>
    <cellStyle name="Accent5 7" xfId="23116"/>
    <cellStyle name="Accent5 8" xfId="23117"/>
    <cellStyle name="Accent5 9" xfId="23118"/>
    <cellStyle name="Accent6 - 20%" xfId="23119"/>
    <cellStyle name="Accent6 - 40%" xfId="23120"/>
    <cellStyle name="Accent6 - 60%" xfId="23121"/>
    <cellStyle name="Accent6 10" xfId="23122"/>
    <cellStyle name="Accent6 11" xfId="23123"/>
    <cellStyle name="Accent6 12" xfId="23124"/>
    <cellStyle name="Accent6 13" xfId="23125"/>
    <cellStyle name="Accent6 14" xfId="23126"/>
    <cellStyle name="Accent6 15" xfId="23127"/>
    <cellStyle name="Accent6 16" xfId="23128"/>
    <cellStyle name="Accent6 17" xfId="23129"/>
    <cellStyle name="Accent6 18" xfId="23130"/>
    <cellStyle name="Accent6 19" xfId="23131"/>
    <cellStyle name="Accent6 2" xfId="23132"/>
    <cellStyle name="Accent6 20" xfId="23133"/>
    <cellStyle name="Accent6 21" xfId="23134"/>
    <cellStyle name="Accent6 22" xfId="23135"/>
    <cellStyle name="Accent6 23" xfId="23136"/>
    <cellStyle name="Accent6 24" xfId="23137"/>
    <cellStyle name="Accent6 25" xfId="23138"/>
    <cellStyle name="Accent6 26" xfId="23139"/>
    <cellStyle name="Accent6 27" xfId="23140"/>
    <cellStyle name="Accent6 28" xfId="23141"/>
    <cellStyle name="Accent6 29" xfId="23142"/>
    <cellStyle name="Accent6 3" xfId="23143"/>
    <cellStyle name="Accent6 30" xfId="23144"/>
    <cellStyle name="Accent6 31" xfId="23145"/>
    <cellStyle name="Accent6 32" xfId="23146"/>
    <cellStyle name="Accent6 33" xfId="23147"/>
    <cellStyle name="Accent6 34" xfId="23148"/>
    <cellStyle name="Accent6 35" xfId="23149"/>
    <cellStyle name="Accent6 36" xfId="23150"/>
    <cellStyle name="Accent6 37" xfId="23151"/>
    <cellStyle name="Accent6 38" xfId="23152"/>
    <cellStyle name="Accent6 39" xfId="23153"/>
    <cellStyle name="Accent6 4" xfId="23154"/>
    <cellStyle name="Accent6 40" xfId="23155"/>
    <cellStyle name="Accent6 41" xfId="23156"/>
    <cellStyle name="Accent6 42" xfId="23157"/>
    <cellStyle name="Accent6 43" xfId="23158"/>
    <cellStyle name="Accent6 44" xfId="23159"/>
    <cellStyle name="Accent6 45" xfId="23160"/>
    <cellStyle name="Accent6 46" xfId="23161"/>
    <cellStyle name="Accent6 47" xfId="23162"/>
    <cellStyle name="Accent6 48" xfId="23163"/>
    <cellStyle name="Accent6 49" xfId="23164"/>
    <cellStyle name="Accent6 5" xfId="23165"/>
    <cellStyle name="Accent6 50" xfId="23166"/>
    <cellStyle name="Accent6 51" xfId="23167"/>
    <cellStyle name="Accent6 52" xfId="23168"/>
    <cellStyle name="Accent6 53" xfId="23169"/>
    <cellStyle name="Accent6 54" xfId="23170"/>
    <cellStyle name="Accent6 55" xfId="23171"/>
    <cellStyle name="Accent6 56" xfId="23172"/>
    <cellStyle name="Accent6 57" xfId="23173"/>
    <cellStyle name="Accent6 58" xfId="23174"/>
    <cellStyle name="Accent6 59" xfId="23175"/>
    <cellStyle name="Accent6 6" xfId="23176"/>
    <cellStyle name="Accent6 60" xfId="23177"/>
    <cellStyle name="Accent6 61" xfId="23178"/>
    <cellStyle name="Accent6 62" xfId="23179"/>
    <cellStyle name="Accent6 63" xfId="23180"/>
    <cellStyle name="Accent6 64" xfId="23181"/>
    <cellStyle name="Accent6 65" xfId="23182"/>
    <cellStyle name="Accent6 66" xfId="23183"/>
    <cellStyle name="Accent6 67" xfId="23184"/>
    <cellStyle name="Accent6 68" xfId="23185"/>
    <cellStyle name="Accent6 69" xfId="23186"/>
    <cellStyle name="Accent6 7" xfId="23187"/>
    <cellStyle name="Accent6 8" xfId="23188"/>
    <cellStyle name="Accent6 9" xfId="23189"/>
    <cellStyle name="AeE­ [0]_½C¿¹PL " xfId="23190"/>
    <cellStyle name="AeE­_½C¿¹PL " xfId="23191"/>
    <cellStyle name="args.style" xfId="23192"/>
    <cellStyle name="AÞ¸¶ [0]_½C¿¹PL " xfId="23193"/>
    <cellStyle name="AÞ¸¶_½C¿¹PL " xfId="23194"/>
    <cellStyle name="Bad 10" xfId="23195"/>
    <cellStyle name="Bad 11" xfId="23196"/>
    <cellStyle name="Bad 12" xfId="23197"/>
    <cellStyle name="Bad 13" xfId="23198"/>
    <cellStyle name="Bad 14" xfId="23199"/>
    <cellStyle name="Bad 15" xfId="23200"/>
    <cellStyle name="Bad 16" xfId="23201"/>
    <cellStyle name="Bad 17" xfId="23202"/>
    <cellStyle name="Bad 18" xfId="23203"/>
    <cellStyle name="Bad 19" xfId="23204"/>
    <cellStyle name="Bad 2" xfId="23205"/>
    <cellStyle name="Bad 20" xfId="23206"/>
    <cellStyle name="Bad 21" xfId="23207"/>
    <cellStyle name="Bad 22" xfId="23208"/>
    <cellStyle name="Bad 23" xfId="23209"/>
    <cellStyle name="Bad 24" xfId="23210"/>
    <cellStyle name="Bad 25" xfId="23211"/>
    <cellStyle name="Bad 26" xfId="23212"/>
    <cellStyle name="Bad 27" xfId="23213"/>
    <cellStyle name="Bad 28" xfId="23214"/>
    <cellStyle name="Bad 29" xfId="23215"/>
    <cellStyle name="Bad 3" xfId="23216"/>
    <cellStyle name="Bad 30" xfId="23217"/>
    <cellStyle name="Bad 31" xfId="23218"/>
    <cellStyle name="Bad 32" xfId="23219"/>
    <cellStyle name="Bad 33" xfId="23220"/>
    <cellStyle name="Bad 34" xfId="23221"/>
    <cellStyle name="Bad 35" xfId="23222"/>
    <cellStyle name="Bad 36" xfId="23223"/>
    <cellStyle name="Bad 37" xfId="23224"/>
    <cellStyle name="Bad 38" xfId="23225"/>
    <cellStyle name="Bad 39" xfId="23226"/>
    <cellStyle name="Bad 4" xfId="23227"/>
    <cellStyle name="Bad 40" xfId="23228"/>
    <cellStyle name="Bad 41" xfId="23229"/>
    <cellStyle name="Bad 42" xfId="23230"/>
    <cellStyle name="Bad 43" xfId="23231"/>
    <cellStyle name="Bad 44" xfId="23232"/>
    <cellStyle name="Bad 45" xfId="23233"/>
    <cellStyle name="Bad 46" xfId="23234"/>
    <cellStyle name="Bad 47" xfId="23235"/>
    <cellStyle name="Bad 48" xfId="23236"/>
    <cellStyle name="Bad 49" xfId="23237"/>
    <cellStyle name="Bad 5" xfId="23238"/>
    <cellStyle name="Bad 50" xfId="23239"/>
    <cellStyle name="Bad 51" xfId="23240"/>
    <cellStyle name="Bad 52" xfId="23241"/>
    <cellStyle name="Bad 53" xfId="23242"/>
    <cellStyle name="Bad 54" xfId="23243"/>
    <cellStyle name="Bad 55" xfId="23244"/>
    <cellStyle name="Bad 56" xfId="23245"/>
    <cellStyle name="Bad 57" xfId="23246"/>
    <cellStyle name="Bad 58" xfId="23247"/>
    <cellStyle name="Bad 59" xfId="23248"/>
    <cellStyle name="Bad 6" xfId="23249"/>
    <cellStyle name="Bad 60" xfId="23250"/>
    <cellStyle name="Bad 61" xfId="23251"/>
    <cellStyle name="Bad 62" xfId="23252"/>
    <cellStyle name="Bad 63" xfId="23253"/>
    <cellStyle name="Bad 64" xfId="23254"/>
    <cellStyle name="Bad 65" xfId="23255"/>
    <cellStyle name="Bad 66" xfId="23256"/>
    <cellStyle name="Bad 67" xfId="23257"/>
    <cellStyle name="Bad 68" xfId="23258"/>
    <cellStyle name="Bad 69" xfId="23259"/>
    <cellStyle name="Bad 7" xfId="23260"/>
    <cellStyle name="Bad 8" xfId="23261"/>
    <cellStyle name="Bad 9" xfId="23262"/>
    <cellStyle name="C?AØ_¿µ¾÷CoE² " xfId="23263"/>
    <cellStyle name="C￥AØ_¿μ¾÷CoE² " xfId="23264"/>
    <cellStyle name="Calc Currency (0)" xfId="23265"/>
    <cellStyle name="Calculation 10" xfId="23266"/>
    <cellStyle name="Calculation 10 2" xfId="23267"/>
    <cellStyle name="Calculation 11" xfId="23268"/>
    <cellStyle name="Calculation 11 2" xfId="23269"/>
    <cellStyle name="Calculation 12" xfId="23270"/>
    <cellStyle name="Calculation 12 2" xfId="23271"/>
    <cellStyle name="Calculation 13" xfId="23272"/>
    <cellStyle name="Calculation 13 2" xfId="23273"/>
    <cellStyle name="Calculation 14" xfId="23274"/>
    <cellStyle name="Calculation 14 2" xfId="23275"/>
    <cellStyle name="Calculation 15" xfId="23276"/>
    <cellStyle name="Calculation 15 2" xfId="23277"/>
    <cellStyle name="Calculation 16" xfId="23278"/>
    <cellStyle name="Calculation 16 2" xfId="23279"/>
    <cellStyle name="Calculation 17" xfId="23280"/>
    <cellStyle name="Calculation 17 2" xfId="23281"/>
    <cellStyle name="Calculation 18" xfId="23282"/>
    <cellStyle name="Calculation 18 2" xfId="23283"/>
    <cellStyle name="Calculation 19" xfId="23284"/>
    <cellStyle name="Calculation 19 2" xfId="23285"/>
    <cellStyle name="Calculation 2" xfId="23286"/>
    <cellStyle name="Calculation 2 2" xfId="23287"/>
    <cellStyle name="Calculation 20" xfId="23288"/>
    <cellStyle name="Calculation 20 2" xfId="23289"/>
    <cellStyle name="Calculation 21" xfId="23290"/>
    <cellStyle name="Calculation 21 2" xfId="23291"/>
    <cellStyle name="Calculation 22" xfId="23292"/>
    <cellStyle name="Calculation 22 2" xfId="23293"/>
    <cellStyle name="Calculation 23" xfId="23294"/>
    <cellStyle name="Calculation 23 2" xfId="23295"/>
    <cellStyle name="Calculation 24" xfId="23296"/>
    <cellStyle name="Calculation 25" xfId="23297"/>
    <cellStyle name="Calculation 26" xfId="23298"/>
    <cellStyle name="Calculation 27" xfId="23299"/>
    <cellStyle name="Calculation 28" xfId="23300"/>
    <cellStyle name="Calculation 29" xfId="23301"/>
    <cellStyle name="Calculation 3" xfId="23302"/>
    <cellStyle name="Calculation 3 2" xfId="23303"/>
    <cellStyle name="Calculation 30" xfId="23304"/>
    <cellStyle name="Calculation 31" xfId="23305"/>
    <cellStyle name="Calculation 32" xfId="23306"/>
    <cellStyle name="Calculation 33" xfId="23307"/>
    <cellStyle name="Calculation 34" xfId="23308"/>
    <cellStyle name="Calculation 35" xfId="23309"/>
    <cellStyle name="Calculation 36" xfId="23310"/>
    <cellStyle name="Calculation 37" xfId="23311"/>
    <cellStyle name="Calculation 38" xfId="23312"/>
    <cellStyle name="Calculation 39" xfId="23313"/>
    <cellStyle name="Calculation 4" xfId="23314"/>
    <cellStyle name="Calculation 4 2" xfId="23315"/>
    <cellStyle name="Calculation 40" xfId="23316"/>
    <cellStyle name="Calculation 41" xfId="23317"/>
    <cellStyle name="Calculation 42" xfId="23318"/>
    <cellStyle name="Calculation 43" xfId="23319"/>
    <cellStyle name="Calculation 44" xfId="23320"/>
    <cellStyle name="Calculation 45" xfId="23321"/>
    <cellStyle name="Calculation 46" xfId="23322"/>
    <cellStyle name="Calculation 47" xfId="23323"/>
    <cellStyle name="Calculation 48" xfId="23324"/>
    <cellStyle name="Calculation 49" xfId="23325"/>
    <cellStyle name="Calculation 5" xfId="23326"/>
    <cellStyle name="Calculation 5 2" xfId="23327"/>
    <cellStyle name="Calculation 50" xfId="23328"/>
    <cellStyle name="Calculation 51" xfId="23329"/>
    <cellStyle name="Calculation 52" xfId="23330"/>
    <cellStyle name="Calculation 53" xfId="23331"/>
    <cellStyle name="Calculation 54" xfId="23332"/>
    <cellStyle name="Calculation 55" xfId="23333"/>
    <cellStyle name="Calculation 56" xfId="23334"/>
    <cellStyle name="Calculation 57" xfId="23335"/>
    <cellStyle name="Calculation 58" xfId="23336"/>
    <cellStyle name="Calculation 59" xfId="23337"/>
    <cellStyle name="Calculation 6" xfId="23338"/>
    <cellStyle name="Calculation 6 2" xfId="23339"/>
    <cellStyle name="Calculation 60" xfId="23340"/>
    <cellStyle name="Calculation 61" xfId="23341"/>
    <cellStyle name="Calculation 62" xfId="23342"/>
    <cellStyle name="Calculation 63" xfId="23343"/>
    <cellStyle name="Calculation 64" xfId="23344"/>
    <cellStyle name="Calculation 65" xfId="23345"/>
    <cellStyle name="Calculation 66" xfId="23346"/>
    <cellStyle name="Calculation 67" xfId="23347"/>
    <cellStyle name="Calculation 68" xfId="23348"/>
    <cellStyle name="Calculation 69" xfId="23349"/>
    <cellStyle name="Calculation 7" xfId="23350"/>
    <cellStyle name="Calculation 7 2" xfId="23351"/>
    <cellStyle name="Calculation 8" xfId="23352"/>
    <cellStyle name="Calculation 8 2" xfId="23353"/>
    <cellStyle name="Calculation 9" xfId="23354"/>
    <cellStyle name="Calculation 9 2" xfId="23355"/>
    <cellStyle name="category" xfId="23356"/>
    <cellStyle name="Check Cell 10" xfId="23357"/>
    <cellStyle name="Check Cell 11" xfId="23358"/>
    <cellStyle name="Check Cell 12" xfId="23359"/>
    <cellStyle name="Check Cell 13" xfId="23360"/>
    <cellStyle name="Check Cell 14" xfId="23361"/>
    <cellStyle name="Check Cell 15" xfId="23362"/>
    <cellStyle name="Check Cell 16" xfId="23363"/>
    <cellStyle name="Check Cell 17" xfId="23364"/>
    <cellStyle name="Check Cell 18" xfId="23365"/>
    <cellStyle name="Check Cell 19" xfId="23366"/>
    <cellStyle name="Check Cell 2" xfId="23367"/>
    <cellStyle name="Check Cell 20" xfId="23368"/>
    <cellStyle name="Check Cell 21" xfId="23369"/>
    <cellStyle name="Check Cell 22" xfId="23370"/>
    <cellStyle name="Check Cell 23" xfId="23371"/>
    <cellStyle name="Check Cell 24" xfId="23372"/>
    <cellStyle name="Check Cell 25" xfId="23373"/>
    <cellStyle name="Check Cell 26" xfId="23374"/>
    <cellStyle name="Check Cell 27" xfId="23375"/>
    <cellStyle name="Check Cell 28" xfId="23376"/>
    <cellStyle name="Check Cell 29" xfId="23377"/>
    <cellStyle name="Check Cell 3" xfId="23378"/>
    <cellStyle name="Check Cell 30" xfId="23379"/>
    <cellStyle name="Check Cell 31" xfId="23380"/>
    <cellStyle name="Check Cell 32" xfId="23381"/>
    <cellStyle name="Check Cell 33" xfId="23382"/>
    <cellStyle name="Check Cell 34" xfId="23383"/>
    <cellStyle name="Check Cell 35" xfId="23384"/>
    <cellStyle name="Check Cell 36" xfId="23385"/>
    <cellStyle name="Check Cell 37" xfId="23386"/>
    <cellStyle name="Check Cell 38" xfId="23387"/>
    <cellStyle name="Check Cell 39" xfId="23388"/>
    <cellStyle name="Check Cell 4" xfId="23389"/>
    <cellStyle name="Check Cell 40" xfId="23390"/>
    <cellStyle name="Check Cell 41" xfId="23391"/>
    <cellStyle name="Check Cell 42" xfId="23392"/>
    <cellStyle name="Check Cell 43" xfId="23393"/>
    <cellStyle name="Check Cell 44" xfId="23394"/>
    <cellStyle name="Check Cell 45" xfId="23395"/>
    <cellStyle name="Check Cell 46" xfId="23396"/>
    <cellStyle name="Check Cell 47" xfId="23397"/>
    <cellStyle name="Check Cell 48" xfId="23398"/>
    <cellStyle name="Check Cell 49" xfId="23399"/>
    <cellStyle name="Check Cell 5" xfId="23400"/>
    <cellStyle name="Check Cell 50" xfId="23401"/>
    <cellStyle name="Check Cell 51" xfId="23402"/>
    <cellStyle name="Check Cell 52" xfId="23403"/>
    <cellStyle name="Check Cell 53" xfId="23404"/>
    <cellStyle name="Check Cell 54" xfId="23405"/>
    <cellStyle name="Check Cell 55" xfId="23406"/>
    <cellStyle name="Check Cell 56" xfId="23407"/>
    <cellStyle name="Check Cell 57" xfId="23408"/>
    <cellStyle name="Check Cell 58" xfId="23409"/>
    <cellStyle name="Check Cell 59" xfId="23410"/>
    <cellStyle name="Check Cell 6" xfId="23411"/>
    <cellStyle name="Check Cell 60" xfId="23412"/>
    <cellStyle name="Check Cell 61" xfId="23413"/>
    <cellStyle name="Check Cell 62" xfId="23414"/>
    <cellStyle name="Check Cell 63" xfId="23415"/>
    <cellStyle name="Check Cell 64" xfId="23416"/>
    <cellStyle name="Check Cell 65" xfId="23417"/>
    <cellStyle name="Check Cell 66" xfId="23418"/>
    <cellStyle name="Check Cell 67" xfId="23419"/>
    <cellStyle name="Check Cell 68" xfId="23420"/>
    <cellStyle name="Check Cell 69" xfId="23421"/>
    <cellStyle name="Check Cell 7" xfId="23422"/>
    <cellStyle name="Check Cell 8" xfId="23423"/>
    <cellStyle name="Check Cell 9" xfId="23424"/>
    <cellStyle name="Comma 10" xfId="23425"/>
    <cellStyle name="Comma 10 2" xfId="23426"/>
    <cellStyle name="Comma 10 2 2" xfId="23427"/>
    <cellStyle name="Comma 10 2 2 2" xfId="23428"/>
    <cellStyle name="Comma 10 2 3" xfId="23429"/>
    <cellStyle name="Comma 10 3" xfId="23430"/>
    <cellStyle name="Comma 10 4" xfId="23431"/>
    <cellStyle name="Comma 10 4 2" xfId="23432"/>
    <cellStyle name="Comma 10 4 2 2" xfId="23433"/>
    <cellStyle name="Comma 10 4 3" xfId="23434"/>
    <cellStyle name="Comma 100" xfId="23435"/>
    <cellStyle name="Comma 101" xfId="23436"/>
    <cellStyle name="Comma 11" xfId="23437"/>
    <cellStyle name="Comma 11 2" xfId="23438"/>
    <cellStyle name="Comma 11 3" xfId="23439"/>
    <cellStyle name="Comma 11 4" xfId="23440"/>
    <cellStyle name="Comma 12" xfId="23441"/>
    <cellStyle name="Comma 12 2" xfId="23442"/>
    <cellStyle name="Comma 12 3" xfId="23443"/>
    <cellStyle name="Comma 12 4" xfId="23444"/>
    <cellStyle name="Comma 13" xfId="23445"/>
    <cellStyle name="Comma 13 2" xfId="23446"/>
    <cellStyle name="Comma 13 3" xfId="23447"/>
    <cellStyle name="Comma 13 4" xfId="23448"/>
    <cellStyle name="Comma 14" xfId="23449"/>
    <cellStyle name="Comma 14 2" xfId="23450"/>
    <cellStyle name="Comma 14 3" xfId="23451"/>
    <cellStyle name="Comma 14 4" xfId="23452"/>
    <cellStyle name="Comma 15" xfId="23453"/>
    <cellStyle name="Comma 15 2" xfId="23454"/>
    <cellStyle name="Comma 15 3" xfId="23455"/>
    <cellStyle name="Comma 15 4" xfId="23456"/>
    <cellStyle name="Comma 16" xfId="23457"/>
    <cellStyle name="Comma 16 2" xfId="23458"/>
    <cellStyle name="Comma 16 2 2" xfId="23459"/>
    <cellStyle name="Comma 16 3" xfId="23460"/>
    <cellStyle name="Comma 16 3 2" xfId="23461"/>
    <cellStyle name="Comma 16 4" xfId="23462"/>
    <cellStyle name="Comma 17" xfId="23463"/>
    <cellStyle name="Comma 17 2" xfId="23464"/>
    <cellStyle name="Comma 17 3" xfId="23465"/>
    <cellStyle name="Comma 17 4" xfId="23466"/>
    <cellStyle name="Comma 18" xfId="23467"/>
    <cellStyle name="Comma 18 2" xfId="23468"/>
    <cellStyle name="Comma 18 3" xfId="23469"/>
    <cellStyle name="Comma 18 4" xfId="23470"/>
    <cellStyle name="Comma 19" xfId="23471"/>
    <cellStyle name="Comma 19 2" xfId="23472"/>
    <cellStyle name="Comma 19 3" xfId="23473"/>
    <cellStyle name="Comma 19 4" xfId="23474"/>
    <cellStyle name="Comma 19 4 2" xfId="23475"/>
    <cellStyle name="Comma 19 5" xfId="23476"/>
    <cellStyle name="Comma 2" xfId="23477"/>
    <cellStyle name="Comma 2 10" xfId="23478"/>
    <cellStyle name="Comma 2 11" xfId="23479"/>
    <cellStyle name="Comma 2 12" xfId="23480"/>
    <cellStyle name="Comma 2 13" xfId="23481"/>
    <cellStyle name="Comma 2 14" xfId="23482"/>
    <cellStyle name="Comma 2 15" xfId="23483"/>
    <cellStyle name="Comma 2 16" xfId="23484"/>
    <cellStyle name="Comma 2 17" xfId="23485"/>
    <cellStyle name="Comma 2 18" xfId="23486"/>
    <cellStyle name="Comma 2 19" xfId="23487"/>
    <cellStyle name="Comma 2 2" xfId="23488"/>
    <cellStyle name="Comma 2 2 10" xfId="23489"/>
    <cellStyle name="Comma 2 2 2" xfId="23490"/>
    <cellStyle name="Comma 2 2 2 2" xfId="23491"/>
    <cellStyle name="Comma 2 2 2 3" xfId="23492"/>
    <cellStyle name="Comma 2 2 2 4" xfId="23493"/>
    <cellStyle name="Comma 2 2 2 5" xfId="23494"/>
    <cellStyle name="Comma 2 2 3" xfId="23495"/>
    <cellStyle name="Comma 2 2 3 2" xfId="23496"/>
    <cellStyle name="Comma 2 2 3 3" xfId="23497"/>
    <cellStyle name="Comma 2 2 3 4" xfId="23498"/>
    <cellStyle name="Comma 2 2 4" xfId="23499"/>
    <cellStyle name="Comma 2 2 5" xfId="23500"/>
    <cellStyle name="Comma 2 2 6" xfId="23501"/>
    <cellStyle name="Comma 2 2 7" xfId="23502"/>
    <cellStyle name="Comma 2 2 8" xfId="23503"/>
    <cellStyle name="Comma 2 2 8 2" xfId="23504"/>
    <cellStyle name="Comma 2 2 9" xfId="23505"/>
    <cellStyle name="Comma 2 20" xfId="23506"/>
    <cellStyle name="Comma 2 21" xfId="23507"/>
    <cellStyle name="Comma 2 22" xfId="23508"/>
    <cellStyle name="Comma 2 23" xfId="23509"/>
    <cellStyle name="Comma 2 24" xfId="23510"/>
    <cellStyle name="Comma 2 25" xfId="23511"/>
    <cellStyle name="Comma 2 26" xfId="23512"/>
    <cellStyle name="Comma 2 27" xfId="23513"/>
    <cellStyle name="Comma 2 28" xfId="23514"/>
    <cellStyle name="Comma 2 29" xfId="23515"/>
    <cellStyle name="Comma 2 3" xfId="23516"/>
    <cellStyle name="Comma 2 3 2" xfId="23517"/>
    <cellStyle name="Comma 2 3 2 2" xfId="23518"/>
    <cellStyle name="Comma 2 3 3" xfId="23519"/>
    <cellStyle name="Comma 2 3 4" xfId="23520"/>
    <cellStyle name="Comma 2 3 5" xfId="23521"/>
    <cellStyle name="Comma 2 3 6" xfId="23522"/>
    <cellStyle name="Comma 2 3 6 2" xfId="23523"/>
    <cellStyle name="Comma 2 3 7" xfId="23524"/>
    <cellStyle name="Comma 2 3 8" xfId="23525"/>
    <cellStyle name="Comma 2 3 8 2" xfId="23526"/>
    <cellStyle name="Comma 2 3 9" xfId="23527"/>
    <cellStyle name="Comma 2 30" xfId="23528"/>
    <cellStyle name="Comma 2 30 2" xfId="23529"/>
    <cellStyle name="Comma 2 30 2 2" xfId="23530"/>
    <cellStyle name="Comma 2 31" xfId="23531"/>
    <cellStyle name="Comma 2 32" xfId="23532"/>
    <cellStyle name="Comma 2 32 2" xfId="23533"/>
    <cellStyle name="Comma 2 33" xfId="23534"/>
    <cellStyle name="Comma 2 4" xfId="23535"/>
    <cellStyle name="Comma 2 4 2" xfId="23536"/>
    <cellStyle name="Comma 2 4 3" xfId="23537"/>
    <cellStyle name="Comma 2 4 4" xfId="23538"/>
    <cellStyle name="Comma 2 4 5" xfId="23539"/>
    <cellStyle name="Comma 2 4 6" xfId="23540"/>
    <cellStyle name="Comma 2 5" xfId="23541"/>
    <cellStyle name="Comma 2 5 2" xfId="23542"/>
    <cellStyle name="Comma 2 5 3" xfId="23543"/>
    <cellStyle name="Comma 2 5 4" xfId="23544"/>
    <cellStyle name="Comma 2 6" xfId="23545"/>
    <cellStyle name="Comma 2 6 2" xfId="23546"/>
    <cellStyle name="Comma 2 6 3" xfId="23547"/>
    <cellStyle name="Comma 2 6 4" xfId="23548"/>
    <cellStyle name="Comma 2 7" xfId="23549"/>
    <cellStyle name="Comma 2 7 2" xfId="23550"/>
    <cellStyle name="Comma 2 7 3" xfId="23551"/>
    <cellStyle name="Comma 2 7 4" xfId="23552"/>
    <cellStyle name="Comma 2 8" xfId="23553"/>
    <cellStyle name="Comma 2 8 2" xfId="23554"/>
    <cellStyle name="Comma 2 8 3" xfId="23555"/>
    <cellStyle name="Comma 2 8 4" xfId="23556"/>
    <cellStyle name="Comma 2 9" xfId="23557"/>
    <cellStyle name="Comma 2 9 2" xfId="23558"/>
    <cellStyle name="Comma 2 9 3" xfId="23559"/>
    <cellStyle name="Comma 2 9 4" xfId="23560"/>
    <cellStyle name="Comma 2_Book2" xfId="23561"/>
    <cellStyle name="Comma 20" xfId="23562"/>
    <cellStyle name="Comma 20 2" xfId="23563"/>
    <cellStyle name="Comma 20 3" xfId="23564"/>
    <cellStyle name="Comma 20 4" xfId="23565"/>
    <cellStyle name="Comma 21" xfId="23566"/>
    <cellStyle name="Comma 21 2" xfId="23567"/>
    <cellStyle name="Comma 21 2 2" xfId="23568"/>
    <cellStyle name="Comma 21 2 3" xfId="23569"/>
    <cellStyle name="Comma 21 3" xfId="23570"/>
    <cellStyle name="Comma 21 4" xfId="23571"/>
    <cellStyle name="Comma 21 5" xfId="23572"/>
    <cellStyle name="Comma 22" xfId="23573"/>
    <cellStyle name="Comma 22 2" xfId="23574"/>
    <cellStyle name="Comma 22 2 2" xfId="23575"/>
    <cellStyle name="Comma 22 2 2 2" xfId="23576"/>
    <cellStyle name="Comma 22 2 3" xfId="23577"/>
    <cellStyle name="Comma 22 3" xfId="23578"/>
    <cellStyle name="Comma 22 4" xfId="23579"/>
    <cellStyle name="Comma 23" xfId="23580"/>
    <cellStyle name="Comma 23 2" xfId="23581"/>
    <cellStyle name="Comma 23 2 2" xfId="23582"/>
    <cellStyle name="Comma 23 2 2 2" xfId="23583"/>
    <cellStyle name="Comma 23 2 3" xfId="23584"/>
    <cellStyle name="Comma 23 2 4" xfId="23585"/>
    <cellStyle name="Comma 23 3" xfId="23586"/>
    <cellStyle name="Comma 23 3 2" xfId="23587"/>
    <cellStyle name="Comma 23 4" xfId="23588"/>
    <cellStyle name="Comma 23 4 2" xfId="23589"/>
    <cellStyle name="Comma 23 5" xfId="23590"/>
    <cellStyle name="Comma 24" xfId="23591"/>
    <cellStyle name="Comma 24 2" xfId="23592"/>
    <cellStyle name="Comma 24 2 2" xfId="23593"/>
    <cellStyle name="Comma 24 2 2 2" xfId="23594"/>
    <cellStyle name="Comma 24 2 3" xfId="23595"/>
    <cellStyle name="Comma 24 3" xfId="23596"/>
    <cellStyle name="Comma 24 3 2" xfId="23597"/>
    <cellStyle name="Comma 24 4" xfId="23598"/>
    <cellStyle name="Comma 24 5" xfId="23599"/>
    <cellStyle name="Comma 25" xfId="23600"/>
    <cellStyle name="Comma 25 2" xfId="23601"/>
    <cellStyle name="Comma 25 2 2" xfId="23602"/>
    <cellStyle name="Comma 25 3" xfId="23603"/>
    <cellStyle name="Comma 25 3 2" xfId="23604"/>
    <cellStyle name="Comma 25 4" xfId="23605"/>
    <cellStyle name="Comma 25 4 2" xfId="23606"/>
    <cellStyle name="Comma 25 4 2 2" xfId="23607"/>
    <cellStyle name="Comma 25 4 2 2 2" xfId="23608"/>
    <cellStyle name="Comma 25 4 2 2 2 2" xfId="23609"/>
    <cellStyle name="Comma 25 4 2 2 2 2 2" xfId="23610"/>
    <cellStyle name="Comma 25 4 2 2 2 3" xfId="23611"/>
    <cellStyle name="Comma 25 4 2 2 3" xfId="23612"/>
    <cellStyle name="Comma 25 4 2 2 3 2" xfId="23613"/>
    <cellStyle name="Comma 25 4 2 2 4" xfId="23614"/>
    <cellStyle name="Comma 25 4 3" xfId="23615"/>
    <cellStyle name="Comma 25 5" xfId="23616"/>
    <cellStyle name="Comma 26" xfId="23617"/>
    <cellStyle name="Comma 26 2" xfId="23618"/>
    <cellStyle name="Comma 26 2 2" xfId="23619"/>
    <cellStyle name="Comma 26 2 3" xfId="23620"/>
    <cellStyle name="Comma 26 3" xfId="23621"/>
    <cellStyle name="Comma 26 3 2" xfId="23622"/>
    <cellStyle name="Comma 26 4" xfId="23623"/>
    <cellStyle name="Comma 26 4 2" xfId="23624"/>
    <cellStyle name="Comma 26 5" xfId="23625"/>
    <cellStyle name="Comma 27" xfId="23626"/>
    <cellStyle name="Comma 27 2" xfId="23627"/>
    <cellStyle name="Comma 27 2 2" xfId="23628"/>
    <cellStyle name="Comma 27 3" xfId="23629"/>
    <cellStyle name="Comma 27 3 2" xfId="23630"/>
    <cellStyle name="Comma 27 4" xfId="23631"/>
    <cellStyle name="Comma 28" xfId="23632"/>
    <cellStyle name="Comma 28 2" xfId="23633"/>
    <cellStyle name="Comma 28 2 2" xfId="23634"/>
    <cellStyle name="Comma 28 2 2 2" xfId="23635"/>
    <cellStyle name="Comma 28 2 2 2 2" xfId="23636"/>
    <cellStyle name="Comma 28 2 2 2 2 2" xfId="23637"/>
    <cellStyle name="Comma 28 2 2 2 3" xfId="23638"/>
    <cellStyle name="Comma 28 2 2 2 3 2" xfId="23639"/>
    <cellStyle name="Comma 28 2 2 2 4" xfId="23640"/>
    <cellStyle name="Comma 28 2 2 3" xfId="23641"/>
    <cellStyle name="Comma 28 2 3" xfId="23642"/>
    <cellStyle name="Comma 28 2 4" xfId="23643"/>
    <cellStyle name="Comma 28 3" xfId="23644"/>
    <cellStyle name="Comma 28 4" xfId="23645"/>
    <cellStyle name="Comma 29" xfId="23646"/>
    <cellStyle name="Comma 29 2" xfId="23647"/>
    <cellStyle name="Comma 3" xfId="23648"/>
    <cellStyle name="Comma 3 10" xfId="23649"/>
    <cellStyle name="Comma 3 11" xfId="23650"/>
    <cellStyle name="Comma 3 12" xfId="23651"/>
    <cellStyle name="Comma 3 13" xfId="23652"/>
    <cellStyle name="Comma 3 14" xfId="23653"/>
    <cellStyle name="Comma 3 15" xfId="23654"/>
    <cellStyle name="Comma 3 16" xfId="23655"/>
    <cellStyle name="Comma 3 17" xfId="23656"/>
    <cellStyle name="Comma 3 18" xfId="23657"/>
    <cellStyle name="Comma 3 19" xfId="23658"/>
    <cellStyle name="Comma 3 2" xfId="23659"/>
    <cellStyle name="Comma 3 2 10" xfId="23660"/>
    <cellStyle name="Comma 3 2 11" xfId="23661"/>
    <cellStyle name="Comma 3 2 12" xfId="23662"/>
    <cellStyle name="Comma 3 2 13" xfId="23663"/>
    <cellStyle name="Comma 3 2 14" xfId="23664"/>
    <cellStyle name="Comma 3 2 15" xfId="23665"/>
    <cellStyle name="Comma 3 2 16" xfId="23666"/>
    <cellStyle name="Comma 3 2 17" xfId="23667"/>
    <cellStyle name="Comma 3 2 18" xfId="23668"/>
    <cellStyle name="Comma 3 2 19" xfId="23669"/>
    <cellStyle name="Comma 3 2 2" xfId="23670"/>
    <cellStyle name="Comma 3 2 2 2" xfId="23671"/>
    <cellStyle name="Comma 3 2 20" xfId="23672"/>
    <cellStyle name="Comma 3 2 21" xfId="23673"/>
    <cellStyle name="Comma 3 2 22" xfId="23674"/>
    <cellStyle name="Comma 3 2 23" xfId="23675"/>
    <cellStyle name="Comma 3 2 24" xfId="23676"/>
    <cellStyle name="Comma 3 2 25" xfId="23677"/>
    <cellStyle name="Comma 3 2 26" xfId="23678"/>
    <cellStyle name="Comma 3 2 27" xfId="23679"/>
    <cellStyle name="Comma 3 2 28" xfId="23680"/>
    <cellStyle name="Comma 3 2 29" xfId="23681"/>
    <cellStyle name="Comma 3 2 3" xfId="23682"/>
    <cellStyle name="Comma 3 2 30" xfId="23683"/>
    <cellStyle name="Comma 3 2 4" xfId="23684"/>
    <cellStyle name="Comma 3 2 5" xfId="23685"/>
    <cellStyle name="Comma 3 2 6" xfId="23686"/>
    <cellStyle name="Comma 3 2 7" xfId="23687"/>
    <cellStyle name="Comma 3 2 8" xfId="23688"/>
    <cellStyle name="Comma 3 2 9" xfId="23689"/>
    <cellStyle name="Comma 3 20" xfId="23690"/>
    <cellStyle name="Comma 3 21" xfId="23691"/>
    <cellStyle name="Comma 3 22" xfId="23692"/>
    <cellStyle name="Comma 3 23" xfId="23693"/>
    <cellStyle name="Comma 3 24" xfId="23694"/>
    <cellStyle name="Comma 3 25" xfId="23695"/>
    <cellStyle name="Comma 3 26" xfId="23696"/>
    <cellStyle name="Comma 3 27" xfId="23697"/>
    <cellStyle name="Comma 3 28" xfId="23698"/>
    <cellStyle name="Comma 3 29" xfId="23699"/>
    <cellStyle name="Comma 3 3" xfId="23700"/>
    <cellStyle name="Comma 3 3 2" xfId="23701"/>
    <cellStyle name="Comma 3 30" xfId="23702"/>
    <cellStyle name="Comma 3 31" xfId="23703"/>
    <cellStyle name="Comma 3 32" xfId="23704"/>
    <cellStyle name="Comma 3 4" xfId="23705"/>
    <cellStyle name="Comma 3 4 2" xfId="23706"/>
    <cellStyle name="Comma 3 5" xfId="23707"/>
    <cellStyle name="Comma 3 6" xfId="23708"/>
    <cellStyle name="Comma 3 6 2" xfId="23709"/>
    <cellStyle name="Comma 3 7" xfId="23710"/>
    <cellStyle name="Comma 3 8" xfId="23711"/>
    <cellStyle name="Comma 3 8 2" xfId="23712"/>
    <cellStyle name="Comma 3 9" xfId="23713"/>
    <cellStyle name="Comma 30" xfId="23714"/>
    <cellStyle name="Comma 30 2" xfId="23715"/>
    <cellStyle name="Comma 31" xfId="23716"/>
    <cellStyle name="Comma 31 2" xfId="23717"/>
    <cellStyle name="Comma 31 3" xfId="23718"/>
    <cellStyle name="Comma 32" xfId="23719"/>
    <cellStyle name="Comma 32 2" xfId="23720"/>
    <cellStyle name="Comma 32 3" xfId="23721"/>
    <cellStyle name="Comma 33" xfId="23722"/>
    <cellStyle name="Comma 33 2" xfId="23723"/>
    <cellStyle name="Comma 33 3" xfId="23724"/>
    <cellStyle name="Comma 33 4" xfId="23725"/>
    <cellStyle name="Comma 34" xfId="23726"/>
    <cellStyle name="Comma 34 2" xfId="23727"/>
    <cellStyle name="Comma 35" xfId="23728"/>
    <cellStyle name="Comma 35 2" xfId="23729"/>
    <cellStyle name="Comma 35 3" xfId="23730"/>
    <cellStyle name="Comma 36" xfId="23731"/>
    <cellStyle name="Comma 36 2" xfId="23732"/>
    <cellStyle name="Comma 36 3" xfId="23733"/>
    <cellStyle name="Comma 37" xfId="23734"/>
    <cellStyle name="Comma 37 2" xfId="23735"/>
    <cellStyle name="Comma 37 3" xfId="23736"/>
    <cellStyle name="Comma 38" xfId="23737"/>
    <cellStyle name="Comma 38 2" xfId="23738"/>
    <cellStyle name="Comma 38 3" xfId="23739"/>
    <cellStyle name="Comma 39" xfId="23740"/>
    <cellStyle name="Comma 39 2" xfId="23741"/>
    <cellStyle name="Comma 39 3" xfId="23742"/>
    <cellStyle name="Comma 4" xfId="23743"/>
    <cellStyle name="Comma 4 10" xfId="23744"/>
    <cellStyle name="Comma 4 11" xfId="23745"/>
    <cellStyle name="Comma 4 11 2" xfId="23746"/>
    <cellStyle name="Comma 4 12" xfId="23747"/>
    <cellStyle name="Comma 4 13" xfId="23748"/>
    <cellStyle name="Comma 4 14" xfId="23749"/>
    <cellStyle name="Comma 4 15" xfId="23750"/>
    <cellStyle name="Comma 4 16" xfId="23751"/>
    <cellStyle name="Comma 4 17" xfId="23752"/>
    <cellStyle name="Comma 4 18" xfId="23753"/>
    <cellStyle name="Comma 4 19" xfId="23754"/>
    <cellStyle name="Comma 4 2" xfId="23755"/>
    <cellStyle name="Comma 4 2 10" xfId="23756"/>
    <cellStyle name="Comma 4 2 11" xfId="23757"/>
    <cellStyle name="Comma 4 2 12" xfId="23758"/>
    <cellStyle name="Comma 4 2 13" xfId="23759"/>
    <cellStyle name="Comma 4 2 14" xfId="23760"/>
    <cellStyle name="Comma 4 2 15" xfId="23761"/>
    <cellStyle name="Comma 4 2 16" xfId="23762"/>
    <cellStyle name="Comma 4 2 17" xfId="23763"/>
    <cellStyle name="Comma 4 2 18" xfId="23764"/>
    <cellStyle name="Comma 4 2 19" xfId="23765"/>
    <cellStyle name="Comma 4 2 2" xfId="23766"/>
    <cellStyle name="Comma 4 2 2 2" xfId="23767"/>
    <cellStyle name="Comma 4 2 2 2 2" xfId="23768"/>
    <cellStyle name="Comma 4 2 2 3" xfId="23769"/>
    <cellStyle name="Comma 4 2 20" xfId="23770"/>
    <cellStyle name="Comma 4 2 21" xfId="23771"/>
    <cellStyle name="Comma 4 2 22" xfId="23772"/>
    <cellStyle name="Comma 4 2 23" xfId="23773"/>
    <cellStyle name="Comma 4 2 24" xfId="23774"/>
    <cellStyle name="Comma 4 2 25" xfId="23775"/>
    <cellStyle name="Comma 4 2 26" xfId="23776"/>
    <cellStyle name="Comma 4 2 27" xfId="23777"/>
    <cellStyle name="Comma 4 2 28" xfId="23778"/>
    <cellStyle name="Comma 4 2 29" xfId="23779"/>
    <cellStyle name="Comma 4 2 3" xfId="23780"/>
    <cellStyle name="Comma 4 2 3 2" xfId="23781"/>
    <cellStyle name="Comma 4 2 30" xfId="23782"/>
    <cellStyle name="Comma 4 2 4" xfId="23783"/>
    <cellStyle name="Comma 4 2 5" xfId="23784"/>
    <cellStyle name="Comma 4 2 6" xfId="23785"/>
    <cellStyle name="Comma 4 2 7" xfId="23786"/>
    <cellStyle name="Comma 4 2 8" xfId="23787"/>
    <cellStyle name="Comma 4 2 9" xfId="23788"/>
    <cellStyle name="Comma 4 20" xfId="23789"/>
    <cellStyle name="Comma 4 21" xfId="23790"/>
    <cellStyle name="Comma 4 22" xfId="23791"/>
    <cellStyle name="Comma 4 23" xfId="23792"/>
    <cellStyle name="Comma 4 24" xfId="23793"/>
    <cellStyle name="Comma 4 25" xfId="23794"/>
    <cellStyle name="Comma 4 26" xfId="23795"/>
    <cellStyle name="Comma 4 27" xfId="23796"/>
    <cellStyle name="Comma 4 28" xfId="23797"/>
    <cellStyle name="Comma 4 29" xfId="23798"/>
    <cellStyle name="Comma 4 3" xfId="23799"/>
    <cellStyle name="Comma 4 3 2" xfId="23800"/>
    <cellStyle name="Comma 4 3 3" xfId="23801"/>
    <cellStyle name="Comma 4 30" xfId="23802"/>
    <cellStyle name="Comma 4 31" xfId="23803"/>
    <cellStyle name="Comma 4 32" xfId="23804"/>
    <cellStyle name="Comma 4 4" xfId="23805"/>
    <cellStyle name="Comma 4 4 2" xfId="23806"/>
    <cellStyle name="Comma 4 5" xfId="23807"/>
    <cellStyle name="Comma 4 6" xfId="23808"/>
    <cellStyle name="Comma 4 7" xfId="23809"/>
    <cellStyle name="Comma 4 8" xfId="23810"/>
    <cellStyle name="Comma 4 9" xfId="23811"/>
    <cellStyle name="Comma 4 9 2" xfId="23812"/>
    <cellStyle name="Comma 4 9 2 2" xfId="23813"/>
    <cellStyle name="Comma 4 9 3" xfId="23814"/>
    <cellStyle name="Comma 40" xfId="23815"/>
    <cellStyle name="Comma 40 2" xfId="23816"/>
    <cellStyle name="Comma 40 3" xfId="23817"/>
    <cellStyle name="Comma 41" xfId="23818"/>
    <cellStyle name="Comma 41 2" xfId="23819"/>
    <cellStyle name="Comma 41 2 2" xfId="23820"/>
    <cellStyle name="Comma 41 3" xfId="23821"/>
    <cellStyle name="Comma 42" xfId="23822"/>
    <cellStyle name="Comma 42 2" xfId="23823"/>
    <cellStyle name="Comma 42 3" xfId="23824"/>
    <cellStyle name="Comma 43" xfId="23825"/>
    <cellStyle name="Comma 43 2" xfId="23826"/>
    <cellStyle name="Comma 43 3" xfId="23827"/>
    <cellStyle name="Comma 44" xfId="23828"/>
    <cellStyle name="Comma 44 2" xfId="23829"/>
    <cellStyle name="Comma 44 3" xfId="23830"/>
    <cellStyle name="Comma 45" xfId="23831"/>
    <cellStyle name="Comma 45 2" xfId="23832"/>
    <cellStyle name="Comma 45 3" xfId="23833"/>
    <cellStyle name="Comma 46" xfId="23834"/>
    <cellStyle name="Comma 46 2" xfId="23835"/>
    <cellStyle name="Comma 47" xfId="23836"/>
    <cellStyle name="Comma 47 2" xfId="23837"/>
    <cellStyle name="Comma 48" xfId="23838"/>
    <cellStyle name="Comma 48 2" xfId="23839"/>
    <cellStyle name="Comma 49" xfId="23840"/>
    <cellStyle name="Comma 49 2" xfId="23841"/>
    <cellStyle name="Comma 5" xfId="23842"/>
    <cellStyle name="Comma 5 2" xfId="23843"/>
    <cellStyle name="Comma 5 2 2" xfId="23844"/>
    <cellStyle name="Comma 5 2 3" xfId="23845"/>
    <cellStyle name="Comma 5 3" xfId="23846"/>
    <cellStyle name="Comma 5 3 2" xfId="23847"/>
    <cellStyle name="Comma 5 4" xfId="23848"/>
    <cellStyle name="Comma 5 5" xfId="23849"/>
    <cellStyle name="Comma 5 6" xfId="23850"/>
    <cellStyle name="Comma 5 7" xfId="23851"/>
    <cellStyle name="Comma 50" xfId="23852"/>
    <cellStyle name="Comma 50 2" xfId="23853"/>
    <cellStyle name="Comma 51" xfId="23854"/>
    <cellStyle name="Comma 52" xfId="23855"/>
    <cellStyle name="Comma 53" xfId="23856"/>
    <cellStyle name="Comma 54" xfId="23857"/>
    <cellStyle name="Comma 55" xfId="23858"/>
    <cellStyle name="Comma 56" xfId="23859"/>
    <cellStyle name="Comma 57" xfId="23860"/>
    <cellStyle name="Comma 58" xfId="23861"/>
    <cellStyle name="Comma 59" xfId="23862"/>
    <cellStyle name="Comma 6" xfId="23863"/>
    <cellStyle name="Comma 6 2" xfId="23864"/>
    <cellStyle name="Comma 6 2 2" xfId="23865"/>
    <cellStyle name="Comma 6 2 2 2" xfId="23866"/>
    <cellStyle name="Comma 6 3" xfId="23867"/>
    <cellStyle name="Comma 6 3 2" xfId="23868"/>
    <cellStyle name="Comma 6 4" xfId="23869"/>
    <cellStyle name="Comma 6 5" xfId="23870"/>
    <cellStyle name="Comma 6 5 2" xfId="23871"/>
    <cellStyle name="Comma 60" xfId="23872"/>
    <cellStyle name="Comma 61" xfId="23873"/>
    <cellStyle name="Comma 62" xfId="23874"/>
    <cellStyle name="Comma 63" xfId="23875"/>
    <cellStyle name="Comma 64" xfId="23876"/>
    <cellStyle name="Comma 65" xfId="23877"/>
    <cellStyle name="Comma 66" xfId="23878"/>
    <cellStyle name="Comma 67" xfId="23879"/>
    <cellStyle name="Comma 68" xfId="23880"/>
    <cellStyle name="Comma 69" xfId="23881"/>
    <cellStyle name="Comma 7" xfId="23882"/>
    <cellStyle name="Comma 7 2" xfId="23883"/>
    <cellStyle name="Comma 7 2 2" xfId="23884"/>
    <cellStyle name="Comma 7 3" xfId="23885"/>
    <cellStyle name="Comma 7 3 2" xfId="23886"/>
    <cellStyle name="Comma 7 4" xfId="23887"/>
    <cellStyle name="Comma 7 5" xfId="23888"/>
    <cellStyle name="Comma 70" xfId="23889"/>
    <cellStyle name="Comma 71" xfId="23890"/>
    <cellStyle name="Comma 72" xfId="23891"/>
    <cellStyle name="Comma 73" xfId="23892"/>
    <cellStyle name="Comma 74" xfId="23893"/>
    <cellStyle name="Comma 75" xfId="23894"/>
    <cellStyle name="Comma 76" xfId="23895"/>
    <cellStyle name="Comma 77" xfId="23896"/>
    <cellStyle name="Comma 78" xfId="23897"/>
    <cellStyle name="Comma 79" xfId="23898"/>
    <cellStyle name="Comma 8" xfId="23899"/>
    <cellStyle name="Comma 8 2" xfId="23900"/>
    <cellStyle name="Comma 8 2 2" xfId="23901"/>
    <cellStyle name="Comma 8 2 3" xfId="23902"/>
    <cellStyle name="Comma 8 2 4" xfId="23903"/>
    <cellStyle name="Comma 8 3" xfId="23904"/>
    <cellStyle name="Comma 8 4" xfId="23905"/>
    <cellStyle name="Comma 8 5" xfId="23906"/>
    <cellStyle name="Comma 80" xfId="23907"/>
    <cellStyle name="Comma 81" xfId="23908"/>
    <cellStyle name="Comma 82" xfId="23909"/>
    <cellStyle name="Comma 83" xfId="23910"/>
    <cellStyle name="Comma 84" xfId="23911"/>
    <cellStyle name="Comma 85" xfId="23912"/>
    <cellStyle name="Comma 86" xfId="23913"/>
    <cellStyle name="Comma 87" xfId="23914"/>
    <cellStyle name="Comma 88" xfId="23915"/>
    <cellStyle name="Comma 89" xfId="23916"/>
    <cellStyle name="Comma 9" xfId="23917"/>
    <cellStyle name="Comma 9 2" xfId="23918"/>
    <cellStyle name="Comma 9 3" xfId="23919"/>
    <cellStyle name="Comma 9 4" xfId="23920"/>
    <cellStyle name="Comma 9 5" xfId="23921"/>
    <cellStyle name="Comma 90" xfId="23922"/>
    <cellStyle name="Comma 91" xfId="23923"/>
    <cellStyle name="Comma 92" xfId="23924"/>
    <cellStyle name="Comma 93" xfId="23925"/>
    <cellStyle name="Comma 94" xfId="23926"/>
    <cellStyle name="Comma 95" xfId="23927"/>
    <cellStyle name="Comma 96" xfId="23928"/>
    <cellStyle name="Comma 97" xfId="23929"/>
    <cellStyle name="Comma 97 2" xfId="23930"/>
    <cellStyle name="Comma 98" xfId="23931"/>
    <cellStyle name="Comma 99" xfId="23932"/>
    <cellStyle name="comma zerodec" xfId="23933"/>
    <cellStyle name="comma zerodec 2" xfId="23934"/>
    <cellStyle name="comma zerodec 2 2" xfId="23935"/>
    <cellStyle name="comma zerodec 3" xfId="23936"/>
    <cellStyle name="comma zerodec 4" xfId="23937"/>
    <cellStyle name="comma zerodec 5" xfId="23938"/>
    <cellStyle name="comma zerodec 6" xfId="23939"/>
    <cellStyle name="comma zerodec 7" xfId="23940"/>
    <cellStyle name="comma zerodec_QUO-09-1212-TAT-THAIFOOD2" xfId="23941"/>
    <cellStyle name="Comma0" xfId="23942"/>
    <cellStyle name="Copied" xfId="23943"/>
    <cellStyle name="COST1" xfId="23944"/>
    <cellStyle name="Currency 2" xfId="23945"/>
    <cellStyle name="Currency 2 10" xfId="23946"/>
    <cellStyle name="Currency 2 11" xfId="23947"/>
    <cellStyle name="Currency 2 12" xfId="23948"/>
    <cellStyle name="Currency 2 2" xfId="23949"/>
    <cellStyle name="Currency 2 2 2" xfId="23950"/>
    <cellStyle name="Currency 2 2 2 2" xfId="23951"/>
    <cellStyle name="Currency 2 2 2 2 2" xfId="23952"/>
    <cellStyle name="Currency 2 2 2 2 2 2" xfId="23953"/>
    <cellStyle name="Currency 2 2 2 2 3" xfId="23954"/>
    <cellStyle name="Currency 2 2 2 2 3 2" xfId="23955"/>
    <cellStyle name="Currency 2 2 2 2 4" xfId="23956"/>
    <cellStyle name="Currency 2 2 2 2 5" xfId="23957"/>
    <cellStyle name="Currency 2 2 2 3" xfId="23958"/>
    <cellStyle name="Currency 2 2 3" xfId="23959"/>
    <cellStyle name="Currency 2 2 3 2" xfId="23960"/>
    <cellStyle name="Currency 2 2 4" xfId="23961"/>
    <cellStyle name="Currency 2 2 5" xfId="23962"/>
    <cellStyle name="Currency 2 3" xfId="23963"/>
    <cellStyle name="Currency 2 4" xfId="23964"/>
    <cellStyle name="Currency 2 5" xfId="23965"/>
    <cellStyle name="Currency 2 6" xfId="23966"/>
    <cellStyle name="Currency 2 7" xfId="23967"/>
    <cellStyle name="Currency 2 8" xfId="23968"/>
    <cellStyle name="Currency 2 9" xfId="23969"/>
    <cellStyle name="Currency 3" xfId="23970"/>
    <cellStyle name="Currency 3 2" xfId="23971"/>
    <cellStyle name="Currency 3 3" xfId="23972"/>
    <cellStyle name="Currency 3 4" xfId="23973"/>
    <cellStyle name="Currency 4" xfId="23974"/>
    <cellStyle name="Currency 4 2" xfId="23975"/>
    <cellStyle name="Currency0" xfId="23976"/>
    <cellStyle name="Currency1" xfId="23977"/>
    <cellStyle name="Currency1 2" xfId="23978"/>
    <cellStyle name="Currency1 2 2" xfId="23979"/>
    <cellStyle name="Currency1 2 3" xfId="23980"/>
    <cellStyle name="Currency1 2 4" xfId="23981"/>
    <cellStyle name="Currency1 3" xfId="23982"/>
    <cellStyle name="Currency1 3 2" xfId="23983"/>
    <cellStyle name="Currency1 3 3" xfId="23984"/>
    <cellStyle name="Currency1 3 4" xfId="23985"/>
    <cellStyle name="Currency1 4" xfId="23986"/>
    <cellStyle name="Currency1 4 2" xfId="23987"/>
    <cellStyle name="Currency1 4 3" xfId="23988"/>
    <cellStyle name="Currency1 4 4" xfId="23989"/>
    <cellStyle name="Currency1_IO LIST ADD PL5" xfId="23990"/>
    <cellStyle name="Date" xfId="23991"/>
    <cellStyle name="DATE 2" xfId="23992"/>
    <cellStyle name="Dollar (zero dec)" xfId="23993"/>
    <cellStyle name="Dollar (zero dec) 2" xfId="23994"/>
    <cellStyle name="Dollar (zero dec) 2 2" xfId="23995"/>
    <cellStyle name="Dollar (zero dec) 2 3" xfId="23996"/>
    <cellStyle name="Dollar (zero dec) 2 4" xfId="23997"/>
    <cellStyle name="Dollar (zero dec) 3" xfId="23998"/>
    <cellStyle name="Dollar (zero dec) 3 2" xfId="23999"/>
    <cellStyle name="Dollar (zero dec) 3 3" xfId="24000"/>
    <cellStyle name="Dollar (zero dec) 3 4" xfId="24001"/>
    <cellStyle name="Dollar (zero dec) 4" xfId="24002"/>
    <cellStyle name="Dollar (zero dec) 4 2" xfId="24003"/>
    <cellStyle name="Dollar (zero dec) 4 3" xfId="24004"/>
    <cellStyle name="Dollar (zero dec) 4 4" xfId="24005"/>
    <cellStyle name="Dollar (zero dec)_IO LIST ADD PL5" xfId="24006"/>
    <cellStyle name="ds" xfId="24007"/>
    <cellStyle name="ds 2" xfId="24008"/>
    <cellStyle name="Emphasis 1" xfId="24009"/>
    <cellStyle name="Emphasis 2" xfId="24010"/>
    <cellStyle name="Emphasis 3" xfId="24011"/>
    <cellStyle name="Entered" xfId="24012"/>
    <cellStyle name="Euro" xfId="24013"/>
    <cellStyle name="Euro 10" xfId="24014"/>
    <cellStyle name="Euro 11" xfId="24015"/>
    <cellStyle name="Euro 12" xfId="24016"/>
    <cellStyle name="Euro 13" xfId="24017"/>
    <cellStyle name="Euro 14" xfId="24018"/>
    <cellStyle name="Euro 2" xfId="24019"/>
    <cellStyle name="Euro 3" xfId="24020"/>
    <cellStyle name="Euro 4" xfId="24021"/>
    <cellStyle name="Euro 5" xfId="24022"/>
    <cellStyle name="Euro 6" xfId="24023"/>
    <cellStyle name="Euro 7" xfId="24024"/>
    <cellStyle name="Euro 8" xfId="24025"/>
    <cellStyle name="Euro 9" xfId="24026"/>
    <cellStyle name="Explanatory Text 10" xfId="24027"/>
    <cellStyle name="Explanatory Text 11" xfId="24028"/>
    <cellStyle name="Explanatory Text 12" xfId="24029"/>
    <cellStyle name="Explanatory Text 13" xfId="24030"/>
    <cellStyle name="Explanatory Text 14" xfId="24031"/>
    <cellStyle name="Explanatory Text 15" xfId="24032"/>
    <cellStyle name="Explanatory Text 16" xfId="24033"/>
    <cellStyle name="Explanatory Text 17" xfId="24034"/>
    <cellStyle name="Explanatory Text 18" xfId="24035"/>
    <cellStyle name="Explanatory Text 19" xfId="24036"/>
    <cellStyle name="Explanatory Text 2" xfId="24037"/>
    <cellStyle name="Explanatory Text 20" xfId="24038"/>
    <cellStyle name="Explanatory Text 21" xfId="24039"/>
    <cellStyle name="Explanatory Text 22" xfId="24040"/>
    <cellStyle name="Explanatory Text 23" xfId="24041"/>
    <cellStyle name="Explanatory Text 24" xfId="24042"/>
    <cellStyle name="Explanatory Text 25" xfId="24043"/>
    <cellStyle name="Explanatory Text 26" xfId="24044"/>
    <cellStyle name="Explanatory Text 27" xfId="24045"/>
    <cellStyle name="Explanatory Text 28" xfId="24046"/>
    <cellStyle name="Explanatory Text 29" xfId="24047"/>
    <cellStyle name="Explanatory Text 3" xfId="24048"/>
    <cellStyle name="Explanatory Text 30" xfId="24049"/>
    <cellStyle name="Explanatory Text 31" xfId="24050"/>
    <cellStyle name="Explanatory Text 32" xfId="24051"/>
    <cellStyle name="Explanatory Text 33" xfId="24052"/>
    <cellStyle name="Explanatory Text 34" xfId="24053"/>
    <cellStyle name="Explanatory Text 35" xfId="24054"/>
    <cellStyle name="Explanatory Text 36" xfId="24055"/>
    <cellStyle name="Explanatory Text 37" xfId="24056"/>
    <cellStyle name="Explanatory Text 38" xfId="24057"/>
    <cellStyle name="Explanatory Text 39" xfId="24058"/>
    <cellStyle name="Explanatory Text 4" xfId="24059"/>
    <cellStyle name="Explanatory Text 40" xfId="24060"/>
    <cellStyle name="Explanatory Text 41" xfId="24061"/>
    <cellStyle name="Explanatory Text 42" xfId="24062"/>
    <cellStyle name="Explanatory Text 43" xfId="24063"/>
    <cellStyle name="Explanatory Text 44" xfId="24064"/>
    <cellStyle name="Explanatory Text 45" xfId="24065"/>
    <cellStyle name="Explanatory Text 46" xfId="24066"/>
    <cellStyle name="Explanatory Text 47" xfId="24067"/>
    <cellStyle name="Explanatory Text 48" xfId="24068"/>
    <cellStyle name="Explanatory Text 49" xfId="24069"/>
    <cellStyle name="Explanatory Text 5" xfId="24070"/>
    <cellStyle name="Explanatory Text 50" xfId="24071"/>
    <cellStyle name="Explanatory Text 51" xfId="24072"/>
    <cellStyle name="Explanatory Text 52" xfId="24073"/>
    <cellStyle name="Explanatory Text 53" xfId="24074"/>
    <cellStyle name="Explanatory Text 54" xfId="24075"/>
    <cellStyle name="Explanatory Text 55" xfId="24076"/>
    <cellStyle name="Explanatory Text 56" xfId="24077"/>
    <cellStyle name="Explanatory Text 57" xfId="24078"/>
    <cellStyle name="Explanatory Text 58" xfId="24079"/>
    <cellStyle name="Explanatory Text 59" xfId="24080"/>
    <cellStyle name="Explanatory Text 6" xfId="24081"/>
    <cellStyle name="Explanatory Text 60" xfId="24082"/>
    <cellStyle name="Explanatory Text 61" xfId="24083"/>
    <cellStyle name="Explanatory Text 62" xfId="24084"/>
    <cellStyle name="Explanatory Text 63" xfId="24085"/>
    <cellStyle name="Explanatory Text 64" xfId="24086"/>
    <cellStyle name="Explanatory Text 65" xfId="24087"/>
    <cellStyle name="Explanatory Text 66" xfId="24088"/>
    <cellStyle name="Explanatory Text 67" xfId="24089"/>
    <cellStyle name="Explanatory Text 68" xfId="24090"/>
    <cellStyle name="Explanatory Text 69" xfId="24091"/>
    <cellStyle name="Explanatory Text 7" xfId="24092"/>
    <cellStyle name="Explanatory Text 8" xfId="24093"/>
    <cellStyle name="Explanatory Text 9" xfId="24094"/>
    <cellStyle name="Fixed" xfId="24095"/>
    <cellStyle name="Good 10" xfId="24096"/>
    <cellStyle name="Good 11" xfId="24097"/>
    <cellStyle name="Good 12" xfId="24098"/>
    <cellStyle name="Good 13" xfId="24099"/>
    <cellStyle name="Good 14" xfId="24100"/>
    <cellStyle name="Good 15" xfId="24101"/>
    <cellStyle name="Good 16" xfId="24102"/>
    <cellStyle name="Good 17" xfId="24103"/>
    <cellStyle name="Good 18" xfId="24104"/>
    <cellStyle name="Good 19" xfId="24105"/>
    <cellStyle name="Good 2" xfId="24106"/>
    <cellStyle name="Good 20" xfId="24107"/>
    <cellStyle name="Good 21" xfId="24108"/>
    <cellStyle name="Good 22" xfId="24109"/>
    <cellStyle name="Good 23" xfId="24110"/>
    <cellStyle name="Good 24" xfId="24111"/>
    <cellStyle name="Good 25" xfId="24112"/>
    <cellStyle name="Good 26" xfId="24113"/>
    <cellStyle name="Good 27" xfId="24114"/>
    <cellStyle name="Good 28" xfId="24115"/>
    <cellStyle name="Good 29" xfId="24116"/>
    <cellStyle name="Good 3" xfId="24117"/>
    <cellStyle name="Good 30" xfId="24118"/>
    <cellStyle name="Good 31" xfId="24119"/>
    <cellStyle name="Good 32" xfId="24120"/>
    <cellStyle name="Good 33" xfId="24121"/>
    <cellStyle name="Good 34" xfId="24122"/>
    <cellStyle name="Good 35" xfId="24123"/>
    <cellStyle name="Good 36" xfId="24124"/>
    <cellStyle name="Good 37" xfId="24125"/>
    <cellStyle name="Good 38" xfId="24126"/>
    <cellStyle name="Good 39" xfId="24127"/>
    <cellStyle name="Good 4" xfId="24128"/>
    <cellStyle name="Good 40" xfId="24129"/>
    <cellStyle name="Good 41" xfId="24130"/>
    <cellStyle name="Good 42" xfId="24131"/>
    <cellStyle name="Good 43" xfId="24132"/>
    <cellStyle name="Good 44" xfId="24133"/>
    <cellStyle name="Good 45" xfId="24134"/>
    <cellStyle name="Good 46" xfId="24135"/>
    <cellStyle name="Good 47" xfId="24136"/>
    <cellStyle name="Good 48" xfId="24137"/>
    <cellStyle name="Good 49" xfId="24138"/>
    <cellStyle name="Good 5" xfId="24139"/>
    <cellStyle name="Good 50" xfId="24140"/>
    <cellStyle name="Good 51" xfId="24141"/>
    <cellStyle name="Good 52" xfId="24142"/>
    <cellStyle name="Good 53" xfId="24143"/>
    <cellStyle name="Good 54" xfId="24144"/>
    <cellStyle name="Good 55" xfId="24145"/>
    <cellStyle name="Good 56" xfId="24146"/>
    <cellStyle name="Good 57" xfId="24147"/>
    <cellStyle name="Good 58" xfId="24148"/>
    <cellStyle name="Good 59" xfId="24149"/>
    <cellStyle name="Good 6" xfId="24150"/>
    <cellStyle name="Good 60" xfId="24151"/>
    <cellStyle name="Good 61" xfId="24152"/>
    <cellStyle name="Good 62" xfId="24153"/>
    <cellStyle name="Good 63" xfId="24154"/>
    <cellStyle name="Good 64" xfId="24155"/>
    <cellStyle name="Good 65" xfId="24156"/>
    <cellStyle name="Good 66" xfId="24157"/>
    <cellStyle name="Good 67" xfId="24158"/>
    <cellStyle name="Good 68" xfId="24159"/>
    <cellStyle name="Good 69" xfId="24160"/>
    <cellStyle name="Good 7" xfId="24161"/>
    <cellStyle name="Good 8" xfId="24162"/>
    <cellStyle name="Good 9" xfId="24163"/>
    <cellStyle name="Grey" xfId="24164"/>
    <cellStyle name="Grey 2" xfId="24165"/>
    <cellStyle name="Grey 3" xfId="24166"/>
    <cellStyle name="Grey 4" xfId="24167"/>
    <cellStyle name="HEADER" xfId="24168"/>
    <cellStyle name="Header1" xfId="24169"/>
    <cellStyle name="Header2" xfId="24170"/>
    <cellStyle name="Heading 1 10" xfId="24171"/>
    <cellStyle name="Heading 1 11" xfId="24172"/>
    <cellStyle name="Heading 1 12" xfId="24173"/>
    <cellStyle name="Heading 1 13" xfId="24174"/>
    <cellStyle name="Heading 1 14" xfId="24175"/>
    <cellStyle name="Heading 1 15" xfId="24176"/>
    <cellStyle name="Heading 1 16" xfId="24177"/>
    <cellStyle name="Heading 1 17" xfId="24178"/>
    <cellStyle name="Heading 1 18" xfId="24179"/>
    <cellStyle name="Heading 1 19" xfId="24180"/>
    <cellStyle name="Heading 1 2" xfId="24181"/>
    <cellStyle name="Heading 1 20" xfId="24182"/>
    <cellStyle name="Heading 1 21" xfId="24183"/>
    <cellStyle name="Heading 1 22" xfId="24184"/>
    <cellStyle name="Heading 1 23" xfId="24185"/>
    <cellStyle name="Heading 1 24" xfId="24186"/>
    <cellStyle name="Heading 1 25" xfId="24187"/>
    <cellStyle name="Heading 1 26" xfId="24188"/>
    <cellStyle name="Heading 1 27" xfId="24189"/>
    <cellStyle name="Heading 1 28" xfId="24190"/>
    <cellStyle name="Heading 1 29" xfId="24191"/>
    <cellStyle name="Heading 1 3" xfId="24192"/>
    <cellStyle name="Heading 1 30" xfId="24193"/>
    <cellStyle name="Heading 1 31" xfId="24194"/>
    <cellStyle name="Heading 1 32" xfId="24195"/>
    <cellStyle name="Heading 1 33" xfId="24196"/>
    <cellStyle name="Heading 1 34" xfId="24197"/>
    <cellStyle name="Heading 1 35" xfId="24198"/>
    <cellStyle name="Heading 1 36" xfId="24199"/>
    <cellStyle name="Heading 1 37" xfId="24200"/>
    <cellStyle name="Heading 1 38" xfId="24201"/>
    <cellStyle name="Heading 1 39" xfId="24202"/>
    <cellStyle name="Heading 1 4" xfId="24203"/>
    <cellStyle name="Heading 1 40" xfId="24204"/>
    <cellStyle name="Heading 1 41" xfId="24205"/>
    <cellStyle name="Heading 1 42" xfId="24206"/>
    <cellStyle name="Heading 1 43" xfId="24207"/>
    <cellStyle name="Heading 1 44" xfId="24208"/>
    <cellStyle name="Heading 1 45" xfId="24209"/>
    <cellStyle name="Heading 1 46" xfId="24210"/>
    <cellStyle name="Heading 1 47" xfId="24211"/>
    <cellStyle name="Heading 1 48" xfId="24212"/>
    <cellStyle name="Heading 1 49" xfId="24213"/>
    <cellStyle name="Heading 1 5" xfId="24214"/>
    <cellStyle name="Heading 1 50" xfId="24215"/>
    <cellStyle name="Heading 1 51" xfId="24216"/>
    <cellStyle name="Heading 1 52" xfId="24217"/>
    <cellStyle name="Heading 1 53" xfId="24218"/>
    <cellStyle name="Heading 1 54" xfId="24219"/>
    <cellStyle name="Heading 1 55" xfId="24220"/>
    <cellStyle name="Heading 1 56" xfId="24221"/>
    <cellStyle name="Heading 1 57" xfId="24222"/>
    <cellStyle name="Heading 1 58" xfId="24223"/>
    <cellStyle name="Heading 1 59" xfId="24224"/>
    <cellStyle name="Heading 1 6" xfId="24225"/>
    <cellStyle name="Heading 1 60" xfId="24226"/>
    <cellStyle name="Heading 1 61" xfId="24227"/>
    <cellStyle name="Heading 1 62" xfId="24228"/>
    <cellStyle name="Heading 1 63" xfId="24229"/>
    <cellStyle name="Heading 1 64" xfId="24230"/>
    <cellStyle name="Heading 1 65" xfId="24231"/>
    <cellStyle name="Heading 1 66" xfId="24232"/>
    <cellStyle name="Heading 1 67" xfId="24233"/>
    <cellStyle name="Heading 1 68" xfId="24234"/>
    <cellStyle name="Heading 1 69" xfId="24235"/>
    <cellStyle name="Heading 1 7" xfId="24236"/>
    <cellStyle name="Heading 1 8" xfId="24237"/>
    <cellStyle name="Heading 1 9" xfId="24238"/>
    <cellStyle name="Heading 2 10" xfId="24239"/>
    <cellStyle name="Heading 2 11" xfId="24240"/>
    <cellStyle name="Heading 2 12" xfId="24241"/>
    <cellStyle name="Heading 2 13" xfId="24242"/>
    <cellStyle name="Heading 2 14" xfId="24243"/>
    <cellStyle name="Heading 2 15" xfId="24244"/>
    <cellStyle name="Heading 2 16" xfId="24245"/>
    <cellStyle name="Heading 2 17" xfId="24246"/>
    <cellStyle name="Heading 2 18" xfId="24247"/>
    <cellStyle name="Heading 2 19" xfId="24248"/>
    <cellStyle name="Heading 2 2" xfId="24249"/>
    <cellStyle name="Heading 2 20" xfId="24250"/>
    <cellStyle name="Heading 2 21" xfId="24251"/>
    <cellStyle name="Heading 2 22" xfId="24252"/>
    <cellStyle name="Heading 2 23" xfId="24253"/>
    <cellStyle name="Heading 2 24" xfId="24254"/>
    <cellStyle name="Heading 2 25" xfId="24255"/>
    <cellStyle name="Heading 2 26" xfId="24256"/>
    <cellStyle name="Heading 2 27" xfId="24257"/>
    <cellStyle name="Heading 2 28" xfId="24258"/>
    <cellStyle name="Heading 2 29" xfId="24259"/>
    <cellStyle name="Heading 2 3" xfId="24260"/>
    <cellStyle name="Heading 2 30" xfId="24261"/>
    <cellStyle name="Heading 2 31" xfId="24262"/>
    <cellStyle name="Heading 2 32" xfId="24263"/>
    <cellStyle name="Heading 2 33" xfId="24264"/>
    <cellStyle name="Heading 2 34" xfId="24265"/>
    <cellStyle name="Heading 2 35" xfId="24266"/>
    <cellStyle name="Heading 2 36" xfId="24267"/>
    <cellStyle name="Heading 2 37" xfId="24268"/>
    <cellStyle name="Heading 2 38" xfId="24269"/>
    <cellStyle name="Heading 2 39" xfId="24270"/>
    <cellStyle name="Heading 2 4" xfId="24271"/>
    <cellStyle name="Heading 2 40" xfId="24272"/>
    <cellStyle name="Heading 2 41" xfId="24273"/>
    <cellStyle name="Heading 2 42" xfId="24274"/>
    <cellStyle name="Heading 2 43" xfId="24275"/>
    <cellStyle name="Heading 2 44" xfId="24276"/>
    <cellStyle name="Heading 2 45" xfId="24277"/>
    <cellStyle name="Heading 2 46" xfId="24278"/>
    <cellStyle name="Heading 2 47" xfId="24279"/>
    <cellStyle name="Heading 2 48" xfId="24280"/>
    <cellStyle name="Heading 2 49" xfId="24281"/>
    <cellStyle name="Heading 2 5" xfId="24282"/>
    <cellStyle name="Heading 2 50" xfId="24283"/>
    <cellStyle name="Heading 2 51" xfId="24284"/>
    <cellStyle name="Heading 2 52" xfId="24285"/>
    <cellStyle name="Heading 2 53" xfId="24286"/>
    <cellStyle name="Heading 2 54" xfId="24287"/>
    <cellStyle name="Heading 2 55" xfId="24288"/>
    <cellStyle name="Heading 2 56" xfId="24289"/>
    <cellStyle name="Heading 2 57" xfId="24290"/>
    <cellStyle name="Heading 2 58" xfId="24291"/>
    <cellStyle name="Heading 2 59" xfId="24292"/>
    <cellStyle name="Heading 2 6" xfId="24293"/>
    <cellStyle name="Heading 2 60" xfId="24294"/>
    <cellStyle name="Heading 2 61" xfId="24295"/>
    <cellStyle name="Heading 2 62" xfId="24296"/>
    <cellStyle name="Heading 2 63" xfId="24297"/>
    <cellStyle name="Heading 2 64" xfId="24298"/>
    <cellStyle name="Heading 2 65" xfId="24299"/>
    <cellStyle name="Heading 2 66" xfId="24300"/>
    <cellStyle name="Heading 2 67" xfId="24301"/>
    <cellStyle name="Heading 2 68" xfId="24302"/>
    <cellStyle name="Heading 2 69" xfId="24303"/>
    <cellStyle name="Heading 2 7" xfId="24304"/>
    <cellStyle name="Heading 2 8" xfId="24305"/>
    <cellStyle name="Heading 2 9" xfId="24306"/>
    <cellStyle name="Heading 3 10" xfId="24307"/>
    <cellStyle name="Heading 3 11" xfId="24308"/>
    <cellStyle name="Heading 3 12" xfId="24309"/>
    <cellStyle name="Heading 3 13" xfId="24310"/>
    <cellStyle name="Heading 3 14" xfId="24311"/>
    <cellStyle name="Heading 3 15" xfId="24312"/>
    <cellStyle name="Heading 3 16" xfId="24313"/>
    <cellStyle name="Heading 3 17" xfId="24314"/>
    <cellStyle name="Heading 3 18" xfId="24315"/>
    <cellStyle name="Heading 3 19" xfId="24316"/>
    <cellStyle name="Heading 3 2" xfId="24317"/>
    <cellStyle name="Heading 3 20" xfId="24318"/>
    <cellStyle name="Heading 3 21" xfId="24319"/>
    <cellStyle name="Heading 3 22" xfId="24320"/>
    <cellStyle name="Heading 3 23" xfId="24321"/>
    <cellStyle name="Heading 3 24" xfId="24322"/>
    <cellStyle name="Heading 3 25" xfId="24323"/>
    <cellStyle name="Heading 3 26" xfId="24324"/>
    <cellStyle name="Heading 3 27" xfId="24325"/>
    <cellStyle name="Heading 3 28" xfId="24326"/>
    <cellStyle name="Heading 3 29" xfId="24327"/>
    <cellStyle name="Heading 3 3" xfId="24328"/>
    <cellStyle name="Heading 3 30" xfId="24329"/>
    <cellStyle name="Heading 3 31" xfId="24330"/>
    <cellStyle name="Heading 3 32" xfId="24331"/>
    <cellStyle name="Heading 3 33" xfId="24332"/>
    <cellStyle name="Heading 3 34" xfId="24333"/>
    <cellStyle name="Heading 3 35" xfId="24334"/>
    <cellStyle name="Heading 3 36" xfId="24335"/>
    <cellStyle name="Heading 3 37" xfId="24336"/>
    <cellStyle name="Heading 3 38" xfId="24337"/>
    <cellStyle name="Heading 3 39" xfId="24338"/>
    <cellStyle name="Heading 3 4" xfId="24339"/>
    <cellStyle name="Heading 3 40" xfId="24340"/>
    <cellStyle name="Heading 3 41" xfId="24341"/>
    <cellStyle name="Heading 3 42" xfId="24342"/>
    <cellStyle name="Heading 3 43" xfId="24343"/>
    <cellStyle name="Heading 3 44" xfId="24344"/>
    <cellStyle name="Heading 3 45" xfId="24345"/>
    <cellStyle name="Heading 3 46" xfId="24346"/>
    <cellStyle name="Heading 3 47" xfId="24347"/>
    <cellStyle name="Heading 3 48" xfId="24348"/>
    <cellStyle name="Heading 3 49" xfId="24349"/>
    <cellStyle name="Heading 3 5" xfId="24350"/>
    <cellStyle name="Heading 3 50" xfId="24351"/>
    <cellStyle name="Heading 3 51" xfId="24352"/>
    <cellStyle name="Heading 3 52" xfId="24353"/>
    <cellStyle name="Heading 3 53" xfId="24354"/>
    <cellStyle name="Heading 3 54" xfId="24355"/>
    <cellStyle name="Heading 3 55" xfId="24356"/>
    <cellStyle name="Heading 3 56" xfId="24357"/>
    <cellStyle name="Heading 3 57" xfId="24358"/>
    <cellStyle name="Heading 3 58" xfId="24359"/>
    <cellStyle name="Heading 3 59" xfId="24360"/>
    <cellStyle name="Heading 3 6" xfId="24361"/>
    <cellStyle name="Heading 3 60" xfId="24362"/>
    <cellStyle name="Heading 3 61" xfId="24363"/>
    <cellStyle name="Heading 3 62" xfId="24364"/>
    <cellStyle name="Heading 3 63" xfId="24365"/>
    <cellStyle name="Heading 3 64" xfId="24366"/>
    <cellStyle name="Heading 3 65" xfId="24367"/>
    <cellStyle name="Heading 3 66" xfId="24368"/>
    <cellStyle name="Heading 3 67" xfId="24369"/>
    <cellStyle name="Heading 3 68" xfId="24370"/>
    <cellStyle name="Heading 3 69" xfId="24371"/>
    <cellStyle name="Heading 3 7" xfId="24372"/>
    <cellStyle name="Heading 3 8" xfId="24373"/>
    <cellStyle name="Heading 3 9" xfId="24374"/>
    <cellStyle name="Heading 4 10" xfId="24375"/>
    <cellStyle name="Heading 4 11" xfId="24376"/>
    <cellStyle name="Heading 4 12" xfId="24377"/>
    <cellStyle name="Heading 4 13" xfId="24378"/>
    <cellStyle name="Heading 4 14" xfId="24379"/>
    <cellStyle name="Heading 4 15" xfId="24380"/>
    <cellStyle name="Heading 4 16" xfId="24381"/>
    <cellStyle name="Heading 4 17" xfId="24382"/>
    <cellStyle name="Heading 4 18" xfId="24383"/>
    <cellStyle name="Heading 4 19" xfId="24384"/>
    <cellStyle name="Heading 4 2" xfId="24385"/>
    <cellStyle name="Heading 4 20" xfId="24386"/>
    <cellStyle name="Heading 4 21" xfId="24387"/>
    <cellStyle name="Heading 4 22" xfId="24388"/>
    <cellStyle name="Heading 4 23" xfId="24389"/>
    <cellStyle name="Heading 4 24" xfId="24390"/>
    <cellStyle name="Heading 4 25" xfId="24391"/>
    <cellStyle name="Heading 4 26" xfId="24392"/>
    <cellStyle name="Heading 4 27" xfId="24393"/>
    <cellStyle name="Heading 4 28" xfId="24394"/>
    <cellStyle name="Heading 4 29" xfId="24395"/>
    <cellStyle name="Heading 4 3" xfId="24396"/>
    <cellStyle name="Heading 4 30" xfId="24397"/>
    <cellStyle name="Heading 4 31" xfId="24398"/>
    <cellStyle name="Heading 4 32" xfId="24399"/>
    <cellStyle name="Heading 4 33" xfId="24400"/>
    <cellStyle name="Heading 4 34" xfId="24401"/>
    <cellStyle name="Heading 4 35" xfId="24402"/>
    <cellStyle name="Heading 4 36" xfId="24403"/>
    <cellStyle name="Heading 4 37" xfId="24404"/>
    <cellStyle name="Heading 4 38" xfId="24405"/>
    <cellStyle name="Heading 4 39" xfId="24406"/>
    <cellStyle name="Heading 4 4" xfId="24407"/>
    <cellStyle name="Heading 4 40" xfId="24408"/>
    <cellStyle name="Heading 4 41" xfId="24409"/>
    <cellStyle name="Heading 4 42" xfId="24410"/>
    <cellStyle name="Heading 4 43" xfId="24411"/>
    <cellStyle name="Heading 4 44" xfId="24412"/>
    <cellStyle name="Heading 4 45" xfId="24413"/>
    <cellStyle name="Heading 4 46" xfId="24414"/>
    <cellStyle name="Heading 4 47" xfId="24415"/>
    <cellStyle name="Heading 4 48" xfId="24416"/>
    <cellStyle name="Heading 4 49" xfId="24417"/>
    <cellStyle name="Heading 4 5" xfId="24418"/>
    <cellStyle name="Heading 4 50" xfId="24419"/>
    <cellStyle name="Heading 4 51" xfId="24420"/>
    <cellStyle name="Heading 4 52" xfId="24421"/>
    <cellStyle name="Heading 4 53" xfId="24422"/>
    <cellStyle name="Heading 4 54" xfId="24423"/>
    <cellStyle name="Heading 4 55" xfId="24424"/>
    <cellStyle name="Heading 4 56" xfId="24425"/>
    <cellStyle name="Heading 4 57" xfId="24426"/>
    <cellStyle name="Heading 4 58" xfId="24427"/>
    <cellStyle name="Heading 4 59" xfId="24428"/>
    <cellStyle name="Heading 4 6" xfId="24429"/>
    <cellStyle name="Heading 4 60" xfId="24430"/>
    <cellStyle name="Heading 4 61" xfId="24431"/>
    <cellStyle name="Heading 4 62" xfId="24432"/>
    <cellStyle name="Heading 4 63" xfId="24433"/>
    <cellStyle name="Heading 4 64" xfId="24434"/>
    <cellStyle name="Heading 4 65" xfId="24435"/>
    <cellStyle name="Heading 4 66" xfId="24436"/>
    <cellStyle name="Heading 4 67" xfId="24437"/>
    <cellStyle name="Heading 4 68" xfId="24438"/>
    <cellStyle name="Heading 4 69" xfId="24439"/>
    <cellStyle name="Heading 4 7" xfId="24440"/>
    <cellStyle name="Heading 4 8" xfId="24441"/>
    <cellStyle name="Heading 4 9" xfId="24442"/>
    <cellStyle name="HEADING1" xfId="24443"/>
    <cellStyle name="HEADING2" xfId="24444"/>
    <cellStyle name="Hyperlink 2" xfId="24445"/>
    <cellStyle name="Hyperlink 2 2" xfId="24446"/>
    <cellStyle name="Hyperlink 2 3" xfId="24447"/>
    <cellStyle name="Hyperlink 2 4" xfId="24448"/>
    <cellStyle name="Hyperlink 3" xfId="24449"/>
    <cellStyle name="Hyperlink 3 2" xfId="24450"/>
    <cellStyle name="Hyperlink 3 3" xfId="24451"/>
    <cellStyle name="Hyperlink 3 4" xfId="24452"/>
    <cellStyle name="Hyperlink 4" xfId="24453"/>
    <cellStyle name="Hyperlink 4 2" xfId="24454"/>
    <cellStyle name="Hyperlink 5" xfId="24455"/>
    <cellStyle name="Hyperlink 6" xfId="24456"/>
    <cellStyle name="Hyperlink 7" xfId="24457"/>
    <cellStyle name="Input [yellow]" xfId="24458"/>
    <cellStyle name="Input [yellow] 2" xfId="24459"/>
    <cellStyle name="Input [yellow] 3" xfId="24460"/>
    <cellStyle name="Input [yellow] 4" xfId="24461"/>
    <cellStyle name="Input 10" xfId="24462"/>
    <cellStyle name="Input 10 2" xfId="24463"/>
    <cellStyle name="Input 11" xfId="24464"/>
    <cellStyle name="Input 11 2" xfId="24465"/>
    <cellStyle name="Input 12" xfId="24466"/>
    <cellStyle name="Input 12 2" xfId="24467"/>
    <cellStyle name="Input 13" xfId="24468"/>
    <cellStyle name="Input 13 2" xfId="24469"/>
    <cellStyle name="Input 14" xfId="24470"/>
    <cellStyle name="Input 14 2" xfId="24471"/>
    <cellStyle name="Input 15" xfId="24472"/>
    <cellStyle name="Input 15 2" xfId="24473"/>
    <cellStyle name="Input 16" xfId="24474"/>
    <cellStyle name="Input 16 2" xfId="24475"/>
    <cellStyle name="Input 17" xfId="24476"/>
    <cellStyle name="Input 17 2" xfId="24477"/>
    <cellStyle name="Input 18" xfId="24478"/>
    <cellStyle name="Input 18 2" xfId="24479"/>
    <cellStyle name="Input 19" xfId="24480"/>
    <cellStyle name="Input 19 2" xfId="24481"/>
    <cellStyle name="Input 2" xfId="24482"/>
    <cellStyle name="Input 2 2" xfId="24483"/>
    <cellStyle name="Input 20" xfId="24484"/>
    <cellStyle name="Input 20 2" xfId="24485"/>
    <cellStyle name="Input 21" xfId="24486"/>
    <cellStyle name="Input 21 2" xfId="24487"/>
    <cellStyle name="Input 22" xfId="24488"/>
    <cellStyle name="Input 22 2" xfId="24489"/>
    <cellStyle name="Input 23" xfId="24490"/>
    <cellStyle name="Input 23 2" xfId="24491"/>
    <cellStyle name="Input 24" xfId="24492"/>
    <cellStyle name="Input 25" xfId="24493"/>
    <cellStyle name="Input 26" xfId="24494"/>
    <cellStyle name="Input 27" xfId="24495"/>
    <cellStyle name="Input 28" xfId="24496"/>
    <cellStyle name="Input 29" xfId="24497"/>
    <cellStyle name="Input 3" xfId="24498"/>
    <cellStyle name="Input 3 2" xfId="24499"/>
    <cellStyle name="Input 30" xfId="24500"/>
    <cellStyle name="Input 31" xfId="24501"/>
    <cellStyle name="Input 32" xfId="24502"/>
    <cellStyle name="Input 33" xfId="24503"/>
    <cellStyle name="Input 34" xfId="24504"/>
    <cellStyle name="Input 35" xfId="24505"/>
    <cellStyle name="Input 36" xfId="24506"/>
    <cellStyle name="Input 37" xfId="24507"/>
    <cellStyle name="Input 38" xfId="24508"/>
    <cellStyle name="Input 39" xfId="24509"/>
    <cellStyle name="Input 4" xfId="24510"/>
    <cellStyle name="Input 4 2" xfId="24511"/>
    <cellStyle name="Input 40" xfId="24512"/>
    <cellStyle name="Input 41" xfId="24513"/>
    <cellStyle name="Input 42" xfId="24514"/>
    <cellStyle name="Input 43" xfId="24515"/>
    <cellStyle name="Input 44" xfId="24516"/>
    <cellStyle name="Input 45" xfId="24517"/>
    <cellStyle name="Input 46" xfId="24518"/>
    <cellStyle name="Input 47" xfId="24519"/>
    <cellStyle name="Input 48" xfId="24520"/>
    <cellStyle name="Input 49" xfId="24521"/>
    <cellStyle name="Input 5" xfId="24522"/>
    <cellStyle name="Input 5 2" xfId="24523"/>
    <cellStyle name="Input 50" xfId="24524"/>
    <cellStyle name="Input 51" xfId="24525"/>
    <cellStyle name="Input 52" xfId="24526"/>
    <cellStyle name="Input 53" xfId="24527"/>
    <cellStyle name="Input 54" xfId="24528"/>
    <cellStyle name="Input 55" xfId="24529"/>
    <cellStyle name="Input 56" xfId="24530"/>
    <cellStyle name="Input 57" xfId="24531"/>
    <cellStyle name="Input 58" xfId="24532"/>
    <cellStyle name="Input 59" xfId="24533"/>
    <cellStyle name="Input 6" xfId="24534"/>
    <cellStyle name="Input 6 2" xfId="24535"/>
    <cellStyle name="Input 60" xfId="24536"/>
    <cellStyle name="Input 61" xfId="24537"/>
    <cellStyle name="Input 62" xfId="24538"/>
    <cellStyle name="Input 63" xfId="24539"/>
    <cellStyle name="Input 64" xfId="24540"/>
    <cellStyle name="Input 65" xfId="24541"/>
    <cellStyle name="Input 66" xfId="24542"/>
    <cellStyle name="Input 67" xfId="24543"/>
    <cellStyle name="Input 68" xfId="24544"/>
    <cellStyle name="Input 69" xfId="24545"/>
    <cellStyle name="Input 7" xfId="24546"/>
    <cellStyle name="Input 7 2" xfId="24547"/>
    <cellStyle name="Input 8" xfId="24548"/>
    <cellStyle name="Input 8 2" xfId="24549"/>
    <cellStyle name="Input 9" xfId="24550"/>
    <cellStyle name="Input 9 2" xfId="24551"/>
    <cellStyle name="Input Cells" xfId="24552"/>
    <cellStyle name="Linked Cell 10" xfId="24553"/>
    <cellStyle name="Linked Cell 11" xfId="24554"/>
    <cellStyle name="Linked Cell 12" xfId="24555"/>
    <cellStyle name="Linked Cell 13" xfId="24556"/>
    <cellStyle name="Linked Cell 14" xfId="24557"/>
    <cellStyle name="Linked Cell 15" xfId="24558"/>
    <cellStyle name="Linked Cell 16" xfId="24559"/>
    <cellStyle name="Linked Cell 17" xfId="24560"/>
    <cellStyle name="Linked Cell 18" xfId="24561"/>
    <cellStyle name="Linked Cell 19" xfId="24562"/>
    <cellStyle name="Linked Cell 2" xfId="24563"/>
    <cellStyle name="Linked Cell 20" xfId="24564"/>
    <cellStyle name="Linked Cell 21" xfId="24565"/>
    <cellStyle name="Linked Cell 22" xfId="24566"/>
    <cellStyle name="Linked Cell 23" xfId="24567"/>
    <cellStyle name="Linked Cell 24" xfId="24568"/>
    <cellStyle name="Linked Cell 25" xfId="24569"/>
    <cellStyle name="Linked Cell 26" xfId="24570"/>
    <cellStyle name="Linked Cell 27" xfId="24571"/>
    <cellStyle name="Linked Cell 28" xfId="24572"/>
    <cellStyle name="Linked Cell 29" xfId="24573"/>
    <cellStyle name="Linked Cell 3" xfId="24574"/>
    <cellStyle name="Linked Cell 30" xfId="24575"/>
    <cellStyle name="Linked Cell 31" xfId="24576"/>
    <cellStyle name="Linked Cell 32" xfId="24577"/>
    <cellStyle name="Linked Cell 33" xfId="24578"/>
    <cellStyle name="Linked Cell 34" xfId="24579"/>
    <cellStyle name="Linked Cell 35" xfId="24580"/>
    <cellStyle name="Linked Cell 36" xfId="24581"/>
    <cellStyle name="Linked Cell 37" xfId="24582"/>
    <cellStyle name="Linked Cell 38" xfId="24583"/>
    <cellStyle name="Linked Cell 39" xfId="24584"/>
    <cellStyle name="Linked Cell 4" xfId="24585"/>
    <cellStyle name="Linked Cell 40" xfId="24586"/>
    <cellStyle name="Linked Cell 41" xfId="24587"/>
    <cellStyle name="Linked Cell 42" xfId="24588"/>
    <cellStyle name="Linked Cell 43" xfId="24589"/>
    <cellStyle name="Linked Cell 44" xfId="24590"/>
    <cellStyle name="Linked Cell 45" xfId="24591"/>
    <cellStyle name="Linked Cell 46" xfId="24592"/>
    <cellStyle name="Linked Cell 47" xfId="24593"/>
    <cellStyle name="Linked Cell 48" xfId="24594"/>
    <cellStyle name="Linked Cell 49" xfId="24595"/>
    <cellStyle name="Linked Cell 5" xfId="24596"/>
    <cellStyle name="Linked Cell 50" xfId="24597"/>
    <cellStyle name="Linked Cell 51" xfId="24598"/>
    <cellStyle name="Linked Cell 52" xfId="24599"/>
    <cellStyle name="Linked Cell 53" xfId="24600"/>
    <cellStyle name="Linked Cell 54" xfId="24601"/>
    <cellStyle name="Linked Cell 55" xfId="24602"/>
    <cellStyle name="Linked Cell 56" xfId="24603"/>
    <cellStyle name="Linked Cell 57" xfId="24604"/>
    <cellStyle name="Linked Cell 58" xfId="24605"/>
    <cellStyle name="Linked Cell 59" xfId="24606"/>
    <cellStyle name="Linked Cell 6" xfId="24607"/>
    <cellStyle name="Linked Cell 60" xfId="24608"/>
    <cellStyle name="Linked Cell 61" xfId="24609"/>
    <cellStyle name="Linked Cell 62" xfId="24610"/>
    <cellStyle name="Linked Cell 63" xfId="24611"/>
    <cellStyle name="Linked Cell 64" xfId="24612"/>
    <cellStyle name="Linked Cell 65" xfId="24613"/>
    <cellStyle name="Linked Cell 66" xfId="24614"/>
    <cellStyle name="Linked Cell 67" xfId="24615"/>
    <cellStyle name="Linked Cell 68" xfId="24616"/>
    <cellStyle name="Linked Cell 69" xfId="24617"/>
    <cellStyle name="Linked Cell 7" xfId="24618"/>
    <cellStyle name="Linked Cell 8" xfId="24619"/>
    <cellStyle name="Linked Cell 9" xfId="24620"/>
    <cellStyle name="Linked Cells" xfId="24621"/>
    <cellStyle name="Miglia - Stile1" xfId="24622"/>
    <cellStyle name="Miglia - Stile2" xfId="24623"/>
    <cellStyle name="Miglia - Stile3" xfId="24624"/>
    <cellStyle name="Miglia - Stile4" xfId="24625"/>
    <cellStyle name="Miglia - Stile5" xfId="24626"/>
    <cellStyle name="Milliers [0]_      " xfId="24627"/>
    <cellStyle name="Milliers_      " xfId="24628"/>
    <cellStyle name="Model" xfId="24629"/>
    <cellStyle name="Mon?aire [0]_      " xfId="24630"/>
    <cellStyle name="Mon?aire_      " xfId="24631"/>
    <cellStyle name="Monétaire [0]_AREA9903" xfId="24632"/>
    <cellStyle name="Monétaire_AREA9903" xfId="24633"/>
    <cellStyle name="Neutral 10" xfId="24634"/>
    <cellStyle name="Neutral 11" xfId="24635"/>
    <cellStyle name="Neutral 12" xfId="24636"/>
    <cellStyle name="Neutral 13" xfId="24637"/>
    <cellStyle name="Neutral 14" xfId="24638"/>
    <cellStyle name="Neutral 15" xfId="24639"/>
    <cellStyle name="Neutral 16" xfId="24640"/>
    <cellStyle name="Neutral 17" xfId="24641"/>
    <cellStyle name="Neutral 18" xfId="24642"/>
    <cellStyle name="Neutral 19" xfId="24643"/>
    <cellStyle name="Neutral 2" xfId="24644"/>
    <cellStyle name="Neutral 20" xfId="24645"/>
    <cellStyle name="Neutral 21" xfId="24646"/>
    <cellStyle name="Neutral 22" xfId="24647"/>
    <cellStyle name="Neutral 23" xfId="24648"/>
    <cellStyle name="Neutral 24" xfId="24649"/>
    <cellStyle name="Neutral 25" xfId="24650"/>
    <cellStyle name="Neutral 26" xfId="24651"/>
    <cellStyle name="Neutral 27" xfId="24652"/>
    <cellStyle name="Neutral 28" xfId="24653"/>
    <cellStyle name="Neutral 29" xfId="24654"/>
    <cellStyle name="Neutral 3" xfId="24655"/>
    <cellStyle name="Neutral 30" xfId="24656"/>
    <cellStyle name="Neutral 31" xfId="24657"/>
    <cellStyle name="Neutral 32" xfId="24658"/>
    <cellStyle name="Neutral 33" xfId="24659"/>
    <cellStyle name="Neutral 34" xfId="24660"/>
    <cellStyle name="Neutral 35" xfId="24661"/>
    <cellStyle name="Neutral 36" xfId="24662"/>
    <cellStyle name="Neutral 37" xfId="24663"/>
    <cellStyle name="Neutral 38" xfId="24664"/>
    <cellStyle name="Neutral 39" xfId="24665"/>
    <cellStyle name="Neutral 4" xfId="24666"/>
    <cellStyle name="Neutral 40" xfId="24667"/>
    <cellStyle name="Neutral 41" xfId="24668"/>
    <cellStyle name="Neutral 42" xfId="24669"/>
    <cellStyle name="Neutral 43" xfId="24670"/>
    <cellStyle name="Neutral 44" xfId="24671"/>
    <cellStyle name="Neutral 45" xfId="24672"/>
    <cellStyle name="Neutral 46" xfId="24673"/>
    <cellStyle name="Neutral 47" xfId="24674"/>
    <cellStyle name="Neutral 48" xfId="24675"/>
    <cellStyle name="Neutral 49" xfId="24676"/>
    <cellStyle name="Neutral 5" xfId="24677"/>
    <cellStyle name="Neutral 50" xfId="24678"/>
    <cellStyle name="Neutral 51" xfId="24679"/>
    <cellStyle name="Neutral 52" xfId="24680"/>
    <cellStyle name="Neutral 53" xfId="24681"/>
    <cellStyle name="Neutral 54" xfId="24682"/>
    <cellStyle name="Neutral 55" xfId="24683"/>
    <cellStyle name="Neutral 56" xfId="24684"/>
    <cellStyle name="Neutral 57" xfId="24685"/>
    <cellStyle name="Neutral 58" xfId="24686"/>
    <cellStyle name="Neutral 59" xfId="24687"/>
    <cellStyle name="Neutral 6" xfId="24688"/>
    <cellStyle name="Neutral 60" xfId="24689"/>
    <cellStyle name="Neutral 61" xfId="24690"/>
    <cellStyle name="Neutral 62" xfId="24691"/>
    <cellStyle name="Neutral 63" xfId="24692"/>
    <cellStyle name="Neutral 64" xfId="24693"/>
    <cellStyle name="Neutral 65" xfId="24694"/>
    <cellStyle name="Neutral 66" xfId="24695"/>
    <cellStyle name="Neutral 67" xfId="24696"/>
    <cellStyle name="Neutral 68" xfId="24697"/>
    <cellStyle name="Neutral 69" xfId="24698"/>
    <cellStyle name="Neutral 7" xfId="24699"/>
    <cellStyle name="Neutral 8" xfId="24700"/>
    <cellStyle name="Neutral 9" xfId="24701"/>
    <cellStyle name="no dec" xfId="24702"/>
    <cellStyle name="no dec 2" xfId="24703"/>
    <cellStyle name="no dec 2 2" xfId="24704"/>
    <cellStyle name="no dec 2 3" xfId="24705"/>
    <cellStyle name="no dec 2 4" xfId="24706"/>
    <cellStyle name="no dec 3" xfId="24707"/>
    <cellStyle name="no dec 3 2" xfId="24708"/>
    <cellStyle name="no dec 3 3" xfId="24709"/>
    <cellStyle name="no dec 3 4" xfId="24710"/>
    <cellStyle name="no dec 4" xfId="24711"/>
    <cellStyle name="no dec 4 2" xfId="24712"/>
    <cellStyle name="no dec 4 3" xfId="24713"/>
    <cellStyle name="no dec 4 4" xfId="24714"/>
    <cellStyle name="Normal" xfId="0" builtinId="0"/>
    <cellStyle name="Normal - Stile6" xfId="24715"/>
    <cellStyle name="Normal - Stile7" xfId="24716"/>
    <cellStyle name="Normal - Stile8" xfId="24717"/>
    <cellStyle name="Normal - Style1" xfId="24718"/>
    <cellStyle name="Normal - Style1 2" xfId="24719"/>
    <cellStyle name="Normal - Style1 3" xfId="24720"/>
    <cellStyle name="Normal - Style1 4" xfId="24721"/>
    <cellStyle name="Normal 10" xfId="24722"/>
    <cellStyle name="Normal 10 2" xfId="24723"/>
    <cellStyle name="Normal 10 2 2" xfId="24724"/>
    <cellStyle name="Normal 10 2 2 2" xfId="24725"/>
    <cellStyle name="Normal 10 2 3" xfId="24726"/>
    <cellStyle name="Normal 10 2 3 2" xfId="24727"/>
    <cellStyle name="Normal 10 2 4" xfId="24728"/>
    <cellStyle name="Normal 10 2 4 2" xfId="24729"/>
    <cellStyle name="Normal 10 2 5" xfId="24730"/>
    <cellStyle name="Normal 10 3" xfId="24731"/>
    <cellStyle name="Normal 10 3 2" xfId="24732"/>
    <cellStyle name="Normal 10 3 2 2" xfId="24733"/>
    <cellStyle name="Normal 10 3 3" xfId="24734"/>
    <cellStyle name="Normal 10 3 3 2" xfId="24735"/>
    <cellStyle name="Normal 10 3 4" xfId="24736"/>
    <cellStyle name="Normal 10 4" xfId="24737"/>
    <cellStyle name="Normal 10 4 2" xfId="24738"/>
    <cellStyle name="Normal 10 5" xfId="24739"/>
    <cellStyle name="Normal 10 5 2" xfId="24740"/>
    <cellStyle name="Normal 10 6" xfId="24741"/>
    <cellStyle name="Normal 10 7" xfId="24742"/>
    <cellStyle name="Normal 10 7 2" xfId="24743"/>
    <cellStyle name="Normal 10 8" xfId="24744"/>
    <cellStyle name="Normal 10 8 2" xfId="24745"/>
    <cellStyle name="Normal 100" xfId="24746"/>
    <cellStyle name="Normal 100 2" xfId="24747"/>
    <cellStyle name="Normal 100 2 2" xfId="24748"/>
    <cellStyle name="Normal 100 3" xfId="24749"/>
    <cellStyle name="Normal 100 3 2" xfId="24750"/>
    <cellStyle name="Normal 100 4" xfId="24751"/>
    <cellStyle name="Normal 101" xfId="24752"/>
    <cellStyle name="Normal 101 2" xfId="24753"/>
    <cellStyle name="Normal 101 2 2" xfId="24754"/>
    <cellStyle name="Normal 101 3" xfId="24755"/>
    <cellStyle name="Normal 101 3 2" xfId="24756"/>
    <cellStyle name="Normal 101 4" xfId="24757"/>
    <cellStyle name="Normal 102" xfId="24758"/>
    <cellStyle name="Normal 102 2" xfId="24759"/>
    <cellStyle name="Normal 102 2 2" xfId="24760"/>
    <cellStyle name="Normal 102 3" xfId="24761"/>
    <cellStyle name="Normal 102 3 2" xfId="24762"/>
    <cellStyle name="Normal 102 4" xfId="24763"/>
    <cellStyle name="Normal 103" xfId="24764"/>
    <cellStyle name="Normal 103 2" xfId="24765"/>
    <cellStyle name="Normal 103 2 2" xfId="24766"/>
    <cellStyle name="Normal 103 3" xfId="24767"/>
    <cellStyle name="Normal 103 3 2" xfId="24768"/>
    <cellStyle name="Normal 103 4" xfId="24769"/>
    <cellStyle name="Normal 104" xfId="24770"/>
    <cellStyle name="Normal 104 2" xfId="24771"/>
    <cellStyle name="Normal 104 2 2" xfId="24772"/>
    <cellStyle name="Normal 104 3" xfId="24773"/>
    <cellStyle name="Normal 104 3 2" xfId="24774"/>
    <cellStyle name="Normal 104 4" xfId="24775"/>
    <cellStyle name="Normal 105" xfId="24776"/>
    <cellStyle name="Normal 105 2" xfId="24777"/>
    <cellStyle name="Normal 105 2 2" xfId="24778"/>
    <cellStyle name="Normal 105 3" xfId="24779"/>
    <cellStyle name="Normal 105 3 2" xfId="24780"/>
    <cellStyle name="Normal 105 4" xfId="24781"/>
    <cellStyle name="Normal 106" xfId="24782"/>
    <cellStyle name="Normal 106 2" xfId="24783"/>
    <cellStyle name="Normal 106 2 2" xfId="24784"/>
    <cellStyle name="Normal 106 3" xfId="24785"/>
    <cellStyle name="Normal 106 3 2" xfId="24786"/>
    <cellStyle name="Normal 106 4" xfId="24787"/>
    <cellStyle name="Normal 107" xfId="24788"/>
    <cellStyle name="Normal 107 2" xfId="24789"/>
    <cellStyle name="Normal 107 2 2" xfId="24790"/>
    <cellStyle name="Normal 107 3" xfId="24791"/>
    <cellStyle name="Normal 107 3 2" xfId="24792"/>
    <cellStyle name="Normal 107 4" xfId="24793"/>
    <cellStyle name="Normal 108" xfId="24794"/>
    <cellStyle name="Normal 108 2" xfId="24795"/>
    <cellStyle name="Normal 108 2 2" xfId="24796"/>
    <cellStyle name="Normal 108 3" xfId="24797"/>
    <cellStyle name="Normal 108 3 2" xfId="24798"/>
    <cellStyle name="Normal 108 4" xfId="24799"/>
    <cellStyle name="Normal 109" xfId="24800"/>
    <cellStyle name="Normal 109 2" xfId="24801"/>
    <cellStyle name="Normal 109 2 2" xfId="24802"/>
    <cellStyle name="Normal 109 3" xfId="24803"/>
    <cellStyle name="Normal 109 3 2" xfId="24804"/>
    <cellStyle name="Normal 109 4" xfId="24805"/>
    <cellStyle name="Normal 11" xfId="24806"/>
    <cellStyle name="Normal 11 2" xfId="24807"/>
    <cellStyle name="Normal 11 2 2" xfId="24808"/>
    <cellStyle name="Normal 11 2 2 2" xfId="24809"/>
    <cellStyle name="Normal 11 2 3" xfId="24810"/>
    <cellStyle name="Normal 11 2 3 2" xfId="24811"/>
    <cellStyle name="Normal 11 2 4" xfId="24812"/>
    <cellStyle name="Normal 11 3" xfId="24813"/>
    <cellStyle name="Normal 11 3 2" xfId="24814"/>
    <cellStyle name="Normal 11 3 2 2" xfId="24815"/>
    <cellStyle name="Normal 11 3 3" xfId="24816"/>
    <cellStyle name="Normal 11 3 3 2" xfId="24817"/>
    <cellStyle name="Normal 11 3 4" xfId="24818"/>
    <cellStyle name="Normal 11 4" xfId="24819"/>
    <cellStyle name="Normal 11 4 2" xfId="24820"/>
    <cellStyle name="Normal 11 5" xfId="24821"/>
    <cellStyle name="Normal 11 5 2" xfId="24822"/>
    <cellStyle name="Normal 11 6" xfId="24823"/>
    <cellStyle name="Normal 11 7" xfId="24824"/>
    <cellStyle name="Normal 11 8 2" xfId="24825"/>
    <cellStyle name="Normal 110" xfId="24826"/>
    <cellStyle name="Normal 110 2" xfId="24827"/>
    <cellStyle name="Normal 110 2 2" xfId="24828"/>
    <cellStyle name="Normal 110 3" xfId="24829"/>
    <cellStyle name="Normal 110 3 2" xfId="24830"/>
    <cellStyle name="Normal 110 4" xfId="24831"/>
    <cellStyle name="Normal 111" xfId="24832"/>
    <cellStyle name="Normal 111 2" xfId="24833"/>
    <cellStyle name="Normal 111 2 2" xfId="24834"/>
    <cellStyle name="Normal 111 3" xfId="24835"/>
    <cellStyle name="Normal 111 3 2" xfId="24836"/>
    <cellStyle name="Normal 111 4" xfId="24837"/>
    <cellStyle name="Normal 112" xfId="24838"/>
    <cellStyle name="Normal 112 2" xfId="24839"/>
    <cellStyle name="Normal 112 2 2" xfId="24840"/>
    <cellStyle name="Normal 112 3" xfId="24841"/>
    <cellStyle name="Normal 112 3 2" xfId="24842"/>
    <cellStyle name="Normal 112 4" xfId="24843"/>
    <cellStyle name="Normal 113" xfId="24844"/>
    <cellStyle name="Normal 113 2" xfId="24845"/>
    <cellStyle name="Normal 113 2 2" xfId="24846"/>
    <cellStyle name="Normal 113 3" xfId="24847"/>
    <cellStyle name="Normal 113 3 2" xfId="24848"/>
    <cellStyle name="Normal 113 4" xfId="24849"/>
    <cellStyle name="Normal 114" xfId="24850"/>
    <cellStyle name="Normal 114 2" xfId="24851"/>
    <cellStyle name="Normal 114 2 2" xfId="24852"/>
    <cellStyle name="Normal 114 3" xfId="24853"/>
    <cellStyle name="Normal 114 3 2" xfId="24854"/>
    <cellStyle name="Normal 114 4" xfId="24855"/>
    <cellStyle name="Normal 115" xfId="24856"/>
    <cellStyle name="Normal 115 2" xfId="24857"/>
    <cellStyle name="Normal 115 2 2" xfId="24858"/>
    <cellStyle name="Normal 115 3" xfId="24859"/>
    <cellStyle name="Normal 115 3 2" xfId="24860"/>
    <cellStyle name="Normal 115 4" xfId="24861"/>
    <cellStyle name="Normal 116" xfId="24862"/>
    <cellStyle name="Normal 116 2" xfId="24863"/>
    <cellStyle name="Normal 116 2 2" xfId="24864"/>
    <cellStyle name="Normal 116 3" xfId="24865"/>
    <cellStyle name="Normal 116 3 2" xfId="24866"/>
    <cellStyle name="Normal 116 4" xfId="24867"/>
    <cellStyle name="Normal 117" xfId="24868"/>
    <cellStyle name="Normal 117 2" xfId="24869"/>
    <cellStyle name="Normal 117 2 2" xfId="24870"/>
    <cellStyle name="Normal 117 3" xfId="24871"/>
    <cellStyle name="Normal 117 3 2" xfId="24872"/>
    <cellStyle name="Normal 117 4" xfId="24873"/>
    <cellStyle name="Normal 118" xfId="24874"/>
    <cellStyle name="Normal 118 2" xfId="24875"/>
    <cellStyle name="Normal 118 2 2" xfId="24876"/>
    <cellStyle name="Normal 118 3" xfId="24877"/>
    <cellStyle name="Normal 118 3 2" xfId="24878"/>
    <cellStyle name="Normal 118 4" xfId="24879"/>
    <cellStyle name="Normal 119" xfId="24880"/>
    <cellStyle name="Normal 119 2" xfId="24881"/>
    <cellStyle name="Normal 119 2 2" xfId="24882"/>
    <cellStyle name="Normal 119 3" xfId="24883"/>
    <cellStyle name="Normal 119 3 2" xfId="24884"/>
    <cellStyle name="Normal 119 4" xfId="24885"/>
    <cellStyle name="Normal 12" xfId="24886"/>
    <cellStyle name="Normal 12 2" xfId="24887"/>
    <cellStyle name="Normal 12 2 2" xfId="24888"/>
    <cellStyle name="Normal 12 2 2 2" xfId="24889"/>
    <cellStyle name="Normal 12 2 3" xfId="24890"/>
    <cellStyle name="Normal 12 2 3 2" xfId="24891"/>
    <cellStyle name="Normal 12 2 4" xfId="24892"/>
    <cellStyle name="Normal 12 3" xfId="24893"/>
    <cellStyle name="Normal 12 3 2" xfId="24894"/>
    <cellStyle name="Normal 12 3 2 2" xfId="24895"/>
    <cellStyle name="Normal 12 3 3" xfId="24896"/>
    <cellStyle name="Normal 12 3 3 2" xfId="24897"/>
    <cellStyle name="Normal 12 3 4" xfId="24898"/>
    <cellStyle name="Normal 12 4" xfId="24899"/>
    <cellStyle name="Normal 12 4 2" xfId="24900"/>
    <cellStyle name="Normal 12 5" xfId="24901"/>
    <cellStyle name="Normal 12 5 2" xfId="24902"/>
    <cellStyle name="Normal 12 6" xfId="24903"/>
    <cellStyle name="Normal 12 6 2" xfId="24904"/>
    <cellStyle name="Normal 12 7" xfId="24905"/>
    <cellStyle name="Normal 12 7 2" xfId="24906"/>
    <cellStyle name="Normal 12 8" xfId="24907"/>
    <cellStyle name="Normal 120" xfId="24908"/>
    <cellStyle name="Normal 120 2" xfId="24909"/>
    <cellStyle name="Normal 120 2 2" xfId="24910"/>
    <cellStyle name="Normal 120 3" xfId="24911"/>
    <cellStyle name="Normal 120 3 2" xfId="24912"/>
    <cellStyle name="Normal 120 4" xfId="24913"/>
    <cellStyle name="Normal 121" xfId="24914"/>
    <cellStyle name="Normal 121 2" xfId="24915"/>
    <cellStyle name="Normal 121 2 2" xfId="24916"/>
    <cellStyle name="Normal 121 3" xfId="24917"/>
    <cellStyle name="Normal 121 3 2" xfId="24918"/>
    <cellStyle name="Normal 121 4" xfId="24919"/>
    <cellStyle name="Normal 122" xfId="24920"/>
    <cellStyle name="Normal 122 2" xfId="24921"/>
    <cellStyle name="Normal 122 2 2" xfId="24922"/>
    <cellStyle name="Normal 122 3" xfId="24923"/>
    <cellStyle name="Normal 122 3 2" xfId="24924"/>
    <cellStyle name="Normal 122 4" xfId="24925"/>
    <cellStyle name="Normal 123" xfId="24926"/>
    <cellStyle name="Normal 123 2" xfId="24927"/>
    <cellStyle name="Normal 123 2 2" xfId="24928"/>
    <cellStyle name="Normal 123 3" xfId="24929"/>
    <cellStyle name="Normal 123 3 2" xfId="24930"/>
    <cellStyle name="Normal 123 4" xfId="24931"/>
    <cellStyle name="Normal 124" xfId="24932"/>
    <cellStyle name="Normal 124 2" xfId="24933"/>
    <cellStyle name="Normal 124 2 2" xfId="24934"/>
    <cellStyle name="Normal 124 3" xfId="24935"/>
    <cellStyle name="Normal 124 3 2" xfId="24936"/>
    <cellStyle name="Normal 124 4" xfId="24937"/>
    <cellStyle name="Normal 125" xfId="24938"/>
    <cellStyle name="Normal 125 2" xfId="24939"/>
    <cellStyle name="Normal 125 2 2" xfId="24940"/>
    <cellStyle name="Normal 125 3" xfId="24941"/>
    <cellStyle name="Normal 125 3 2" xfId="24942"/>
    <cellStyle name="Normal 125 4" xfId="24943"/>
    <cellStyle name="Normal 126" xfId="24944"/>
    <cellStyle name="Normal 126 2" xfId="24945"/>
    <cellStyle name="Normal 126 2 2" xfId="24946"/>
    <cellStyle name="Normal 126 3" xfId="24947"/>
    <cellStyle name="Normal 126 3 2" xfId="24948"/>
    <cellStyle name="Normal 126 4" xfId="24949"/>
    <cellStyle name="Normal 127" xfId="24950"/>
    <cellStyle name="Normal 127 2" xfId="24951"/>
    <cellStyle name="Normal 127 2 2" xfId="24952"/>
    <cellStyle name="Normal 127 3" xfId="24953"/>
    <cellStyle name="Normal 127 3 2" xfId="24954"/>
    <cellStyle name="Normal 127 4" xfId="24955"/>
    <cellStyle name="Normal 128" xfId="24956"/>
    <cellStyle name="Normal 128 2" xfId="24957"/>
    <cellStyle name="Normal 128 2 2" xfId="24958"/>
    <cellStyle name="Normal 128 3" xfId="24959"/>
    <cellStyle name="Normal 128 3 2" xfId="24960"/>
    <cellStyle name="Normal 128 4" xfId="24961"/>
    <cellStyle name="Normal 129" xfId="24962"/>
    <cellStyle name="Normal 129 2" xfId="24963"/>
    <cellStyle name="Normal 129 2 2" xfId="24964"/>
    <cellStyle name="Normal 129 3" xfId="24965"/>
    <cellStyle name="Normal 129 3 2" xfId="24966"/>
    <cellStyle name="Normal 129 4" xfId="24967"/>
    <cellStyle name="Normal 13" xfId="24968"/>
    <cellStyle name="Normal 13 2" xfId="24969"/>
    <cellStyle name="Normal 13 2 2" xfId="24970"/>
    <cellStyle name="Normal 13 2 2 2" xfId="24971"/>
    <cellStyle name="Normal 13 2 3" xfId="24972"/>
    <cellStyle name="Normal 13 2 3 2" xfId="24973"/>
    <cellStyle name="Normal 13 2 4" xfId="24974"/>
    <cellStyle name="Normal 13 3" xfId="24975"/>
    <cellStyle name="Normal 13 3 2" xfId="24976"/>
    <cellStyle name="Normal 13 3 2 2" xfId="24977"/>
    <cellStyle name="Normal 13 3 3" xfId="24978"/>
    <cellStyle name="Normal 13 3 3 2" xfId="24979"/>
    <cellStyle name="Normal 13 3 4" xfId="24980"/>
    <cellStyle name="Normal 13 4" xfId="24981"/>
    <cellStyle name="Normal 13 4 2" xfId="24982"/>
    <cellStyle name="Normal 13 4 2 2" xfId="24983"/>
    <cellStyle name="Normal 13 4 3" xfId="24984"/>
    <cellStyle name="Normal 13 4 3 2" xfId="24985"/>
    <cellStyle name="Normal 13 4 4" xfId="24986"/>
    <cellStyle name="Normal 13 5" xfId="24987"/>
    <cellStyle name="Normal 13 5 2" xfId="24988"/>
    <cellStyle name="Normal 13 6" xfId="24989"/>
    <cellStyle name="Normal 13 6 2" xfId="24990"/>
    <cellStyle name="Normal 13 7" xfId="24991"/>
    <cellStyle name="Normal 130" xfId="24992"/>
    <cellStyle name="Normal 130 2" xfId="24993"/>
    <cellStyle name="Normal 130 2 2" xfId="24994"/>
    <cellStyle name="Normal 130 3" xfId="24995"/>
    <cellStyle name="Normal 130 3 2" xfId="24996"/>
    <cellStyle name="Normal 130 4" xfId="24997"/>
    <cellStyle name="Normal 131" xfId="24998"/>
    <cellStyle name="Normal 131 2" xfId="24999"/>
    <cellStyle name="Normal 131 2 2" xfId="25000"/>
    <cellStyle name="Normal 131 3" xfId="25001"/>
    <cellStyle name="Normal 131 3 2" xfId="25002"/>
    <cellStyle name="Normal 131 4" xfId="25003"/>
    <cellStyle name="Normal 132" xfId="25004"/>
    <cellStyle name="Normal 132 2" xfId="25005"/>
    <cellStyle name="Normal 132 2 2" xfId="25006"/>
    <cellStyle name="Normal 132 3" xfId="25007"/>
    <cellStyle name="Normal 132 3 2" xfId="25008"/>
    <cellStyle name="Normal 132 4" xfId="25009"/>
    <cellStyle name="Normal 133" xfId="25010"/>
    <cellStyle name="Normal 133 2" xfId="25011"/>
    <cellStyle name="Normal 133 2 2" xfId="25012"/>
    <cellStyle name="Normal 133 3" xfId="25013"/>
    <cellStyle name="Normal 133 3 2" xfId="25014"/>
    <cellStyle name="Normal 133 4" xfId="25015"/>
    <cellStyle name="Normal 134" xfId="25016"/>
    <cellStyle name="Normal 134 2" xfId="25017"/>
    <cellStyle name="Normal 134 2 2" xfId="25018"/>
    <cellStyle name="Normal 134 3" xfId="25019"/>
    <cellStyle name="Normal 134 3 2" xfId="25020"/>
    <cellStyle name="Normal 134 4" xfId="25021"/>
    <cellStyle name="Normal 135" xfId="25022"/>
    <cellStyle name="Normal 135 2" xfId="25023"/>
    <cellStyle name="Normal 135 2 2" xfId="25024"/>
    <cellStyle name="Normal 135 3" xfId="25025"/>
    <cellStyle name="Normal 135 3 2" xfId="25026"/>
    <cellStyle name="Normal 135 4" xfId="25027"/>
    <cellStyle name="Normal 136" xfId="25028"/>
    <cellStyle name="Normal 136 2" xfId="25029"/>
    <cellStyle name="Normal 136 2 2" xfId="25030"/>
    <cellStyle name="Normal 136 3" xfId="25031"/>
    <cellStyle name="Normal 136 3 2" xfId="25032"/>
    <cellStyle name="Normal 136 4" xfId="25033"/>
    <cellStyle name="Normal 137" xfId="25034"/>
    <cellStyle name="Normal 137 2" xfId="25035"/>
    <cellStyle name="Normal 137 2 2" xfId="25036"/>
    <cellStyle name="Normal 137 3" xfId="25037"/>
    <cellStyle name="Normal 137 3 2" xfId="25038"/>
    <cellStyle name="Normal 137 4" xfId="25039"/>
    <cellStyle name="Normal 138" xfId="25040"/>
    <cellStyle name="Normal 138 2" xfId="25041"/>
    <cellStyle name="Normal 138 2 2" xfId="25042"/>
    <cellStyle name="Normal 138 3" xfId="25043"/>
    <cellStyle name="Normal 138 3 2" xfId="25044"/>
    <cellStyle name="Normal 138 4" xfId="25045"/>
    <cellStyle name="Normal 139" xfId="25046"/>
    <cellStyle name="Normal 139 2" xfId="25047"/>
    <cellStyle name="Normal 139 2 2" xfId="25048"/>
    <cellStyle name="Normal 139 3" xfId="25049"/>
    <cellStyle name="Normal 139 3 2" xfId="25050"/>
    <cellStyle name="Normal 139 4" xfId="25051"/>
    <cellStyle name="Normal 14" xfId="25052"/>
    <cellStyle name="Normal 14 2" xfId="25053"/>
    <cellStyle name="Normal 14 2 2" xfId="25054"/>
    <cellStyle name="Normal 14 2 2 2" xfId="25055"/>
    <cellStyle name="Normal 14 2 3" xfId="25056"/>
    <cellStyle name="Normal 14 2 3 2" xfId="25057"/>
    <cellStyle name="Normal 14 2 4" xfId="25058"/>
    <cellStyle name="Normal 14 3" xfId="25059"/>
    <cellStyle name="Normal 14 3 2" xfId="25060"/>
    <cellStyle name="Normal 14 3 2 2" xfId="25061"/>
    <cellStyle name="Normal 14 3 3" xfId="25062"/>
    <cellStyle name="Normal 14 3 3 2" xfId="25063"/>
    <cellStyle name="Normal 14 3 4" xfId="25064"/>
    <cellStyle name="Normal 14 4" xfId="25065"/>
    <cellStyle name="Normal 14 4 2" xfId="25066"/>
    <cellStyle name="Normal 14 5" xfId="25067"/>
    <cellStyle name="Normal 14 5 2" xfId="25068"/>
    <cellStyle name="Normal 14 6" xfId="25069"/>
    <cellStyle name="Normal 140" xfId="25070"/>
    <cellStyle name="Normal 140 2" xfId="25071"/>
    <cellStyle name="Normal 140 2 2" xfId="25072"/>
    <cellStyle name="Normal 140 3" xfId="25073"/>
    <cellStyle name="Normal 140 3 2" xfId="25074"/>
    <cellStyle name="Normal 140 4" xfId="25075"/>
    <cellStyle name="Normal 141" xfId="25076"/>
    <cellStyle name="Normal 141 2" xfId="25077"/>
    <cellStyle name="Normal 141 2 2" xfId="25078"/>
    <cellStyle name="Normal 141 3" xfId="25079"/>
    <cellStyle name="Normal 141 3 2" xfId="25080"/>
    <cellStyle name="Normal 141 4" xfId="25081"/>
    <cellStyle name="Normal 142" xfId="25082"/>
    <cellStyle name="Normal 142 2" xfId="25083"/>
    <cellStyle name="Normal 142 2 2" xfId="25084"/>
    <cellStyle name="Normal 142 3" xfId="25085"/>
    <cellStyle name="Normal 142 3 2" xfId="25086"/>
    <cellStyle name="Normal 142 4" xfId="25087"/>
    <cellStyle name="Normal 143" xfId="25088"/>
    <cellStyle name="Normal 143 2" xfId="25089"/>
    <cellStyle name="Normal 143 2 2" xfId="25090"/>
    <cellStyle name="Normal 143 3" xfId="25091"/>
    <cellStyle name="Normal 143 3 2" xfId="25092"/>
    <cellStyle name="Normal 143 4" xfId="25093"/>
    <cellStyle name="Normal 144" xfId="25094"/>
    <cellStyle name="Normal 144 2" xfId="25095"/>
    <cellStyle name="Normal 144 2 2" xfId="25096"/>
    <cellStyle name="Normal 144 3" xfId="25097"/>
    <cellStyle name="Normal 144 3 2" xfId="25098"/>
    <cellStyle name="Normal 144 4" xfId="25099"/>
    <cellStyle name="Normal 145" xfId="25100"/>
    <cellStyle name="Normal 145 2" xfId="25101"/>
    <cellStyle name="Normal 145 2 2" xfId="25102"/>
    <cellStyle name="Normal 145 3" xfId="25103"/>
    <cellStyle name="Normal 145 3 2" xfId="25104"/>
    <cellStyle name="Normal 145 4" xfId="25105"/>
    <cellStyle name="Normal 146" xfId="25106"/>
    <cellStyle name="Normal 146 2" xfId="25107"/>
    <cellStyle name="Normal 146 2 2" xfId="25108"/>
    <cellStyle name="Normal 146 3" xfId="25109"/>
    <cellStyle name="Normal 146 3 2" xfId="25110"/>
    <cellStyle name="Normal 146 4" xfId="25111"/>
    <cellStyle name="Normal 147" xfId="25112"/>
    <cellStyle name="Normal 147 2" xfId="25113"/>
    <cellStyle name="Normal 147 2 2" xfId="25114"/>
    <cellStyle name="Normal 147 3" xfId="25115"/>
    <cellStyle name="Normal 147 3 2" xfId="25116"/>
    <cellStyle name="Normal 147 4" xfId="25117"/>
    <cellStyle name="Normal 148" xfId="25118"/>
    <cellStyle name="Normal 148 2" xfId="25119"/>
    <cellStyle name="Normal 148 2 2" xfId="25120"/>
    <cellStyle name="Normal 148 3" xfId="25121"/>
    <cellStyle name="Normal 148 3 2" xfId="25122"/>
    <cellStyle name="Normal 148 4" xfId="25123"/>
    <cellStyle name="Normal 149" xfId="25124"/>
    <cellStyle name="Normal 149 2" xfId="25125"/>
    <cellStyle name="Normal 149 2 2" xfId="25126"/>
    <cellStyle name="Normal 149 3" xfId="25127"/>
    <cellStyle name="Normal 149 3 2" xfId="25128"/>
    <cellStyle name="Normal 149 4" xfId="25129"/>
    <cellStyle name="Normal 15" xfId="25130"/>
    <cellStyle name="Normal 15 2" xfId="25131"/>
    <cellStyle name="Normal 15 2 2" xfId="25132"/>
    <cellStyle name="Normal 15 2 2 2" xfId="25133"/>
    <cellStyle name="Normal 15 2 3" xfId="25134"/>
    <cellStyle name="Normal 15 2 3 2" xfId="25135"/>
    <cellStyle name="Normal 15 2 4" xfId="25136"/>
    <cellStyle name="Normal 15 3" xfId="25137"/>
    <cellStyle name="Normal 15 3 2" xfId="25138"/>
    <cellStyle name="Normal 15 3 2 2" xfId="25139"/>
    <cellStyle name="Normal 15 3 3" xfId="25140"/>
    <cellStyle name="Normal 15 3 3 2" xfId="25141"/>
    <cellStyle name="Normal 15 3 4" xfId="25142"/>
    <cellStyle name="Normal 15 4" xfId="25143"/>
    <cellStyle name="Normal 15 4 2" xfId="25144"/>
    <cellStyle name="Normal 15 5" xfId="25145"/>
    <cellStyle name="Normal 15 5 2" xfId="25146"/>
    <cellStyle name="Normal 15 6" xfId="25147"/>
    <cellStyle name="Normal 150" xfId="25148"/>
    <cellStyle name="Normal 150 2" xfId="25149"/>
    <cellStyle name="Normal 150 2 2" xfId="25150"/>
    <cellStyle name="Normal 150 3" xfId="25151"/>
    <cellStyle name="Normal 150 3 2" xfId="25152"/>
    <cellStyle name="Normal 150 4" xfId="25153"/>
    <cellStyle name="Normal 151" xfId="25154"/>
    <cellStyle name="Normal 151 2" xfId="25155"/>
    <cellStyle name="Normal 151 2 2" xfId="25156"/>
    <cellStyle name="Normal 151 3" xfId="25157"/>
    <cellStyle name="Normal 151 3 2" xfId="25158"/>
    <cellStyle name="Normal 151 4" xfId="25159"/>
    <cellStyle name="Normal 152" xfId="25160"/>
    <cellStyle name="Normal 152 2" xfId="25161"/>
    <cellStyle name="Normal 152 2 2" xfId="25162"/>
    <cellStyle name="Normal 152 3" xfId="25163"/>
    <cellStyle name="Normal 152 3 2" xfId="25164"/>
    <cellStyle name="Normal 152 4" xfId="25165"/>
    <cellStyle name="Normal 153" xfId="25166"/>
    <cellStyle name="Normal 153 2" xfId="25167"/>
    <cellStyle name="Normal 153 2 2" xfId="25168"/>
    <cellStyle name="Normal 153 3" xfId="25169"/>
    <cellStyle name="Normal 153 3 2" xfId="25170"/>
    <cellStyle name="Normal 153 4" xfId="25171"/>
    <cellStyle name="Normal 154" xfId="25172"/>
    <cellStyle name="Normal 154 2" xfId="25173"/>
    <cellStyle name="Normal 154 2 2" xfId="25174"/>
    <cellStyle name="Normal 154 3" xfId="25175"/>
    <cellStyle name="Normal 154 3 2" xfId="25176"/>
    <cellStyle name="Normal 154 4" xfId="25177"/>
    <cellStyle name="Normal 155" xfId="25178"/>
    <cellStyle name="Normal 155 2" xfId="25179"/>
    <cellStyle name="Normal 155 2 2" xfId="25180"/>
    <cellStyle name="Normal 155 3" xfId="25181"/>
    <cellStyle name="Normal 155 3 2" xfId="25182"/>
    <cellStyle name="Normal 155 4" xfId="25183"/>
    <cellStyle name="Normal 156" xfId="25184"/>
    <cellStyle name="Normal 156 2" xfId="25185"/>
    <cellStyle name="Normal 156 2 2" xfId="25186"/>
    <cellStyle name="Normal 156 3" xfId="25187"/>
    <cellStyle name="Normal 156 3 2" xfId="25188"/>
    <cellStyle name="Normal 156 4" xfId="25189"/>
    <cellStyle name="Normal 157" xfId="25190"/>
    <cellStyle name="Normal 157 2" xfId="25191"/>
    <cellStyle name="Normal 157 2 2" xfId="25192"/>
    <cellStyle name="Normal 157 3" xfId="25193"/>
    <cellStyle name="Normal 157 3 2" xfId="25194"/>
    <cellStyle name="Normal 157 4" xfId="25195"/>
    <cellStyle name="Normal 158" xfId="25196"/>
    <cellStyle name="Normal 158 2" xfId="25197"/>
    <cellStyle name="Normal 158 2 2" xfId="25198"/>
    <cellStyle name="Normal 158 3" xfId="25199"/>
    <cellStyle name="Normal 158 3 2" xfId="25200"/>
    <cellStyle name="Normal 158 4" xfId="25201"/>
    <cellStyle name="Normal 159" xfId="25202"/>
    <cellStyle name="Normal 159 2" xfId="25203"/>
    <cellStyle name="Normal 159 2 2" xfId="25204"/>
    <cellStyle name="Normal 159 3" xfId="25205"/>
    <cellStyle name="Normal 159 3 2" xfId="25206"/>
    <cellStyle name="Normal 159 4" xfId="25207"/>
    <cellStyle name="Normal 16" xfId="25208"/>
    <cellStyle name="Normal 16 2" xfId="25209"/>
    <cellStyle name="Normal 16 2 2" xfId="25210"/>
    <cellStyle name="Normal 16 2 2 2" xfId="25211"/>
    <cellStyle name="Normal 16 2 3" xfId="25212"/>
    <cellStyle name="Normal 16 2 3 2" xfId="25213"/>
    <cellStyle name="Normal 16 2 4" xfId="25214"/>
    <cellStyle name="Normal 16 2 5 2" xfId="25215"/>
    <cellStyle name="Normal 16 3" xfId="25216"/>
    <cellStyle name="Normal 16 3 2" xfId="25217"/>
    <cellStyle name="Normal 16 3 2 2" xfId="25218"/>
    <cellStyle name="Normal 16 3 3" xfId="25219"/>
    <cellStyle name="Normal 16 3 3 2" xfId="25220"/>
    <cellStyle name="Normal 16 3 4" xfId="25221"/>
    <cellStyle name="Normal 16 4" xfId="25222"/>
    <cellStyle name="Normal 16 4 2" xfId="25223"/>
    <cellStyle name="Normal 16 5" xfId="25224"/>
    <cellStyle name="Normal 16 5 2" xfId="25225"/>
    <cellStyle name="Normal 16 6" xfId="25226"/>
    <cellStyle name="Normal 160" xfId="25227"/>
    <cellStyle name="Normal 160 2" xfId="25228"/>
    <cellStyle name="Normal 160 2 2" xfId="25229"/>
    <cellStyle name="Normal 160 3" xfId="25230"/>
    <cellStyle name="Normal 160 3 2" xfId="25231"/>
    <cellStyle name="Normal 160 4" xfId="25232"/>
    <cellStyle name="Normal 161" xfId="25233"/>
    <cellStyle name="Normal 161 2" xfId="25234"/>
    <cellStyle name="Normal 161 2 2" xfId="25235"/>
    <cellStyle name="Normal 161 3" xfId="25236"/>
    <cellStyle name="Normal 161 3 2" xfId="25237"/>
    <cellStyle name="Normal 161 4" xfId="25238"/>
    <cellStyle name="Normal 162" xfId="25239"/>
    <cellStyle name="Normal 162 2" xfId="25240"/>
    <cellStyle name="Normal 162 2 2" xfId="25241"/>
    <cellStyle name="Normal 162 3" xfId="25242"/>
    <cellStyle name="Normal 162 3 2" xfId="25243"/>
    <cellStyle name="Normal 162 4" xfId="25244"/>
    <cellStyle name="Normal 163" xfId="25245"/>
    <cellStyle name="Normal 163 2" xfId="25246"/>
    <cellStyle name="Normal 163 2 2" xfId="25247"/>
    <cellStyle name="Normal 163 3" xfId="25248"/>
    <cellStyle name="Normal 163 3 2" xfId="25249"/>
    <cellStyle name="Normal 163 4" xfId="25250"/>
    <cellStyle name="Normal 164" xfId="25251"/>
    <cellStyle name="Normal 164 2" xfId="25252"/>
    <cellStyle name="Normal 164 2 2" xfId="25253"/>
    <cellStyle name="Normal 164 3" xfId="25254"/>
    <cellStyle name="Normal 164 3 2" xfId="25255"/>
    <cellStyle name="Normal 164 4" xfId="25256"/>
    <cellStyle name="Normal 165" xfId="25257"/>
    <cellStyle name="Normal 165 2" xfId="25258"/>
    <cellStyle name="Normal 165 2 2" xfId="25259"/>
    <cellStyle name="Normal 165 3" xfId="25260"/>
    <cellStyle name="Normal 165 3 2" xfId="25261"/>
    <cellStyle name="Normal 165 4" xfId="25262"/>
    <cellStyle name="Normal 166" xfId="25263"/>
    <cellStyle name="Normal 166 2" xfId="25264"/>
    <cellStyle name="Normal 166 2 2" xfId="25265"/>
    <cellStyle name="Normal 166 3" xfId="25266"/>
    <cellStyle name="Normal 166 3 2" xfId="25267"/>
    <cellStyle name="Normal 166 4" xfId="25268"/>
    <cellStyle name="Normal 167" xfId="25269"/>
    <cellStyle name="Normal 167 2" xfId="25270"/>
    <cellStyle name="Normal 167 2 2" xfId="25271"/>
    <cellStyle name="Normal 167 3" xfId="25272"/>
    <cellStyle name="Normal 167 3 2" xfId="25273"/>
    <cellStyle name="Normal 167 4" xfId="25274"/>
    <cellStyle name="Normal 168" xfId="25275"/>
    <cellStyle name="Normal 168 2" xfId="25276"/>
    <cellStyle name="Normal 168 2 2" xfId="25277"/>
    <cellStyle name="Normal 168 3" xfId="25278"/>
    <cellStyle name="Normal 168 3 2" xfId="25279"/>
    <cellStyle name="Normal 168 4" xfId="25280"/>
    <cellStyle name="Normal 169" xfId="25281"/>
    <cellStyle name="Normal 169 2" xfId="25282"/>
    <cellStyle name="Normal 169 2 2" xfId="25283"/>
    <cellStyle name="Normal 169 3" xfId="25284"/>
    <cellStyle name="Normal 169 3 2" xfId="25285"/>
    <cellStyle name="Normal 169 4" xfId="25286"/>
    <cellStyle name="Normal 169 4 2" xfId="25287"/>
    <cellStyle name="Normal 169 5" xfId="25288"/>
    <cellStyle name="Normal 17" xfId="25289"/>
    <cellStyle name="Normal 17 2" xfId="25290"/>
    <cellStyle name="Normal 17 2 2" xfId="25291"/>
    <cellStyle name="Normal 17 2 2 2" xfId="25292"/>
    <cellStyle name="Normal 17 2 3" xfId="25293"/>
    <cellStyle name="Normal 17 2 3 2" xfId="25294"/>
    <cellStyle name="Normal 17 2 4" xfId="25295"/>
    <cellStyle name="Normal 17 3" xfId="25296"/>
    <cellStyle name="Normal 17 3 2" xfId="25297"/>
    <cellStyle name="Normal 17 3 2 2" xfId="25298"/>
    <cellStyle name="Normal 17 3 3" xfId="25299"/>
    <cellStyle name="Normal 17 3 3 2" xfId="25300"/>
    <cellStyle name="Normal 17 3 4" xfId="25301"/>
    <cellStyle name="Normal 17 4" xfId="25302"/>
    <cellStyle name="Normal 17 4 2" xfId="25303"/>
    <cellStyle name="Normal 17 5" xfId="25304"/>
    <cellStyle name="Normal 17 5 2" xfId="25305"/>
    <cellStyle name="Normal 17 6" xfId="25306"/>
    <cellStyle name="Normal 170" xfId="25307"/>
    <cellStyle name="Normal 170 2" xfId="25308"/>
    <cellStyle name="Normal 170 2 2" xfId="25309"/>
    <cellStyle name="Normal 170 3" xfId="25310"/>
    <cellStyle name="Normal 170 3 2" xfId="25311"/>
    <cellStyle name="Normal 170 4" xfId="25312"/>
    <cellStyle name="Normal 171" xfId="25313"/>
    <cellStyle name="Normal 171 2" xfId="25314"/>
    <cellStyle name="Normal 171 2 2" xfId="25315"/>
    <cellStyle name="Normal 171 3" xfId="25316"/>
    <cellStyle name="Normal 171 3 2" xfId="25317"/>
    <cellStyle name="Normal 171 4" xfId="25318"/>
    <cellStyle name="Normal 172" xfId="25319"/>
    <cellStyle name="Normal 172 2" xfId="25320"/>
    <cellStyle name="Normal 172 2 2" xfId="25321"/>
    <cellStyle name="Normal 172 2 2 2" xfId="25322"/>
    <cellStyle name="Normal 172 2 2 2 2" xfId="25323"/>
    <cellStyle name="Normal 172 2 2 3" xfId="25324"/>
    <cellStyle name="Normal 172 2 2 3 2" xfId="25325"/>
    <cellStyle name="Normal 172 2 2 3 2 2" xfId="25326"/>
    <cellStyle name="Normal 172 2 2 3 2 2 2" xfId="25327"/>
    <cellStyle name="Normal 172 2 2 3 2 3" xfId="25328"/>
    <cellStyle name="Normal 172 2 2 3 3" xfId="25329"/>
    <cellStyle name="Normal 172 2 2 4" xfId="25330"/>
    <cellStyle name="Normal 172 2 2 4 2" xfId="25331"/>
    <cellStyle name="Normal 172 2 2 4 3" xfId="25332"/>
    <cellStyle name="Normal 172 2 3" xfId="25333"/>
    <cellStyle name="Normal 172 3" xfId="25334"/>
    <cellStyle name="Normal 172 3 2" xfId="25335"/>
    <cellStyle name="Normal 172 4" xfId="25336"/>
    <cellStyle name="Normal 173" xfId="25337"/>
    <cellStyle name="Normal 173 2" xfId="25338"/>
    <cellStyle name="Normal 173 3" xfId="25339"/>
    <cellStyle name="Normal 174" xfId="25340"/>
    <cellStyle name="Normal 174 2" xfId="25341"/>
    <cellStyle name="Normal 174 3" xfId="25342"/>
    <cellStyle name="Normal 175" xfId="25343"/>
    <cellStyle name="Normal 175 2" xfId="25344"/>
    <cellStyle name="Normal 175 3" xfId="25345"/>
    <cellStyle name="Normal 176" xfId="25346"/>
    <cellStyle name="Normal 177" xfId="25347"/>
    <cellStyle name="Normal 178" xfId="25348"/>
    <cellStyle name="Normal 178 2" xfId="25349"/>
    <cellStyle name="Normal 179" xfId="25350"/>
    <cellStyle name="Normal 179 2" xfId="25351"/>
    <cellStyle name="Normal 179 2 2" xfId="25352"/>
    <cellStyle name="Normal 179 3" xfId="25353"/>
    <cellStyle name="Normal 18" xfId="25354"/>
    <cellStyle name="Normal 18 2" xfId="25355"/>
    <cellStyle name="Normal 18 2 2" xfId="25356"/>
    <cellStyle name="Normal 18 2 2 2" xfId="25357"/>
    <cellStyle name="Normal 18 2 3" xfId="25358"/>
    <cellStyle name="Normal 18 2 3 2" xfId="25359"/>
    <cellStyle name="Normal 18 2 4" xfId="25360"/>
    <cellStyle name="Normal 18 3" xfId="25361"/>
    <cellStyle name="Normal 18 3 2" xfId="25362"/>
    <cellStyle name="Normal 18 3 2 2" xfId="25363"/>
    <cellStyle name="Normal 18 3 3" xfId="25364"/>
    <cellStyle name="Normal 18 3 3 2" xfId="25365"/>
    <cellStyle name="Normal 18 3 4" xfId="25366"/>
    <cellStyle name="Normal 18 4" xfId="25367"/>
    <cellStyle name="Normal 18 4 2" xfId="25368"/>
    <cellStyle name="Normal 18 5" xfId="25369"/>
    <cellStyle name="Normal 18 5 2" xfId="25370"/>
    <cellStyle name="Normal 18 6" xfId="25371"/>
    <cellStyle name="Normal 180" xfId="25372"/>
    <cellStyle name="Normal 180 2" xfId="25373"/>
    <cellStyle name="Normal 181" xfId="25374"/>
    <cellStyle name="Normal 181 2" xfId="25375"/>
    <cellStyle name="Normal 181 2 2" xfId="25376"/>
    <cellStyle name="Normal 181 3" xfId="25377"/>
    <cellStyle name="Normal 182" xfId="25378"/>
    <cellStyle name="Normal 182 2" xfId="25379"/>
    <cellStyle name="Normal 182 2 2" xfId="25380"/>
    <cellStyle name="Normal 182 3" xfId="25381"/>
    <cellStyle name="Normal 183" xfId="25382"/>
    <cellStyle name="Normal 183 2" xfId="25383"/>
    <cellStyle name="Normal 183 3" xfId="25384"/>
    <cellStyle name="Normal 184" xfId="25385"/>
    <cellStyle name="Normal 184 2" xfId="25386"/>
    <cellStyle name="Normal 185" xfId="25387"/>
    <cellStyle name="Normal 185 2" xfId="25388"/>
    <cellStyle name="Normal 185 2 2" xfId="25389"/>
    <cellStyle name="Normal 185 2 2 2" xfId="25390"/>
    <cellStyle name="Normal 185 2 2 2 2" xfId="25391"/>
    <cellStyle name="Normal 185 2 2 3" xfId="25392"/>
    <cellStyle name="Normal 185 2 3" xfId="25393"/>
    <cellStyle name="Normal 185 3" xfId="25394"/>
    <cellStyle name="Normal 186" xfId="25395"/>
    <cellStyle name="Normal 186 2" xfId="25396"/>
    <cellStyle name="Normal 187" xfId="25397"/>
    <cellStyle name="Normal 187 2" xfId="25398"/>
    <cellStyle name="Normal 188" xfId="25399"/>
    <cellStyle name="Normal 188 2" xfId="25400"/>
    <cellStyle name="Normal 188 3" xfId="25401"/>
    <cellStyle name="Normal 188 3 2" xfId="25402"/>
    <cellStyle name="Normal 189" xfId="25403"/>
    <cellStyle name="Normal 189 2" xfId="25404"/>
    <cellStyle name="Normal 189 3" xfId="25405"/>
    <cellStyle name="Normal 189 3 2" xfId="25406"/>
    <cellStyle name="Normal 19" xfId="25407"/>
    <cellStyle name="Normal 19 2" xfId="25408"/>
    <cellStyle name="Normal 19 2 2" xfId="25409"/>
    <cellStyle name="Normal 19 2 2 2" xfId="25410"/>
    <cellStyle name="Normal 19 2 3" xfId="25411"/>
    <cellStyle name="Normal 19 2 3 2" xfId="25412"/>
    <cellStyle name="Normal 19 2 4" xfId="25413"/>
    <cellStyle name="Normal 19 3" xfId="25414"/>
    <cellStyle name="Normal 19 3 2" xfId="25415"/>
    <cellStyle name="Normal 19 3 2 2" xfId="25416"/>
    <cellStyle name="Normal 19 3 3" xfId="25417"/>
    <cellStyle name="Normal 19 3 3 2" xfId="25418"/>
    <cellStyle name="Normal 19 3 4" xfId="25419"/>
    <cellStyle name="Normal 19 4" xfId="25420"/>
    <cellStyle name="Normal 19 4 2" xfId="25421"/>
    <cellStyle name="Normal 19 5" xfId="25422"/>
    <cellStyle name="Normal 19 5 2" xfId="25423"/>
    <cellStyle name="Normal 19 6" xfId="25424"/>
    <cellStyle name="Normal 190" xfId="25425"/>
    <cellStyle name="Normal 190 2" xfId="25426"/>
    <cellStyle name="Normal 191" xfId="25427"/>
    <cellStyle name="Normal 191 2" xfId="25428"/>
    <cellStyle name="Normal 192" xfId="25429"/>
    <cellStyle name="Normal 192 2" xfId="25430"/>
    <cellStyle name="Normal 193" xfId="25431"/>
    <cellStyle name="Normal 193 2" xfId="25432"/>
    <cellStyle name="Normal 194" xfId="25433"/>
    <cellStyle name="Normal 194 2" xfId="25434"/>
    <cellStyle name="Normal 194 2 2" xfId="25435"/>
    <cellStyle name="Normal 195" xfId="25436"/>
    <cellStyle name="Normal 195 2" xfId="25437"/>
    <cellStyle name="Normal 196" xfId="25438"/>
    <cellStyle name="Normal 196 2" xfId="25439"/>
    <cellStyle name="Normal 197" xfId="25440"/>
    <cellStyle name="Normal 197 2" xfId="25441"/>
    <cellStyle name="Normal 197 3" xfId="25442"/>
    <cellStyle name="Normal 198" xfId="25443"/>
    <cellStyle name="Normal 198 2" xfId="25444"/>
    <cellStyle name="Normal 199" xfId="25445"/>
    <cellStyle name="Normal 199 2" xfId="25446"/>
    <cellStyle name="Normal 2" xfId="1"/>
    <cellStyle name="Normal 2 10" xfId="25447"/>
    <cellStyle name="Normal 2 10 2" xfId="25448"/>
    <cellStyle name="Normal 2 10 2 2 2" xfId="25449"/>
    <cellStyle name="Normal 2 11" xfId="25450"/>
    <cellStyle name="Normal 2 11 2" xfId="25451"/>
    <cellStyle name="Normal 2 12" xfId="25452"/>
    <cellStyle name="Normal 2 12 2" xfId="25453"/>
    <cellStyle name="Normal 2 13" xfId="25454"/>
    <cellStyle name="Normal 2 13 2" xfId="25455"/>
    <cellStyle name="Normal 2 14" xfId="25456"/>
    <cellStyle name="Normal 2 14 2" xfId="25457"/>
    <cellStyle name="Normal 2 15" xfId="25458"/>
    <cellStyle name="Normal 2 15 2" xfId="25459"/>
    <cellStyle name="Normal 2 16" xfId="25460"/>
    <cellStyle name="Normal 2 16 2" xfId="25461"/>
    <cellStyle name="Normal 2 17" xfId="25462"/>
    <cellStyle name="Normal 2 17 2" xfId="25463"/>
    <cellStyle name="Normal 2 18" xfId="25464"/>
    <cellStyle name="Normal 2 18 2" xfId="25465"/>
    <cellStyle name="Normal 2 19" xfId="25466"/>
    <cellStyle name="Normal 2 19 2" xfId="25467"/>
    <cellStyle name="Normal 2 2" xfId="25468"/>
    <cellStyle name="Normal 2 2 10" xfId="25469"/>
    <cellStyle name="Normal 2 2 11" xfId="25470"/>
    <cellStyle name="Normal 2 2 12" xfId="25471"/>
    <cellStyle name="Normal 2 2 13" xfId="25472"/>
    <cellStyle name="Normal 2 2 14" xfId="25473"/>
    <cellStyle name="Normal 2 2 15" xfId="25474"/>
    <cellStyle name="Normal 2 2 16" xfId="25475"/>
    <cellStyle name="Normal 2 2 17" xfId="25476"/>
    <cellStyle name="Normal 2 2 17 2" xfId="25477"/>
    <cellStyle name="Normal 2 2 17 3" xfId="25478"/>
    <cellStyle name="Normal 2 2 18" xfId="25479"/>
    <cellStyle name="Normal 2 2 18 2" xfId="25480"/>
    <cellStyle name="Normal 2 2 19" xfId="25481"/>
    <cellStyle name="Normal 2 2 19 2" xfId="25482"/>
    <cellStyle name="Normal 2 2 2" xfId="25483"/>
    <cellStyle name="Normal 2 2 2 10" xfId="25484"/>
    <cellStyle name="Normal 2 2 2 11" xfId="25485"/>
    <cellStyle name="Normal 2 2 2 11 2" xfId="25486"/>
    <cellStyle name="Normal 2 2 2 12" xfId="25487"/>
    <cellStyle name="Normal 2 2 2 12 2" xfId="25488"/>
    <cellStyle name="Normal 2 2 2 13" xfId="25489"/>
    <cellStyle name="Normal 2 2 2 14" xfId="25490"/>
    <cellStyle name="Normal 2 2 2 14 2" xfId="25491"/>
    <cellStyle name="Normal 2 2 2 15" xfId="25492"/>
    <cellStyle name="Normal 2 2 2 2" xfId="25493"/>
    <cellStyle name="Normal 2 2 2 2 10" xfId="25494"/>
    <cellStyle name="Normal 2 2 2 2 11" xfId="25495"/>
    <cellStyle name="Normal 2 2 2 2 12" xfId="25496"/>
    <cellStyle name="Normal 2 2 2 2 13" xfId="25497"/>
    <cellStyle name="Normal 2 2 2 2 2" xfId="25498"/>
    <cellStyle name="Normal 2 2 2 2 2 2" xfId="25499"/>
    <cellStyle name="Normal 2 2 2 2 3" xfId="25500"/>
    <cellStyle name="Normal 2 2 2 2 4" xfId="25501"/>
    <cellStyle name="Normal 2 2 2 2 5" xfId="25502"/>
    <cellStyle name="Normal 2 2 2 2 6" xfId="25503"/>
    <cellStyle name="Normal 2 2 2 2 7" xfId="25504"/>
    <cellStyle name="Normal 2 2 2 2 8" xfId="25505"/>
    <cellStyle name="Normal 2 2 2 2 9" xfId="25506"/>
    <cellStyle name="Normal 2 2 2 2_Report" xfId="25507"/>
    <cellStyle name="Normal 2 2 2 3" xfId="25508"/>
    <cellStyle name="Normal 2 2 2 3 2" xfId="25509"/>
    <cellStyle name="Normal 2 2 2 3 3" xfId="25510"/>
    <cellStyle name="Normal 2 2 2 3 4" xfId="25511"/>
    <cellStyle name="Normal 2 2 2 4" xfId="25512"/>
    <cellStyle name="Normal 2 2 2 5" xfId="25513"/>
    <cellStyle name="Normal 2 2 2 6" xfId="25514"/>
    <cellStyle name="Normal 2 2 2 6 10" xfId="25515"/>
    <cellStyle name="Normal 2 2 2 6 2" xfId="25516"/>
    <cellStyle name="Normal 2 2 2 6 3" xfId="25517"/>
    <cellStyle name="Normal 2 2 2 6 4" xfId="25518"/>
    <cellStyle name="Normal 2 2 2 6 5" xfId="25519"/>
    <cellStyle name="Normal 2 2 2 6 6" xfId="25520"/>
    <cellStyle name="Normal 2 2 2 6 7" xfId="25521"/>
    <cellStyle name="Normal 2 2 2 6 8" xfId="25522"/>
    <cellStyle name="Normal 2 2 2 6 9" xfId="25523"/>
    <cellStyle name="Normal 2 2 2 6_Report" xfId="25524"/>
    <cellStyle name="Normal 2 2 2 7" xfId="25525"/>
    <cellStyle name="Normal 2 2 2 8" xfId="25526"/>
    <cellStyle name="Normal 2 2 2 9" xfId="25527"/>
    <cellStyle name="Normal 2 2 20" xfId="2"/>
    <cellStyle name="Normal 2 2 20 2" xfId="25528"/>
    <cellStyle name="Normal 2 2 21" xfId="25529"/>
    <cellStyle name="Normal 2 2 21 2" xfId="25530"/>
    <cellStyle name="Normal 2 2 22" xfId="25531"/>
    <cellStyle name="Normal 2 2 22 2" xfId="25532"/>
    <cellStyle name="Normal 2 2 23" xfId="25533"/>
    <cellStyle name="Normal 2 2 23 2" xfId="25534"/>
    <cellStyle name="Normal 2 2 24" xfId="25535"/>
    <cellStyle name="Normal 2 2 25" xfId="25536"/>
    <cellStyle name="Normal 2 2 26" xfId="25537"/>
    <cellStyle name="Normal 2 2 27" xfId="25538"/>
    <cellStyle name="Normal 2 2 28" xfId="25539"/>
    <cellStyle name="Normal 2 2 29" xfId="25540"/>
    <cellStyle name="Normal 2 2 3" xfId="25541"/>
    <cellStyle name="Normal 2 2 3 2" xfId="25542"/>
    <cellStyle name="Normal 2 2 3 3" xfId="25543"/>
    <cellStyle name="Normal 2 2 3 4" xfId="25544"/>
    <cellStyle name="Normal 2 2 3 5" xfId="25545"/>
    <cellStyle name="Normal 2 2 30" xfId="25546"/>
    <cellStyle name="Normal 2 2 31" xfId="25547"/>
    <cellStyle name="Normal 2 2 32" xfId="25548"/>
    <cellStyle name="Normal 2 2 33" xfId="25549"/>
    <cellStyle name="Normal 2 2 4" xfId="25550"/>
    <cellStyle name="Normal 2 2 4 2" xfId="25551"/>
    <cellStyle name="Normal 2 2 4 2 10" xfId="25552"/>
    <cellStyle name="Normal 2 2 4 2 2" xfId="25553"/>
    <cellStyle name="Normal 2 2 4 2 3" xfId="25554"/>
    <cellStyle name="Normal 2 2 4 2 4" xfId="25555"/>
    <cellStyle name="Normal 2 2 4 2 5" xfId="25556"/>
    <cellStyle name="Normal 2 2 4 2 6" xfId="25557"/>
    <cellStyle name="Normal 2 2 4 2 7" xfId="25558"/>
    <cellStyle name="Normal 2 2 4 2 8" xfId="25559"/>
    <cellStyle name="Normal 2 2 4 2 9" xfId="25560"/>
    <cellStyle name="Normal 2 2 4 2_Report" xfId="25561"/>
    <cellStyle name="Normal 2 2 4 3" xfId="25562"/>
    <cellStyle name="Normal 2 2 4 3 10" xfId="25563"/>
    <cellStyle name="Normal 2 2 4 3 2" xfId="25564"/>
    <cellStyle name="Normal 2 2 4 3 3" xfId="25565"/>
    <cellStyle name="Normal 2 2 4 3 4" xfId="25566"/>
    <cellStyle name="Normal 2 2 4 3 5" xfId="25567"/>
    <cellStyle name="Normal 2 2 4 3 6" xfId="25568"/>
    <cellStyle name="Normal 2 2 4 3 7" xfId="25569"/>
    <cellStyle name="Normal 2 2 4 3 8" xfId="25570"/>
    <cellStyle name="Normal 2 2 4 3 9" xfId="25571"/>
    <cellStyle name="Normal 2 2 4 3_Report" xfId="25572"/>
    <cellStyle name="Normal 2 2 5" xfId="25573"/>
    <cellStyle name="Normal 2 2 5 10" xfId="25574"/>
    <cellStyle name="Normal 2 2 5 11" xfId="25575"/>
    <cellStyle name="Normal 2 2 5 2" xfId="25576"/>
    <cellStyle name="Normal 2 2 5 3" xfId="25577"/>
    <cellStyle name="Normal 2 2 5 4" xfId="25578"/>
    <cellStyle name="Normal 2 2 5 5" xfId="25579"/>
    <cellStyle name="Normal 2 2 5 6" xfId="25580"/>
    <cellStyle name="Normal 2 2 5 7" xfId="25581"/>
    <cellStyle name="Normal 2 2 5 8" xfId="25582"/>
    <cellStyle name="Normal 2 2 5 9" xfId="25583"/>
    <cellStyle name="Normal 2 2 5_Report" xfId="25584"/>
    <cellStyle name="Normal 2 2 6" xfId="25585"/>
    <cellStyle name="Normal 2 2 6 10" xfId="25586"/>
    <cellStyle name="Normal 2 2 6 11" xfId="25587"/>
    <cellStyle name="Normal 2 2 6 2" xfId="25588"/>
    <cellStyle name="Normal 2 2 6 3" xfId="25589"/>
    <cellStyle name="Normal 2 2 6 4" xfId="25590"/>
    <cellStyle name="Normal 2 2 6 5" xfId="25591"/>
    <cellStyle name="Normal 2 2 6 6" xfId="25592"/>
    <cellStyle name="Normal 2 2 6 7" xfId="25593"/>
    <cellStyle name="Normal 2 2 6 8" xfId="25594"/>
    <cellStyle name="Normal 2 2 6 9" xfId="25595"/>
    <cellStyle name="Normal 2 2 6_Report" xfId="25596"/>
    <cellStyle name="Normal 2 2 7" xfId="25597"/>
    <cellStyle name="Normal 2 2 7 2" xfId="25598"/>
    <cellStyle name="Normal 2 2 8" xfId="25599"/>
    <cellStyle name="Normal 2 2 8 2" xfId="25600"/>
    <cellStyle name="Normal 2 2 8 2 2" xfId="25601"/>
    <cellStyle name="Normal 2 2 8 3" xfId="25602"/>
    <cellStyle name="Normal 2 2 9" xfId="25603"/>
    <cellStyle name="Normal 2 2 9 2" xfId="25604"/>
    <cellStyle name="Normal 2 2_Report" xfId="25605"/>
    <cellStyle name="Normal 2 20" xfId="25606"/>
    <cellStyle name="Normal 2 20 2" xfId="25607"/>
    <cellStyle name="Normal 2 21" xfId="25608"/>
    <cellStyle name="Normal 2 21 2" xfId="25609"/>
    <cellStyle name="Normal 2 22" xfId="25610"/>
    <cellStyle name="Normal 2 22 2" xfId="25611"/>
    <cellStyle name="Normal 2 23" xfId="25612"/>
    <cellStyle name="Normal 2 23 2" xfId="25613"/>
    <cellStyle name="Normal 2 24" xfId="25614"/>
    <cellStyle name="Normal 2 24 2" xfId="25615"/>
    <cellStyle name="Normal 2 24 3" xfId="25616"/>
    <cellStyle name="Normal 2 25" xfId="25617"/>
    <cellStyle name="Normal 2 25 2" xfId="25618"/>
    <cellStyle name="Normal 2 26" xfId="25619"/>
    <cellStyle name="Normal 2 26 2" xfId="25620"/>
    <cellStyle name="Normal 2 27" xfId="25621"/>
    <cellStyle name="Normal 2 27 2" xfId="25622"/>
    <cellStyle name="Normal 2 27 2 2" xfId="25623"/>
    <cellStyle name="Normal 2 27 3" xfId="25624"/>
    <cellStyle name="Normal 2 27 4" xfId="25625"/>
    <cellStyle name="Normal 2 28" xfId="25626"/>
    <cellStyle name="Normal 2 28 2" xfId="25627"/>
    <cellStyle name="Normal 2 29" xfId="25628"/>
    <cellStyle name="Normal 2 29 2" xfId="25629"/>
    <cellStyle name="Normal 2 3" xfId="25630"/>
    <cellStyle name="Normal 2 3 10" xfId="25631"/>
    <cellStyle name="Normal 2 3 11" xfId="25632"/>
    <cellStyle name="Normal 2 3 12" xfId="25633"/>
    <cellStyle name="Normal 2 3 13" xfId="25634"/>
    <cellStyle name="Normal 2 3 14" xfId="25635"/>
    <cellStyle name="Normal 2 3 15" xfId="25636"/>
    <cellStyle name="Normal 2 3 16" xfId="25637"/>
    <cellStyle name="Normal 2 3 17" xfId="25638"/>
    <cellStyle name="Normal 2 3 17 2" xfId="25639"/>
    <cellStyle name="Normal 2 3 18" xfId="25640"/>
    <cellStyle name="Normal 2 3 18 2" xfId="25641"/>
    <cellStyle name="Normal 2 3 2" xfId="25642"/>
    <cellStyle name="Normal 2 3 2 2" xfId="25643"/>
    <cellStyle name="Normal 2 3 2 2 10" xfId="25644"/>
    <cellStyle name="Normal 2 3 2 2 2" xfId="25645"/>
    <cellStyle name="Normal 2 3 2 2 3" xfId="25646"/>
    <cellStyle name="Normal 2 3 2 2 4" xfId="25647"/>
    <cellStyle name="Normal 2 3 2 2 5" xfId="25648"/>
    <cellStyle name="Normal 2 3 2 2 6" xfId="25649"/>
    <cellStyle name="Normal 2 3 2 2 7" xfId="25650"/>
    <cellStyle name="Normal 2 3 2 2 8" xfId="25651"/>
    <cellStyle name="Normal 2 3 2 2 9" xfId="25652"/>
    <cellStyle name="Normal 2 3 2 2_Report" xfId="25653"/>
    <cellStyle name="Normal 2 3 2 3" xfId="25654"/>
    <cellStyle name="Normal 2 3 2 3 10" xfId="25655"/>
    <cellStyle name="Normal 2 3 2 3 2" xfId="25656"/>
    <cellStyle name="Normal 2 3 2 3 3" xfId="25657"/>
    <cellStyle name="Normal 2 3 2 3 4" xfId="25658"/>
    <cellStyle name="Normal 2 3 2 3 5" xfId="25659"/>
    <cellStyle name="Normal 2 3 2 3 6" xfId="25660"/>
    <cellStyle name="Normal 2 3 2 3 7" xfId="25661"/>
    <cellStyle name="Normal 2 3 2 3 8" xfId="25662"/>
    <cellStyle name="Normal 2 3 2 3 9" xfId="25663"/>
    <cellStyle name="Normal 2 3 2 3_Report" xfId="25664"/>
    <cellStyle name="Normal 2 3 3" xfId="25665"/>
    <cellStyle name="Normal 2 3 3 10" xfId="25666"/>
    <cellStyle name="Normal 2 3 3 2" xfId="25667"/>
    <cellStyle name="Normal 2 3 3 3" xfId="25668"/>
    <cellStyle name="Normal 2 3 3 4" xfId="25669"/>
    <cellStyle name="Normal 2 3 3 5" xfId="25670"/>
    <cellStyle name="Normal 2 3 3 6" xfId="25671"/>
    <cellStyle name="Normal 2 3 3 7" xfId="25672"/>
    <cellStyle name="Normal 2 3 3 8" xfId="25673"/>
    <cellStyle name="Normal 2 3 3 9" xfId="25674"/>
    <cellStyle name="Normal 2 3 3_Report" xfId="25675"/>
    <cellStyle name="Normal 2 3 4" xfId="25676"/>
    <cellStyle name="Normal 2 3 4 10" xfId="25677"/>
    <cellStyle name="Normal 2 3 4 11" xfId="25678"/>
    <cellStyle name="Normal 2 3 4 11 2" xfId="25679"/>
    <cellStyle name="Normal 2 3 4 2" xfId="25680"/>
    <cellStyle name="Normal 2 3 4 3" xfId="25681"/>
    <cellStyle name="Normal 2 3 4 4" xfId="25682"/>
    <cellStyle name="Normal 2 3 4 5" xfId="25683"/>
    <cellStyle name="Normal 2 3 4 6" xfId="25684"/>
    <cellStyle name="Normal 2 3 4 7" xfId="25685"/>
    <cellStyle name="Normal 2 3 4 8" xfId="25686"/>
    <cellStyle name="Normal 2 3 4 9" xfId="25687"/>
    <cellStyle name="Normal 2 3 4_Report" xfId="25688"/>
    <cellStyle name="Normal 2 3 5" xfId="25689"/>
    <cellStyle name="Normal 2 3 5 10" xfId="25690"/>
    <cellStyle name="Normal 2 3 5 2" xfId="25691"/>
    <cellStyle name="Normal 2 3 5 3" xfId="25692"/>
    <cellStyle name="Normal 2 3 5 4" xfId="25693"/>
    <cellStyle name="Normal 2 3 5 5" xfId="25694"/>
    <cellStyle name="Normal 2 3 5 6" xfId="25695"/>
    <cellStyle name="Normal 2 3 5 7" xfId="25696"/>
    <cellStyle name="Normal 2 3 5 8" xfId="25697"/>
    <cellStyle name="Normal 2 3 5 9" xfId="25698"/>
    <cellStyle name="Normal 2 3 5_Report" xfId="25699"/>
    <cellStyle name="Normal 2 3 6" xfId="25700"/>
    <cellStyle name="Normal 2 3 7" xfId="25701"/>
    <cellStyle name="Normal 2 3 8" xfId="25702"/>
    <cellStyle name="Normal 2 3 9" xfId="25703"/>
    <cellStyle name="Normal 2 3_Report" xfId="25704"/>
    <cellStyle name="Normal 2 30" xfId="25705"/>
    <cellStyle name="Normal 2 30 2" xfId="25706"/>
    <cellStyle name="Normal 2 31" xfId="25707"/>
    <cellStyle name="Normal 2 32" xfId="25708"/>
    <cellStyle name="Normal 2 33" xfId="25709"/>
    <cellStyle name="Normal 2 34" xfId="25710"/>
    <cellStyle name="Normal 2 35" xfId="25711"/>
    <cellStyle name="Normal 2 36" xfId="25712"/>
    <cellStyle name="Normal 2 37" xfId="25713"/>
    <cellStyle name="Normal 2 38" xfId="25714"/>
    <cellStyle name="Normal 2 39" xfId="25715"/>
    <cellStyle name="Normal 2 4" xfId="25716"/>
    <cellStyle name="Normal 2 4 10" xfId="25717"/>
    <cellStyle name="Normal 2 4 11" xfId="25718"/>
    <cellStyle name="Normal 2 4 12" xfId="25719"/>
    <cellStyle name="Normal 2 4 13" xfId="25720"/>
    <cellStyle name="Normal 2 4 13 2" xfId="25721"/>
    <cellStyle name="Normal 2 4 14" xfId="25722"/>
    <cellStyle name="Normal 2 4 2" xfId="25723"/>
    <cellStyle name="Normal 2 4 2 2" xfId="25724"/>
    <cellStyle name="Normal 2 4 2 2 2" xfId="25725"/>
    <cellStyle name="Normal 2 4 2 3" xfId="25726"/>
    <cellStyle name="Normal 2 4 2 4" xfId="25727"/>
    <cellStyle name="Normal 2 4 3" xfId="25728"/>
    <cellStyle name="Normal 2 4 4" xfId="25729"/>
    <cellStyle name="Normal 2 4 5" xfId="25730"/>
    <cellStyle name="Normal 2 4 6" xfId="25731"/>
    <cellStyle name="Normal 2 4 7" xfId="25732"/>
    <cellStyle name="Normal 2 4 8" xfId="25733"/>
    <cellStyle name="Normal 2 4 9" xfId="25734"/>
    <cellStyle name="Normal 2 4_Report" xfId="25735"/>
    <cellStyle name="Normal 2 40" xfId="25736"/>
    <cellStyle name="Normal 2 41" xfId="25737"/>
    <cellStyle name="Normal 2 42" xfId="25738"/>
    <cellStyle name="Normal 2 43" xfId="25739"/>
    <cellStyle name="Normal 2 44" xfId="25740"/>
    <cellStyle name="Normal 2 45" xfId="25741"/>
    <cellStyle name="Normal 2 46" xfId="25742"/>
    <cellStyle name="Normal 2 47" xfId="25743"/>
    <cellStyle name="Normal 2 48" xfId="25744"/>
    <cellStyle name="Normal 2 49" xfId="25745"/>
    <cellStyle name="Normal 2 5" xfId="25746"/>
    <cellStyle name="Normal 2 5 10" xfId="25747"/>
    <cellStyle name="Normal 2 5 11" xfId="25748"/>
    <cellStyle name="Normal 2 5 12" xfId="25749"/>
    <cellStyle name="Normal 2 5 13" xfId="25750"/>
    <cellStyle name="Normal 2 5 14" xfId="25751"/>
    <cellStyle name="Normal 2 5 15" xfId="25752"/>
    <cellStyle name="Normal 2 5 16" xfId="25753"/>
    <cellStyle name="Normal 2 5 17" xfId="25754"/>
    <cellStyle name="Normal 2 5 18" xfId="25755"/>
    <cellStyle name="Normal 2 5 19" xfId="25756"/>
    <cellStyle name="Normal 2 5 2" xfId="25757"/>
    <cellStyle name="Normal 2 5 2 2" xfId="25758"/>
    <cellStyle name="Normal 2 5 2 2 2" xfId="25759"/>
    <cellStyle name="Normal 2 5 20" xfId="25760"/>
    <cellStyle name="Normal 2 5 21" xfId="25761"/>
    <cellStyle name="Normal 2 5 22" xfId="25762"/>
    <cellStyle name="Normal 2 5 23" xfId="25763"/>
    <cellStyle name="Normal 2 5 24" xfId="25764"/>
    <cellStyle name="Normal 2 5 25" xfId="25765"/>
    <cellStyle name="Normal 2 5 26" xfId="25766"/>
    <cellStyle name="Normal 2 5 27" xfId="25767"/>
    <cellStyle name="Normal 2 5 28" xfId="25768"/>
    <cellStyle name="Normal 2 5 29" xfId="25769"/>
    <cellStyle name="Normal 2 5 3" xfId="25770"/>
    <cellStyle name="Normal 2 5 3 2" xfId="25771"/>
    <cellStyle name="Normal 2 5 30" xfId="25772"/>
    <cellStyle name="Normal 2 5 4" xfId="25773"/>
    <cellStyle name="Normal 2 5 5" xfId="25774"/>
    <cellStyle name="Normal 2 5 6" xfId="25775"/>
    <cellStyle name="Normal 2 5 7" xfId="25776"/>
    <cellStyle name="Normal 2 5 8" xfId="25777"/>
    <cellStyle name="Normal 2 5 9" xfId="25778"/>
    <cellStyle name="Normal 2 50" xfId="25779"/>
    <cellStyle name="Normal 2 51" xfId="25780"/>
    <cellStyle name="Normal 2 52" xfId="25781"/>
    <cellStyle name="Normal 2 53" xfId="25782"/>
    <cellStyle name="Normal 2 54" xfId="25783"/>
    <cellStyle name="Normal 2 55" xfId="25784"/>
    <cellStyle name="Normal 2 56" xfId="25785"/>
    <cellStyle name="Normal 2 57" xfId="25786"/>
    <cellStyle name="Normal 2 58" xfId="25787"/>
    <cellStyle name="Normal 2 59" xfId="25788"/>
    <cellStyle name="Normal 2 6" xfId="25789"/>
    <cellStyle name="Normal 2 6 2" xfId="25790"/>
    <cellStyle name="Normal 2 6 3" xfId="25791"/>
    <cellStyle name="Normal 2 60" xfId="25792"/>
    <cellStyle name="Normal 2 61" xfId="25793"/>
    <cellStyle name="Normal 2 62" xfId="25794"/>
    <cellStyle name="Normal 2 63" xfId="25795"/>
    <cellStyle name="Normal 2 64" xfId="25796"/>
    <cellStyle name="Normal 2 65" xfId="25797"/>
    <cellStyle name="Normal 2 66" xfId="25798"/>
    <cellStyle name="Normal 2 67" xfId="25799"/>
    <cellStyle name="Normal 2 68" xfId="25800"/>
    <cellStyle name="Normal 2 69" xfId="25801"/>
    <cellStyle name="Normal 2 7" xfId="25802"/>
    <cellStyle name="Normal 2 7 10" xfId="25803"/>
    <cellStyle name="Normal 2 7 11" xfId="25804"/>
    <cellStyle name="Normal 2 7 2" xfId="25805"/>
    <cellStyle name="Normal 2 7 3" xfId="25806"/>
    <cellStyle name="Normal 2 7 3 2" xfId="25807"/>
    <cellStyle name="Normal 2 7 4" xfId="25808"/>
    <cellStyle name="Normal 2 7 4 2" xfId="25809"/>
    <cellStyle name="Normal 2 7 5" xfId="25810"/>
    <cellStyle name="Normal 2 7 6" xfId="25811"/>
    <cellStyle name="Normal 2 7 7" xfId="25812"/>
    <cellStyle name="Normal 2 7 8" xfId="25813"/>
    <cellStyle name="Normal 2 7 9" xfId="25814"/>
    <cellStyle name="Normal 2 7_Report" xfId="25815"/>
    <cellStyle name="Normal 2 70" xfId="25816"/>
    <cellStyle name="Normal 2 71" xfId="25817"/>
    <cellStyle name="Normal 2 72" xfId="25818"/>
    <cellStyle name="Normal 2 73" xfId="25819"/>
    <cellStyle name="Normal 2 74" xfId="25820"/>
    <cellStyle name="Normal 2 75" xfId="25821"/>
    <cellStyle name="Normal 2 75 2" xfId="25822"/>
    <cellStyle name="Normal 2 76" xfId="25823"/>
    <cellStyle name="Normal 2 77" xfId="25824"/>
    <cellStyle name="Normal 2 78" xfId="25825"/>
    <cellStyle name="Normal 2 79" xfId="25826"/>
    <cellStyle name="Normal 2 8" xfId="25827"/>
    <cellStyle name="Normal 2 8 2" xfId="25828"/>
    <cellStyle name="Normal 2 8 3" xfId="25829"/>
    <cellStyle name="Normal 2 8 4" xfId="25830"/>
    <cellStyle name="Normal 2 80" xfId="25831"/>
    <cellStyle name="Normal 2 81" xfId="25832"/>
    <cellStyle name="Normal 2 82" xfId="25833"/>
    <cellStyle name="Normal 2 83" xfId="25834"/>
    <cellStyle name="Normal 2 84" xfId="25835"/>
    <cellStyle name="Normal 2 85" xfId="25836"/>
    <cellStyle name="Normal 2 86" xfId="25837"/>
    <cellStyle name="Normal 2 87" xfId="25838"/>
    <cellStyle name="Normal 2 88" xfId="25839"/>
    <cellStyle name="Normal 2 89" xfId="25840"/>
    <cellStyle name="Normal 2 9" xfId="25841"/>
    <cellStyle name="Normal 2 9 2" xfId="25842"/>
    <cellStyle name="Normal 2 90" xfId="25843"/>
    <cellStyle name="Normal 2 91" xfId="25844"/>
    <cellStyle name="Normal 2 92" xfId="25845"/>
    <cellStyle name="Normal 2 93" xfId="25846"/>
    <cellStyle name="Normal 2 94" xfId="25847"/>
    <cellStyle name="Normal 2 95" xfId="25848"/>
    <cellStyle name="Normal 2_BSC3301 KRUNGTHAI FEEDMILL PRAPADANG, MAIN FEEDMILL, IO-LIST (beta3)" xfId="25849"/>
    <cellStyle name="Normal 20" xfId="25850"/>
    <cellStyle name="Normal 20 2" xfId="25851"/>
    <cellStyle name="Normal 20 2 2" xfId="25852"/>
    <cellStyle name="Normal 20 2 2 2" xfId="25853"/>
    <cellStyle name="Normal 20 2 3" xfId="25854"/>
    <cellStyle name="Normal 20 2 3 2" xfId="25855"/>
    <cellStyle name="Normal 20 2 4" xfId="25856"/>
    <cellStyle name="Normal 20 3" xfId="25857"/>
    <cellStyle name="Normal 20 3 2" xfId="25858"/>
    <cellStyle name="Normal 20 3 2 2" xfId="25859"/>
    <cellStyle name="Normal 20 3 3" xfId="25860"/>
    <cellStyle name="Normal 20 3 3 2" xfId="25861"/>
    <cellStyle name="Normal 20 3 4" xfId="25862"/>
    <cellStyle name="Normal 20 4" xfId="25863"/>
    <cellStyle name="Normal 20 4 2" xfId="25864"/>
    <cellStyle name="Normal 20 5" xfId="25865"/>
    <cellStyle name="Normal 20 5 2" xfId="25866"/>
    <cellStyle name="Normal 20 6" xfId="25867"/>
    <cellStyle name="Normal 200" xfId="25868"/>
    <cellStyle name="Normal 200 2" xfId="25869"/>
    <cellStyle name="Normal 201" xfId="25870"/>
    <cellStyle name="Normal 201 2" xfId="25871"/>
    <cellStyle name="Normal 201 3" xfId="25872"/>
    <cellStyle name="Normal 201 4" xfId="25873"/>
    <cellStyle name="Normal 202" xfId="25874"/>
    <cellStyle name="Normal 202 2" xfId="25875"/>
    <cellStyle name="Normal 203" xfId="25876"/>
    <cellStyle name="Normal 203 2" xfId="25877"/>
    <cellStyle name="Normal 204" xfId="25878"/>
    <cellStyle name="Normal 204 2" xfId="25879"/>
    <cellStyle name="Normal 205" xfId="25880"/>
    <cellStyle name="Normal 206" xfId="25881"/>
    <cellStyle name="Normal 206 2" xfId="25882"/>
    <cellStyle name="Normal 207" xfId="25883"/>
    <cellStyle name="Normal 207 2" xfId="25884"/>
    <cellStyle name="Normal 208" xfId="25885"/>
    <cellStyle name="Normal 209" xfId="25886"/>
    <cellStyle name="Normal 21" xfId="25887"/>
    <cellStyle name="Normal 21 2" xfId="25888"/>
    <cellStyle name="Normal 21 2 2" xfId="25889"/>
    <cellStyle name="Normal 21 2 2 2" xfId="25890"/>
    <cellStyle name="Normal 21 2 3" xfId="25891"/>
    <cellStyle name="Normal 21 2 3 2" xfId="25892"/>
    <cellStyle name="Normal 21 2 4" xfId="25893"/>
    <cellStyle name="Normal 21 3" xfId="25894"/>
    <cellStyle name="Normal 21 3 2" xfId="25895"/>
    <cellStyle name="Normal 21 3 2 2" xfId="25896"/>
    <cellStyle name="Normal 21 3 3" xfId="25897"/>
    <cellStyle name="Normal 21 3 3 2" xfId="25898"/>
    <cellStyle name="Normal 21 3 4" xfId="25899"/>
    <cellStyle name="Normal 21 4" xfId="25900"/>
    <cellStyle name="Normal 21 4 2" xfId="25901"/>
    <cellStyle name="Normal 21 5" xfId="25902"/>
    <cellStyle name="Normal 21 5 2" xfId="25903"/>
    <cellStyle name="Normal 21 6" xfId="25904"/>
    <cellStyle name="Normal 210" xfId="25905"/>
    <cellStyle name="Normal 210 2" xfId="25906"/>
    <cellStyle name="Normal 211" xfId="25907"/>
    <cellStyle name="Normal 212" xfId="25908"/>
    <cellStyle name="Normal 213" xfId="25909"/>
    <cellStyle name="Normal 214" xfId="25910"/>
    <cellStyle name="Normal 215" xfId="25911"/>
    <cellStyle name="Normal 215 2" xfId="25912"/>
    <cellStyle name="Normal 216" xfId="25913"/>
    <cellStyle name="Normal 217" xfId="25914"/>
    <cellStyle name="Normal 218" xfId="25915"/>
    <cellStyle name="Normal 218 2" xfId="25916"/>
    <cellStyle name="Normal 219" xfId="25917"/>
    <cellStyle name="Normal 22" xfId="25918"/>
    <cellStyle name="Normal 22 2" xfId="25919"/>
    <cellStyle name="Normal 22 2 2" xfId="25920"/>
    <cellStyle name="Normal 22 2 2 2" xfId="25921"/>
    <cellStyle name="Normal 22 2 3" xfId="25922"/>
    <cellStyle name="Normal 22 2 3 2" xfId="25923"/>
    <cellStyle name="Normal 22 2 4" xfId="25924"/>
    <cellStyle name="Normal 22 3" xfId="25925"/>
    <cellStyle name="Normal 22 3 2" xfId="25926"/>
    <cellStyle name="Normal 22 3 2 2" xfId="25927"/>
    <cellStyle name="Normal 22 3 3" xfId="25928"/>
    <cellStyle name="Normal 22 3 3 2" xfId="25929"/>
    <cellStyle name="Normal 22 3 4" xfId="25930"/>
    <cellStyle name="Normal 22 4" xfId="25931"/>
    <cellStyle name="Normal 22 4 2" xfId="25932"/>
    <cellStyle name="Normal 22 5" xfId="25933"/>
    <cellStyle name="Normal 22 5 2" xfId="25934"/>
    <cellStyle name="Normal 22 6" xfId="25935"/>
    <cellStyle name="Normal 220" xfId="25936"/>
    <cellStyle name="Normal 221" xfId="25937"/>
    <cellStyle name="Normal 222" xfId="25938"/>
    <cellStyle name="Normal 222 2" xfId="25939"/>
    <cellStyle name="Normal 223" xfId="25940"/>
    <cellStyle name="Normal 224" xfId="25941"/>
    <cellStyle name="Normal 224 2" xfId="25942"/>
    <cellStyle name="Normal 225" xfId="25943"/>
    <cellStyle name="Normal 226" xfId="25944"/>
    <cellStyle name="Normal 226 2" xfId="25945"/>
    <cellStyle name="Normal 227" xfId="25946"/>
    <cellStyle name="Normal 228" xfId="25947"/>
    <cellStyle name="Normal 229" xfId="25948"/>
    <cellStyle name="Normal 23" xfId="25949"/>
    <cellStyle name="Normal 23 2" xfId="25950"/>
    <cellStyle name="Normal 23 2 2" xfId="25951"/>
    <cellStyle name="Normal 23 2 2 2" xfId="25952"/>
    <cellStyle name="Normal 23 2 3" xfId="25953"/>
    <cellStyle name="Normal 23 2 3 2" xfId="25954"/>
    <cellStyle name="Normal 23 2 4" xfId="25955"/>
    <cellStyle name="Normal 23 3" xfId="25956"/>
    <cellStyle name="Normal 23 3 2" xfId="25957"/>
    <cellStyle name="Normal 23 3 2 2" xfId="25958"/>
    <cellStyle name="Normal 23 3 3" xfId="25959"/>
    <cellStyle name="Normal 23 3 3 2" xfId="25960"/>
    <cellStyle name="Normal 23 3 4" xfId="25961"/>
    <cellStyle name="Normal 23 4" xfId="25962"/>
    <cellStyle name="Normal 23 4 2" xfId="25963"/>
    <cellStyle name="Normal 23 5" xfId="25964"/>
    <cellStyle name="Normal 23 5 2" xfId="25965"/>
    <cellStyle name="Normal 23 6" xfId="25966"/>
    <cellStyle name="Normal 230" xfId="25967"/>
    <cellStyle name="Normal 231" xfId="25968"/>
    <cellStyle name="Normal 231 2" xfId="25969"/>
    <cellStyle name="Normal 232" xfId="25970"/>
    <cellStyle name="Normal 233" xfId="25971"/>
    <cellStyle name="Normal 234" xfId="25972"/>
    <cellStyle name="Normal 234 2" xfId="25973"/>
    <cellStyle name="Normal 235" xfId="25974"/>
    <cellStyle name="Normal 236" xfId="25975"/>
    <cellStyle name="Normal 237" xfId="25976"/>
    <cellStyle name="Normal 238" xfId="25977"/>
    <cellStyle name="Normal 238 2" xfId="25978"/>
    <cellStyle name="Normal 239" xfId="25979"/>
    <cellStyle name="Normal 24" xfId="25980"/>
    <cellStyle name="Normal 24 2" xfId="25981"/>
    <cellStyle name="Normal 24 2 2" xfId="25982"/>
    <cellStyle name="Normal 24 2 2 2" xfId="25983"/>
    <cellStyle name="Normal 24 2 3" xfId="25984"/>
    <cellStyle name="Normal 24 2 3 2" xfId="25985"/>
    <cellStyle name="Normal 24 2 4" xfId="25986"/>
    <cellStyle name="Normal 24 3" xfId="25987"/>
    <cellStyle name="Normal 24 3 2" xfId="25988"/>
    <cellStyle name="Normal 24 3 2 2" xfId="25989"/>
    <cellStyle name="Normal 24 3 3" xfId="25990"/>
    <cellStyle name="Normal 24 3 3 2" xfId="25991"/>
    <cellStyle name="Normal 24 3 4" xfId="25992"/>
    <cellStyle name="Normal 24 4" xfId="25993"/>
    <cellStyle name="Normal 24 4 2" xfId="25994"/>
    <cellStyle name="Normal 24 5" xfId="25995"/>
    <cellStyle name="Normal 24 5 2" xfId="25996"/>
    <cellStyle name="Normal 24 6" xfId="25997"/>
    <cellStyle name="Normal 240" xfId="25998"/>
    <cellStyle name="Normal 241" xfId="25999"/>
    <cellStyle name="Normal 242" xfId="26000"/>
    <cellStyle name="Normal 243" xfId="26001"/>
    <cellStyle name="Normal 244" xfId="26002"/>
    <cellStyle name="Normal 245" xfId="26003"/>
    <cellStyle name="Normal 246" xfId="26004"/>
    <cellStyle name="Normal 247" xfId="26005"/>
    <cellStyle name="Normal 248" xfId="26006"/>
    <cellStyle name="Normal 249" xfId="26007"/>
    <cellStyle name="Normal 25" xfId="26008"/>
    <cellStyle name="Normal 25 2" xfId="26009"/>
    <cellStyle name="Normal 25 2 2" xfId="26010"/>
    <cellStyle name="Normal 25 3" xfId="26011"/>
    <cellStyle name="Normal 25 3 2" xfId="26012"/>
    <cellStyle name="Normal 25 4" xfId="26013"/>
    <cellStyle name="Normal 250" xfId="26014"/>
    <cellStyle name="Normal 251" xfId="26015"/>
    <cellStyle name="Normal 252" xfId="26016"/>
    <cellStyle name="Normal 253" xfId="26017"/>
    <cellStyle name="Normal 254" xfId="26018"/>
    <cellStyle name="Normal 255" xfId="26019"/>
    <cellStyle name="Normal 256" xfId="26020"/>
    <cellStyle name="Normal 257" xfId="26021"/>
    <cellStyle name="Normal 258" xfId="26022"/>
    <cellStyle name="Normal 259" xfId="26023"/>
    <cellStyle name="Normal 26" xfId="26024"/>
    <cellStyle name="Normal 26 2" xfId="26025"/>
    <cellStyle name="Normal 26 2 2" xfId="26026"/>
    <cellStyle name="Normal 26 2 2 2" xfId="26027"/>
    <cellStyle name="Normal 26 2 3" xfId="26028"/>
    <cellStyle name="Normal 26 2 3 2" xfId="26029"/>
    <cellStyle name="Normal 26 2 4" xfId="26030"/>
    <cellStyle name="Normal 26 3" xfId="26031"/>
    <cellStyle name="Normal 26 3 2" xfId="26032"/>
    <cellStyle name="Normal 26 4" xfId="26033"/>
    <cellStyle name="Normal 26 4 2" xfId="26034"/>
    <cellStyle name="Normal 26 5" xfId="26035"/>
    <cellStyle name="Normal 260" xfId="26036"/>
    <cellStyle name="Normal 261" xfId="26037"/>
    <cellStyle name="Normal 262" xfId="26038"/>
    <cellStyle name="Normal 263" xfId="26039"/>
    <cellStyle name="Normal 264" xfId="26040"/>
    <cellStyle name="Normal 265" xfId="26041"/>
    <cellStyle name="Normal 266" xfId="26042"/>
    <cellStyle name="Normal 267" xfId="26043"/>
    <cellStyle name="Normal 268" xfId="26044"/>
    <cellStyle name="Normal 269" xfId="26045"/>
    <cellStyle name="Normal 27" xfId="26046"/>
    <cellStyle name="Normal 27 2" xfId="26047"/>
    <cellStyle name="Normal 27 2 2" xfId="26048"/>
    <cellStyle name="Normal 27 2 2 2" xfId="26049"/>
    <cellStyle name="Normal 27 2 3" xfId="26050"/>
    <cellStyle name="Normal 27 2 3 2" xfId="26051"/>
    <cellStyle name="Normal 27 2 4" xfId="26052"/>
    <cellStyle name="Normal 27 3" xfId="26053"/>
    <cellStyle name="Normal 27 3 2" xfId="26054"/>
    <cellStyle name="Normal 27 3 2 2" xfId="26055"/>
    <cellStyle name="Normal 27 3 3" xfId="26056"/>
    <cellStyle name="Normal 27 3 3 2" xfId="26057"/>
    <cellStyle name="Normal 27 3 4" xfId="26058"/>
    <cellStyle name="Normal 27 4" xfId="26059"/>
    <cellStyle name="Normal 27 4 2" xfId="26060"/>
    <cellStyle name="Normal 27 5" xfId="26061"/>
    <cellStyle name="Normal 27 5 2" xfId="26062"/>
    <cellStyle name="Normal 27 6" xfId="26063"/>
    <cellStyle name="Normal 270" xfId="26064"/>
    <cellStyle name="Normal 271" xfId="30493"/>
    <cellStyle name="Normal 271 2" xfId="26065"/>
    <cellStyle name="Normal 28" xfId="26066"/>
    <cellStyle name="Normal 28 2" xfId="26067"/>
    <cellStyle name="Normal 28 2 2" xfId="26068"/>
    <cellStyle name="Normal 28 2 2 2" xfId="26069"/>
    <cellStyle name="Normal 28 2 3" xfId="26070"/>
    <cellStyle name="Normal 28 2 3 2" xfId="26071"/>
    <cellStyle name="Normal 28 2 4" xfId="26072"/>
    <cellStyle name="Normal 28 3" xfId="26073"/>
    <cellStyle name="Normal 28 3 2" xfId="26074"/>
    <cellStyle name="Normal 28 3 2 2" xfId="26075"/>
    <cellStyle name="Normal 28 3 3" xfId="26076"/>
    <cellStyle name="Normal 28 3 3 2" xfId="26077"/>
    <cellStyle name="Normal 28 3 4" xfId="26078"/>
    <cellStyle name="Normal 28 4" xfId="26079"/>
    <cellStyle name="Normal 28 4 2" xfId="26080"/>
    <cellStyle name="Normal 28 5" xfId="26081"/>
    <cellStyle name="Normal 28 5 2" xfId="26082"/>
    <cellStyle name="Normal 28 6" xfId="26083"/>
    <cellStyle name="Normal 29" xfId="26084"/>
    <cellStyle name="Normal 29 10" xfId="26085"/>
    <cellStyle name="Normal 29 10 2" xfId="26086"/>
    <cellStyle name="Normal 29 2" xfId="26087"/>
    <cellStyle name="Normal 29 2 2" xfId="26088"/>
    <cellStyle name="Normal 29 2 2 2" xfId="26089"/>
    <cellStyle name="Normal 29 2 3" xfId="26090"/>
    <cellStyle name="Normal 29 2 3 2" xfId="26091"/>
    <cellStyle name="Normal 29 2 4" xfId="26092"/>
    <cellStyle name="Normal 29 3" xfId="26093"/>
    <cellStyle name="Normal 29 3 2" xfId="26094"/>
    <cellStyle name="Normal 29 3 2 2" xfId="26095"/>
    <cellStyle name="Normal 29 3 3" xfId="26096"/>
    <cellStyle name="Normal 29 3 3 2" xfId="26097"/>
    <cellStyle name="Normal 29 3 4" xfId="26098"/>
    <cellStyle name="Normal 29 4" xfId="26099"/>
    <cellStyle name="Normal 29 4 2" xfId="26100"/>
    <cellStyle name="Normal 29 4 2 2" xfId="26101"/>
    <cellStyle name="Normal 29 4 3" xfId="26102"/>
    <cellStyle name="Normal 29 4 3 2" xfId="26103"/>
    <cellStyle name="Normal 29 4 4" xfId="26104"/>
    <cellStyle name="Normal 29 5" xfId="26105"/>
    <cellStyle name="Normal 29 5 2" xfId="26106"/>
    <cellStyle name="Normal 29 5 2 2" xfId="26107"/>
    <cellStyle name="Normal 29 5 3" xfId="26108"/>
    <cellStyle name="Normal 29 5 3 2" xfId="26109"/>
    <cellStyle name="Normal 29 5 4" xfId="26110"/>
    <cellStyle name="Normal 29 6" xfId="26111"/>
    <cellStyle name="Normal 29 6 2" xfId="26112"/>
    <cellStyle name="Normal 29 6 2 2" xfId="26113"/>
    <cellStyle name="Normal 29 6 3" xfId="26114"/>
    <cellStyle name="Normal 29 6 3 2" xfId="26115"/>
    <cellStyle name="Normal 29 6 4" xfId="26116"/>
    <cellStyle name="Normal 29 7" xfId="26117"/>
    <cellStyle name="Normal 29 7 2" xfId="26118"/>
    <cellStyle name="Normal 29 7 2 2" xfId="26119"/>
    <cellStyle name="Normal 29 7 3" xfId="26120"/>
    <cellStyle name="Normal 29 7 3 2" xfId="26121"/>
    <cellStyle name="Normal 29 7 4" xfId="26122"/>
    <cellStyle name="Normal 29 8" xfId="26123"/>
    <cellStyle name="Normal 29 8 2" xfId="26124"/>
    <cellStyle name="Normal 29 9" xfId="26125"/>
    <cellStyle name="Normal 29 9 2" xfId="26126"/>
    <cellStyle name="Normal 3" xfId="26127"/>
    <cellStyle name="Normal 3 10" xfId="26128"/>
    <cellStyle name="Normal 3 10 2" xfId="26129"/>
    <cellStyle name="Normal 3 11" xfId="26130"/>
    <cellStyle name="Normal 3 11 2" xfId="26131"/>
    <cellStyle name="Normal 3 12" xfId="26132"/>
    <cellStyle name="Normal 3 12 2" xfId="26133"/>
    <cellStyle name="Normal 3 13" xfId="26134"/>
    <cellStyle name="Normal 3 14" xfId="26135"/>
    <cellStyle name="Normal 3 15" xfId="26136"/>
    <cellStyle name="Normal 3 15 2" xfId="26137"/>
    <cellStyle name="Normal 3 16" xfId="26138"/>
    <cellStyle name="Normal 3 17" xfId="26139"/>
    <cellStyle name="Normal 3 18" xfId="26140"/>
    <cellStyle name="Normal 3 2" xfId="26141"/>
    <cellStyle name="Normal 3 2 2" xfId="26142"/>
    <cellStyle name="Normal 3 2 3" xfId="26143"/>
    <cellStyle name="Normal 3 2 4" xfId="26144"/>
    <cellStyle name="Normal 3 3" xfId="26145"/>
    <cellStyle name="Normal 3 3 2" xfId="26146"/>
    <cellStyle name="Normal 3 4" xfId="26147"/>
    <cellStyle name="Normal 3 5" xfId="26148"/>
    <cellStyle name="Normal 3 6" xfId="26149"/>
    <cellStyle name="Normal 3 7" xfId="26150"/>
    <cellStyle name="Normal 3 8" xfId="26151"/>
    <cellStyle name="Normal 3 9" xfId="26152"/>
    <cellStyle name="Normal 3 9 2" xfId="26153"/>
    <cellStyle name="Normal 3_Part 6_7_8_9_10(new)" xfId="26154"/>
    <cellStyle name="Normal 30" xfId="26155"/>
    <cellStyle name="Normal 30 2" xfId="26156"/>
    <cellStyle name="Normal 30 2 2" xfId="26157"/>
    <cellStyle name="Normal 30 3" xfId="26158"/>
    <cellStyle name="Normal 30 3 2" xfId="26159"/>
    <cellStyle name="Normal 30 4" xfId="26160"/>
    <cellStyle name="Normal 31" xfId="26161"/>
    <cellStyle name="Normal 31 2" xfId="26162"/>
    <cellStyle name="Normal 31 2 2" xfId="26163"/>
    <cellStyle name="Normal 31 3" xfId="26164"/>
    <cellStyle name="Normal 31 3 2" xfId="26165"/>
    <cellStyle name="Normal 31 4" xfId="26166"/>
    <cellStyle name="Normal 32" xfId="26167"/>
    <cellStyle name="Normal 32 2" xfId="26168"/>
    <cellStyle name="Normal 32 2 2" xfId="26169"/>
    <cellStyle name="Normal 32 3" xfId="26170"/>
    <cellStyle name="Normal 32 3 2" xfId="26171"/>
    <cellStyle name="Normal 32 4" xfId="26172"/>
    <cellStyle name="Normal 33" xfId="26173"/>
    <cellStyle name="Normal 33 2" xfId="26174"/>
    <cellStyle name="Normal 33 2 2" xfId="26175"/>
    <cellStyle name="Normal 33 3" xfId="26176"/>
    <cellStyle name="Normal 33 3 2" xfId="26177"/>
    <cellStyle name="Normal 33 4" xfId="26178"/>
    <cellStyle name="Normal 34" xfId="26179"/>
    <cellStyle name="Normal 34 2" xfId="26180"/>
    <cellStyle name="Normal 34 2 2" xfId="26181"/>
    <cellStyle name="Normal 34 3" xfId="26182"/>
    <cellStyle name="Normal 34 3 2" xfId="26183"/>
    <cellStyle name="Normal 34 4" xfId="26184"/>
    <cellStyle name="Normal 35" xfId="26185"/>
    <cellStyle name="Normal 35 2" xfId="26186"/>
    <cellStyle name="Normal 35 2 2" xfId="26187"/>
    <cellStyle name="Normal 35 3" xfId="26188"/>
    <cellStyle name="Normal 35 3 2" xfId="26189"/>
    <cellStyle name="Normal 35 4" xfId="26190"/>
    <cellStyle name="Normal 36" xfId="26191"/>
    <cellStyle name="Normal 36 2" xfId="26192"/>
    <cellStyle name="Normal 36 2 2" xfId="26193"/>
    <cellStyle name="Normal 36 3" xfId="26194"/>
    <cellStyle name="Normal 36 3 2" xfId="26195"/>
    <cellStyle name="Normal 36 4" xfId="26196"/>
    <cellStyle name="Normal 37" xfId="26197"/>
    <cellStyle name="Normal 37 2" xfId="26198"/>
    <cellStyle name="Normal 37 2 2" xfId="26199"/>
    <cellStyle name="Normal 37 3" xfId="26200"/>
    <cellStyle name="Normal 37 3 2" xfId="26201"/>
    <cellStyle name="Normal 37 4" xfId="26202"/>
    <cellStyle name="Normal 38" xfId="26203"/>
    <cellStyle name="Normal 38 2" xfId="26204"/>
    <cellStyle name="Normal 38 2 2" xfId="26205"/>
    <cellStyle name="Normal 38 3" xfId="26206"/>
    <cellStyle name="Normal 38 3 2" xfId="26207"/>
    <cellStyle name="Normal 38 4" xfId="26208"/>
    <cellStyle name="Normal 39" xfId="26209"/>
    <cellStyle name="Normal 39 2" xfId="26210"/>
    <cellStyle name="Normal 39 2 2" xfId="26211"/>
    <cellStyle name="Normal 39 3" xfId="26212"/>
    <cellStyle name="Normal 39 3 2" xfId="26213"/>
    <cellStyle name="Normal 39 4" xfId="26214"/>
    <cellStyle name="Normal 4" xfId="26215"/>
    <cellStyle name="Normal 4 10" xfId="26216"/>
    <cellStyle name="Normal 4 10 2" xfId="26217"/>
    <cellStyle name="Normal 4 11" xfId="26218"/>
    <cellStyle name="Normal 4 12" xfId="26219"/>
    <cellStyle name="Normal 4 2" xfId="26220"/>
    <cellStyle name="Normal 4 2 2" xfId="26221"/>
    <cellStyle name="Normal 4 2 2 2" xfId="26222"/>
    <cellStyle name="Normal 4 2 2 2 2" xfId="26223"/>
    <cellStyle name="Normal 4 2 2 3" xfId="26224"/>
    <cellStyle name="Normal 4 2 3" xfId="26225"/>
    <cellStyle name="Normal 4 2 3 2" xfId="26226"/>
    <cellStyle name="Normal 4 2 4" xfId="26227"/>
    <cellStyle name="Normal 4 2 5" xfId="26228"/>
    <cellStyle name="Normal 4 2 5 2" xfId="26229"/>
    <cellStyle name="Normal 4 2 6" xfId="26230"/>
    <cellStyle name="Normal 4 2 7" xfId="26231"/>
    <cellStyle name="Normal 4 3" xfId="26232"/>
    <cellStyle name="Normal 4 3 2" xfId="26233"/>
    <cellStyle name="Normal 4 3 2 2" xfId="26234"/>
    <cellStyle name="Normal 4 3 3" xfId="26235"/>
    <cellStyle name="Normal 4 3 3 2" xfId="26236"/>
    <cellStyle name="Normal 4 3 4" xfId="26237"/>
    <cellStyle name="Normal 4 3 5" xfId="26238"/>
    <cellStyle name="Normal 4 4" xfId="26239"/>
    <cellStyle name="Normal 4 4 2" xfId="26240"/>
    <cellStyle name="Normal 4 4 3" xfId="26241"/>
    <cellStyle name="Normal 4 5" xfId="26242"/>
    <cellStyle name="Normal 4 5 2" xfId="26243"/>
    <cellStyle name="Normal 4 5 3" xfId="26244"/>
    <cellStyle name="Normal 4 6" xfId="26245"/>
    <cellStyle name="Normal 4 6 2" xfId="26246"/>
    <cellStyle name="Normal 4 7" xfId="26247"/>
    <cellStyle name="Normal 4 8" xfId="26248"/>
    <cellStyle name="Normal 4 9" xfId="26249"/>
    <cellStyle name="Normal 40" xfId="26250"/>
    <cellStyle name="Normal 40 2" xfId="26251"/>
    <cellStyle name="Normal 40 2 2" xfId="26252"/>
    <cellStyle name="Normal 40 3" xfId="26253"/>
    <cellStyle name="Normal 40 3 2" xfId="26254"/>
    <cellStyle name="Normal 40 4" xfId="26255"/>
    <cellStyle name="Normal 41" xfId="26256"/>
    <cellStyle name="Normal 41 2" xfId="26257"/>
    <cellStyle name="Normal 41 2 2" xfId="26258"/>
    <cellStyle name="Normal 41 3" xfId="26259"/>
    <cellStyle name="Normal 41 3 2" xfId="26260"/>
    <cellStyle name="Normal 41 4" xfId="26261"/>
    <cellStyle name="Normal 42" xfId="26262"/>
    <cellStyle name="Normal 42 2" xfId="26263"/>
    <cellStyle name="Normal 42 2 2" xfId="26264"/>
    <cellStyle name="Normal 42 3" xfId="26265"/>
    <cellStyle name="Normal 42 3 2" xfId="26266"/>
    <cellStyle name="Normal 42 4" xfId="26267"/>
    <cellStyle name="Normal 43" xfId="26268"/>
    <cellStyle name="Normal 43 2" xfId="26269"/>
    <cellStyle name="Normal 43 2 2" xfId="26270"/>
    <cellStyle name="Normal 43 3" xfId="26271"/>
    <cellStyle name="Normal 43 3 2" xfId="26272"/>
    <cellStyle name="Normal 43 4" xfId="26273"/>
    <cellStyle name="Normal 44" xfId="26274"/>
    <cellStyle name="Normal 44 2" xfId="26275"/>
    <cellStyle name="Normal 44 2 2" xfId="26276"/>
    <cellStyle name="Normal 44 3" xfId="26277"/>
    <cellStyle name="Normal 44 3 2" xfId="26278"/>
    <cellStyle name="Normal 44 4" xfId="26279"/>
    <cellStyle name="Normal 45" xfId="26280"/>
    <cellStyle name="Normal 45 2" xfId="26281"/>
    <cellStyle name="Normal 45 2 2" xfId="26282"/>
    <cellStyle name="Normal 45 3" xfId="26283"/>
    <cellStyle name="Normal 45 3 2" xfId="26284"/>
    <cellStyle name="Normal 45 4" xfId="26285"/>
    <cellStyle name="Normal 46" xfId="26286"/>
    <cellStyle name="Normal 46 2" xfId="26287"/>
    <cellStyle name="Normal 46 2 2" xfId="26288"/>
    <cellStyle name="Normal 46 3" xfId="26289"/>
    <cellStyle name="Normal 46 3 2" xfId="26290"/>
    <cellStyle name="Normal 46 4" xfId="26291"/>
    <cellStyle name="Normal 47" xfId="26292"/>
    <cellStyle name="Normal 47 2" xfId="26293"/>
    <cellStyle name="Normal 47 2 2" xfId="26294"/>
    <cellStyle name="Normal 47 3" xfId="26295"/>
    <cellStyle name="Normal 47 3 2" xfId="26296"/>
    <cellStyle name="Normal 47 4" xfId="26297"/>
    <cellStyle name="Normal 48" xfId="26298"/>
    <cellStyle name="Normal 48 2" xfId="26299"/>
    <cellStyle name="Normal 48 2 2" xfId="26300"/>
    <cellStyle name="Normal 48 3" xfId="26301"/>
    <cellStyle name="Normal 48 3 2" xfId="26302"/>
    <cellStyle name="Normal 48 4" xfId="26303"/>
    <cellStyle name="Normal 49" xfId="26304"/>
    <cellStyle name="Normal 49 2" xfId="26305"/>
    <cellStyle name="Normal 49 2 2" xfId="26306"/>
    <cellStyle name="Normal 49 3" xfId="26307"/>
    <cellStyle name="Normal 49 3 2" xfId="26308"/>
    <cellStyle name="Normal 49 4" xfId="26309"/>
    <cellStyle name="Normal 5" xfId="26310"/>
    <cellStyle name="Normal 5 10" xfId="26311"/>
    <cellStyle name="Normal 5 11" xfId="26312"/>
    <cellStyle name="Normal 5 12" xfId="26313"/>
    <cellStyle name="Normal 5 2" xfId="26314"/>
    <cellStyle name="Normal 5 2 10" xfId="26315"/>
    <cellStyle name="Normal 5 2 11" xfId="26316"/>
    <cellStyle name="Normal 5 2 12" xfId="26317"/>
    <cellStyle name="Normal 5 2 13" xfId="26318"/>
    <cellStyle name="Normal 5 2 14" xfId="26319"/>
    <cellStyle name="Normal 5 2 2" xfId="26320"/>
    <cellStyle name="Normal 5 2 2 2" xfId="26321"/>
    <cellStyle name="Normal 5 2 2 3" xfId="26322"/>
    <cellStyle name="Normal 5 2 2 4" xfId="26323"/>
    <cellStyle name="Normal 5 2 3" xfId="26324"/>
    <cellStyle name="Normal 5 2 3 2" xfId="26325"/>
    <cellStyle name="Normal 5 2 4" xfId="26326"/>
    <cellStyle name="Normal 5 2 5" xfId="26327"/>
    <cellStyle name="Normal 5 2 6" xfId="26328"/>
    <cellStyle name="Normal 5 2 7" xfId="26329"/>
    <cellStyle name="Normal 5 2 8" xfId="26330"/>
    <cellStyle name="Normal 5 2 9" xfId="26331"/>
    <cellStyle name="Normal 5 2_Report" xfId="26332"/>
    <cellStyle name="Normal 5 3" xfId="26333"/>
    <cellStyle name="Normal 5 3 10" xfId="26334"/>
    <cellStyle name="Normal 5 3 11" xfId="26335"/>
    <cellStyle name="Normal 5 3 12" xfId="26336"/>
    <cellStyle name="Normal 5 3 2" xfId="26337"/>
    <cellStyle name="Normal 5 3 2 2" xfId="26338"/>
    <cellStyle name="Normal 5 3 3" xfId="26339"/>
    <cellStyle name="Normal 5 3 3 2" xfId="26340"/>
    <cellStyle name="Normal 5 3 4" xfId="26341"/>
    <cellStyle name="Normal 5 3 5" xfId="26342"/>
    <cellStyle name="Normal 5 3 6" xfId="26343"/>
    <cellStyle name="Normal 5 3 7" xfId="26344"/>
    <cellStyle name="Normal 5 3 8" xfId="26345"/>
    <cellStyle name="Normal 5 3 9" xfId="26346"/>
    <cellStyle name="Normal 5 3_Report" xfId="26347"/>
    <cellStyle name="Normal 5 4" xfId="26348"/>
    <cellStyle name="Normal 5 4 2" xfId="26349"/>
    <cellStyle name="Normal 5 4 3" xfId="26350"/>
    <cellStyle name="Normal 5 5" xfId="26351"/>
    <cellStyle name="Normal 5 5 2" xfId="26352"/>
    <cellStyle name="Normal 5 6" xfId="26353"/>
    <cellStyle name="Normal 5 7" xfId="26354"/>
    <cellStyle name="Normal 5 8" xfId="26355"/>
    <cellStyle name="Normal 5 9" xfId="26356"/>
    <cellStyle name="Normal 5 9 2" xfId="26357"/>
    <cellStyle name="Normal 5_VSM Form" xfId="26358"/>
    <cellStyle name="Normal 50" xfId="26359"/>
    <cellStyle name="Normal 50 2" xfId="26360"/>
    <cellStyle name="Normal 50 2 2" xfId="26361"/>
    <cellStyle name="Normal 50 3" xfId="26362"/>
    <cellStyle name="Normal 50 3 2" xfId="26363"/>
    <cellStyle name="Normal 50 4" xfId="26364"/>
    <cellStyle name="Normal 51" xfId="26365"/>
    <cellStyle name="Normal 51 2" xfId="26366"/>
    <cellStyle name="Normal 51 2 2" xfId="26367"/>
    <cellStyle name="Normal 51 3" xfId="26368"/>
    <cellStyle name="Normal 51 3 2" xfId="26369"/>
    <cellStyle name="Normal 51 4" xfId="26370"/>
    <cellStyle name="Normal 52" xfId="26371"/>
    <cellStyle name="Normal 52 2" xfId="26372"/>
    <cellStyle name="Normal 52 2 2" xfId="26373"/>
    <cellStyle name="Normal 52 3" xfId="26374"/>
    <cellStyle name="Normal 52 3 2" xfId="26375"/>
    <cellStyle name="Normal 52 4" xfId="26376"/>
    <cellStyle name="Normal 52 5" xfId="26377"/>
    <cellStyle name="Normal 53" xfId="26378"/>
    <cellStyle name="Normal 53 2" xfId="26379"/>
    <cellStyle name="Normal 53 2 2" xfId="26380"/>
    <cellStyle name="Normal 53 3" xfId="26381"/>
    <cellStyle name="Normal 53 3 2" xfId="26382"/>
    <cellStyle name="Normal 53 4" xfId="26383"/>
    <cellStyle name="Normal 54" xfId="26384"/>
    <cellStyle name="Normal 54 2" xfId="26385"/>
    <cellStyle name="Normal 54 2 2" xfId="26386"/>
    <cellStyle name="Normal 54 3" xfId="26387"/>
    <cellStyle name="Normal 54 3 2" xfId="26388"/>
    <cellStyle name="Normal 54 4" xfId="26389"/>
    <cellStyle name="Normal 55" xfId="26390"/>
    <cellStyle name="Normal 55 2" xfId="26391"/>
    <cellStyle name="Normal 55 2 2" xfId="26392"/>
    <cellStyle name="Normal 55 3" xfId="26393"/>
    <cellStyle name="Normal 55 3 2" xfId="26394"/>
    <cellStyle name="Normal 55 4" xfId="26395"/>
    <cellStyle name="Normal 56" xfId="26396"/>
    <cellStyle name="Normal 56 2" xfId="26397"/>
    <cellStyle name="Normal 56 2 2" xfId="26398"/>
    <cellStyle name="Normal 56 3" xfId="26399"/>
    <cellStyle name="Normal 56 3 2" xfId="26400"/>
    <cellStyle name="Normal 56 4" xfId="26401"/>
    <cellStyle name="Normal 57" xfId="26402"/>
    <cellStyle name="Normal 57 2" xfId="26403"/>
    <cellStyle name="Normal 57 2 2" xfId="26404"/>
    <cellStyle name="Normal 57 3" xfId="26405"/>
    <cellStyle name="Normal 57 3 2" xfId="26406"/>
    <cellStyle name="Normal 57 4" xfId="26407"/>
    <cellStyle name="Normal 58" xfId="26408"/>
    <cellStyle name="Normal 58 2" xfId="26409"/>
    <cellStyle name="Normal 58 2 2" xfId="26410"/>
    <cellStyle name="Normal 58 3" xfId="26411"/>
    <cellStyle name="Normal 58 3 2" xfId="26412"/>
    <cellStyle name="Normal 58 4" xfId="26413"/>
    <cellStyle name="Normal 59" xfId="26414"/>
    <cellStyle name="Normal 59 2" xfId="26415"/>
    <cellStyle name="Normal 59 2 2" xfId="26416"/>
    <cellStyle name="Normal 59 3" xfId="26417"/>
    <cellStyle name="Normal 59 3 2" xfId="26418"/>
    <cellStyle name="Normal 59 4" xfId="26419"/>
    <cellStyle name="Normal 6" xfId="26420"/>
    <cellStyle name="Normal 6 10" xfId="26421"/>
    <cellStyle name="Normal 6 11" xfId="26422"/>
    <cellStyle name="Normal 6 2" xfId="26423"/>
    <cellStyle name="Normal 6 2 10" xfId="26424"/>
    <cellStyle name="Normal 6 2 11" xfId="26425"/>
    <cellStyle name="Normal 6 2 11 2" xfId="26426"/>
    <cellStyle name="Normal 6 2 2" xfId="26427"/>
    <cellStyle name="Normal 6 2 2 2" xfId="26428"/>
    <cellStyle name="Normal 6 2 2 3" xfId="26429"/>
    <cellStyle name="Normal 6 2 2 4" xfId="26430"/>
    <cellStyle name="Normal 6 2 3" xfId="26431"/>
    <cellStyle name="Normal 6 2 3 2" xfId="26432"/>
    <cellStyle name="Normal 6 2 4" xfId="26433"/>
    <cellStyle name="Normal 6 2 5" xfId="26434"/>
    <cellStyle name="Normal 6 2 6" xfId="26435"/>
    <cellStyle name="Normal 6 2 7" xfId="26436"/>
    <cellStyle name="Normal 6 2 8" xfId="26437"/>
    <cellStyle name="Normal 6 2 9" xfId="26438"/>
    <cellStyle name="Normal 6 2_Report" xfId="26439"/>
    <cellStyle name="Normal 6 3" xfId="26440"/>
    <cellStyle name="Normal 6 3 10" xfId="26441"/>
    <cellStyle name="Normal 6 3 11" xfId="26442"/>
    <cellStyle name="Normal 6 3 11 2" xfId="26443"/>
    <cellStyle name="Normal 6 3 12" xfId="26444"/>
    <cellStyle name="Normal 6 3 2" xfId="26445"/>
    <cellStyle name="Normal 6 3 2 2" xfId="26446"/>
    <cellStyle name="Normal 6 3 3" xfId="26447"/>
    <cellStyle name="Normal 6 3 3 2" xfId="26448"/>
    <cellStyle name="Normal 6 3 4" xfId="26449"/>
    <cellStyle name="Normal 6 3 5" xfId="26450"/>
    <cellStyle name="Normal 6 3 6" xfId="26451"/>
    <cellStyle name="Normal 6 3 7" xfId="26452"/>
    <cellStyle name="Normal 6 3 8" xfId="26453"/>
    <cellStyle name="Normal 6 3 9" xfId="26454"/>
    <cellStyle name="Normal 6 3_Report" xfId="26455"/>
    <cellStyle name="Normal 6 4" xfId="26456"/>
    <cellStyle name="Normal 6 4 2" xfId="26457"/>
    <cellStyle name="Normal 6 5" xfId="26458"/>
    <cellStyle name="Normal 6 5 2" xfId="26459"/>
    <cellStyle name="Normal 6 6" xfId="26460"/>
    <cellStyle name="Normal 6 7" xfId="26461"/>
    <cellStyle name="Normal 6 7 2" xfId="26462"/>
    <cellStyle name="Normal 6 8" xfId="26463"/>
    <cellStyle name="Normal 6 8 2" xfId="26464"/>
    <cellStyle name="Normal 6 9" xfId="26465"/>
    <cellStyle name="Normal 60" xfId="26466"/>
    <cellStyle name="Normal 60 2" xfId="26467"/>
    <cellStyle name="Normal 60 2 2" xfId="26468"/>
    <cellStyle name="Normal 60 3" xfId="26469"/>
    <cellStyle name="Normal 60 3 2" xfId="26470"/>
    <cellStyle name="Normal 60 4" xfId="26471"/>
    <cellStyle name="Normal 61" xfId="26472"/>
    <cellStyle name="Normal 61 2" xfId="26473"/>
    <cellStyle name="Normal 61 2 2" xfId="26474"/>
    <cellStyle name="Normal 61 3" xfId="26475"/>
    <cellStyle name="Normal 61 3 2" xfId="26476"/>
    <cellStyle name="Normal 61 4" xfId="26477"/>
    <cellStyle name="Normal 62" xfId="26478"/>
    <cellStyle name="Normal 62 2" xfId="26479"/>
    <cellStyle name="Normal 62 2 2" xfId="26480"/>
    <cellStyle name="Normal 62 3" xfId="26481"/>
    <cellStyle name="Normal 62 3 2" xfId="26482"/>
    <cellStyle name="Normal 62 4" xfId="26483"/>
    <cellStyle name="Normal 63" xfId="26484"/>
    <cellStyle name="Normal 63 2" xfId="26485"/>
    <cellStyle name="Normal 63 2 2" xfId="26486"/>
    <cellStyle name="Normal 63 3" xfId="26487"/>
    <cellStyle name="Normal 63 3 2" xfId="26488"/>
    <cellStyle name="Normal 63 4" xfId="26489"/>
    <cellStyle name="Normal 64" xfId="26490"/>
    <cellStyle name="Normal 64 2" xfId="26491"/>
    <cellStyle name="Normal 64 2 2" xfId="26492"/>
    <cellStyle name="Normal 64 3" xfId="26493"/>
    <cellStyle name="Normal 64 3 2" xfId="26494"/>
    <cellStyle name="Normal 64 4" xfId="26495"/>
    <cellStyle name="Normal 65" xfId="26496"/>
    <cellStyle name="Normal 65 2" xfId="26497"/>
    <cellStyle name="Normal 65 2 2" xfId="26498"/>
    <cellStyle name="Normal 65 3" xfId="26499"/>
    <cellStyle name="Normal 65 3 2" xfId="26500"/>
    <cellStyle name="Normal 65 4" xfId="26501"/>
    <cellStyle name="Normal 66" xfId="26502"/>
    <cellStyle name="Normal 66 2" xfId="26503"/>
    <cellStyle name="Normal 66 2 2" xfId="26504"/>
    <cellStyle name="Normal 66 3" xfId="26505"/>
    <cellStyle name="Normal 66 3 2" xfId="26506"/>
    <cellStyle name="Normal 66 4" xfId="26507"/>
    <cellStyle name="Normal 67" xfId="26508"/>
    <cellStyle name="Normal 67 2" xfId="26509"/>
    <cellStyle name="Normal 67 2 2" xfId="26510"/>
    <cellStyle name="Normal 67 3" xfId="26511"/>
    <cellStyle name="Normal 67 3 2" xfId="26512"/>
    <cellStyle name="Normal 67 4" xfId="26513"/>
    <cellStyle name="Normal 68" xfId="26514"/>
    <cellStyle name="Normal 68 2" xfId="26515"/>
    <cellStyle name="Normal 68 2 2" xfId="26516"/>
    <cellStyle name="Normal 68 3" xfId="26517"/>
    <cellStyle name="Normal 68 3 2" xfId="26518"/>
    <cellStyle name="Normal 68 4" xfId="26519"/>
    <cellStyle name="Normal 69" xfId="26520"/>
    <cellStyle name="Normal 69 2" xfId="26521"/>
    <cellStyle name="Normal 69 2 2" xfId="26522"/>
    <cellStyle name="Normal 69 3" xfId="26523"/>
    <cellStyle name="Normal 69 3 2" xfId="26524"/>
    <cellStyle name="Normal 69 4" xfId="26525"/>
    <cellStyle name="Normal 7" xfId="26526"/>
    <cellStyle name="Normal 7 10" xfId="26527"/>
    <cellStyle name="Normal 7 11" xfId="26528"/>
    <cellStyle name="Normal 7 12" xfId="26529"/>
    <cellStyle name="Normal 7 12 2" xfId="26530"/>
    <cellStyle name="Normal 7 13" xfId="26531"/>
    <cellStyle name="Normal 7 14" xfId="26532"/>
    <cellStyle name="Normal 7 15" xfId="26533"/>
    <cellStyle name="Normal 7 16" xfId="26534"/>
    <cellStyle name="Normal 7 17" xfId="26535"/>
    <cellStyle name="Normal 7 18" xfId="26536"/>
    <cellStyle name="Normal 7 19" xfId="26537"/>
    <cellStyle name="Normal 7 2" xfId="26538"/>
    <cellStyle name="Normal 7 2 2" xfId="26539"/>
    <cellStyle name="Normal 7 2 2 2" xfId="26540"/>
    <cellStyle name="Normal 7 2 2 2 2" xfId="26541"/>
    <cellStyle name="Normal 7 2 2 3" xfId="26542"/>
    <cellStyle name="Normal 7 2 2 3 2" xfId="26543"/>
    <cellStyle name="Normal 7 2 2 4" xfId="26544"/>
    <cellStyle name="Normal 7 2 3" xfId="26545"/>
    <cellStyle name="Normal 7 2 3 2" xfId="26546"/>
    <cellStyle name="Normal 7 2 4" xfId="26547"/>
    <cellStyle name="Normal 7 2 4 2" xfId="26548"/>
    <cellStyle name="Normal 7 2 4 3" xfId="26549"/>
    <cellStyle name="Normal 7 2 5" xfId="26550"/>
    <cellStyle name="Normal 7 20" xfId="26551"/>
    <cellStyle name="Normal 7 21" xfId="26552"/>
    <cellStyle name="Normal 7 22" xfId="26553"/>
    <cellStyle name="Normal 7 23" xfId="26554"/>
    <cellStyle name="Normal 7 24" xfId="26555"/>
    <cellStyle name="Normal 7 25" xfId="26556"/>
    <cellStyle name="Normal 7 26" xfId="26557"/>
    <cellStyle name="Normal 7 27" xfId="26558"/>
    <cellStyle name="Normal 7 28" xfId="26559"/>
    <cellStyle name="Normal 7 29" xfId="26560"/>
    <cellStyle name="Normal 7 3" xfId="26561"/>
    <cellStyle name="Normal 7 3 10" xfId="26562"/>
    <cellStyle name="Normal 7 3 11" xfId="26563"/>
    <cellStyle name="Normal 7 3 12" xfId="26564"/>
    <cellStyle name="Normal 7 3 13" xfId="26565"/>
    <cellStyle name="Normal 7 3 14" xfId="26566"/>
    <cellStyle name="Normal 7 3 15" xfId="26567"/>
    <cellStyle name="Normal 7 3 16" xfId="26568"/>
    <cellStyle name="Normal 7 3 17" xfId="26569"/>
    <cellStyle name="Normal 7 3 18" xfId="26570"/>
    <cellStyle name="Normal 7 3 19" xfId="26571"/>
    <cellStyle name="Normal 7 3 2" xfId="26572"/>
    <cellStyle name="Normal 7 3 2 10" xfId="26573"/>
    <cellStyle name="Normal 7 3 2 11" xfId="26574"/>
    <cellStyle name="Normal 7 3 2 12" xfId="26575"/>
    <cellStyle name="Normal 7 3 2 13" xfId="26576"/>
    <cellStyle name="Normal 7 3 2 14" xfId="26577"/>
    <cellStyle name="Normal 7 3 2 15" xfId="26578"/>
    <cellStyle name="Normal 7 3 2 16" xfId="26579"/>
    <cellStyle name="Normal 7 3 2 17" xfId="26580"/>
    <cellStyle name="Normal 7 3 2 18" xfId="26581"/>
    <cellStyle name="Normal 7 3 2 19" xfId="26582"/>
    <cellStyle name="Normal 7 3 2 2" xfId="26583"/>
    <cellStyle name="Normal 7 3 2 20" xfId="26584"/>
    <cellStyle name="Normal 7 3 2 21" xfId="26585"/>
    <cellStyle name="Normal 7 3 2 22" xfId="26586"/>
    <cellStyle name="Normal 7 3 2 23" xfId="26587"/>
    <cellStyle name="Normal 7 3 2 24" xfId="26588"/>
    <cellStyle name="Normal 7 3 2 25" xfId="26589"/>
    <cellStyle name="Normal 7 3 2 26" xfId="26590"/>
    <cellStyle name="Normal 7 3 2 27" xfId="26591"/>
    <cellStyle name="Normal 7 3 2 28" xfId="26592"/>
    <cellStyle name="Normal 7 3 2 29" xfId="26593"/>
    <cellStyle name="Normal 7 3 2 3" xfId="26594"/>
    <cellStyle name="Normal 7 3 2 30" xfId="26595"/>
    <cellStyle name="Normal 7 3 2 4" xfId="26596"/>
    <cellStyle name="Normal 7 3 2 5" xfId="26597"/>
    <cellStyle name="Normal 7 3 2 6" xfId="26598"/>
    <cellStyle name="Normal 7 3 2 7" xfId="26599"/>
    <cellStyle name="Normal 7 3 2 8" xfId="26600"/>
    <cellStyle name="Normal 7 3 2 9" xfId="26601"/>
    <cellStyle name="Normal 7 3 20" xfId="26602"/>
    <cellStyle name="Normal 7 3 21" xfId="26603"/>
    <cellStyle name="Normal 7 3 22" xfId="26604"/>
    <cellStyle name="Normal 7 3 23" xfId="26605"/>
    <cellStyle name="Normal 7 3 24" xfId="26606"/>
    <cellStyle name="Normal 7 3 25" xfId="26607"/>
    <cellStyle name="Normal 7 3 26" xfId="26608"/>
    <cellStyle name="Normal 7 3 27" xfId="26609"/>
    <cellStyle name="Normal 7 3 28" xfId="26610"/>
    <cellStyle name="Normal 7 3 29" xfId="26611"/>
    <cellStyle name="Normal 7 3 3" xfId="26612"/>
    <cellStyle name="Normal 7 3 3 2" xfId="26613"/>
    <cellStyle name="Normal 7 3 30" xfId="26614"/>
    <cellStyle name="Normal 7 3 4" xfId="26615"/>
    <cellStyle name="Normal 7 3 5" xfId="26616"/>
    <cellStyle name="Normal 7 3 6" xfId="26617"/>
    <cellStyle name="Normal 7 3 7" xfId="26618"/>
    <cellStyle name="Normal 7 3 8" xfId="26619"/>
    <cellStyle name="Normal 7 3 9" xfId="26620"/>
    <cellStyle name="Normal 7 30" xfId="26621"/>
    <cellStyle name="Normal 7 31" xfId="26622"/>
    <cellStyle name="Normal 7 32" xfId="26623"/>
    <cellStyle name="Normal 7 33" xfId="26624"/>
    <cellStyle name="Normal 7 34" xfId="26625"/>
    <cellStyle name="Normal 7 35" xfId="26626"/>
    <cellStyle name="Normal 7 36" xfId="26627"/>
    <cellStyle name="Normal 7 37" xfId="26628"/>
    <cellStyle name="Normal 7 38" xfId="26629"/>
    <cellStyle name="Normal 7 4" xfId="26630"/>
    <cellStyle name="Normal 7 4 2" xfId="26631"/>
    <cellStyle name="Normal 7 4 3" xfId="26632"/>
    <cellStyle name="Normal 7 5" xfId="26633"/>
    <cellStyle name="Normal 7 5 2" xfId="26634"/>
    <cellStyle name="Normal 7 5 2 2" xfId="26635"/>
    <cellStyle name="Normal 7 5 3" xfId="26636"/>
    <cellStyle name="Normal 7 6" xfId="26637"/>
    <cellStyle name="Normal 7 6 2" xfId="26638"/>
    <cellStyle name="Normal 7 6 2 2" xfId="26639"/>
    <cellStyle name="Normal 7 6 3" xfId="26640"/>
    <cellStyle name="Normal 7 6 3 2" xfId="26641"/>
    <cellStyle name="Normal 7 6 4" xfId="26642"/>
    <cellStyle name="Normal 7 7" xfId="26643"/>
    <cellStyle name="Normal 7 7 2" xfId="26644"/>
    <cellStyle name="Normal 7 8" xfId="26645"/>
    <cellStyle name="Normal 7 9" xfId="26646"/>
    <cellStyle name="Normal 7_Forecast นิธิ ตราด 2011" xfId="26647"/>
    <cellStyle name="Normal 70" xfId="26648"/>
    <cellStyle name="Normal 70 2" xfId="26649"/>
    <cellStyle name="Normal 70 2 2" xfId="26650"/>
    <cellStyle name="Normal 70 3" xfId="26651"/>
    <cellStyle name="Normal 70 3 2" xfId="26652"/>
    <cellStyle name="Normal 70 4" xfId="26653"/>
    <cellStyle name="Normal 71" xfId="26654"/>
    <cellStyle name="Normal 71 2" xfId="26655"/>
    <cellStyle name="Normal 71 2 2" xfId="26656"/>
    <cellStyle name="Normal 71 3" xfId="26657"/>
    <cellStyle name="Normal 71 3 2" xfId="26658"/>
    <cellStyle name="Normal 71 4" xfId="26659"/>
    <cellStyle name="Normal 72" xfId="26660"/>
    <cellStyle name="Normal 72 2" xfId="26661"/>
    <cellStyle name="Normal 72 2 2" xfId="26662"/>
    <cellStyle name="Normal 72 3" xfId="26663"/>
    <cellStyle name="Normal 72 3 2" xfId="26664"/>
    <cellStyle name="Normal 72 4" xfId="26665"/>
    <cellStyle name="Normal 73" xfId="26666"/>
    <cellStyle name="Normal 73 2" xfId="26667"/>
    <cellStyle name="Normal 73 2 2" xfId="26668"/>
    <cellStyle name="Normal 73 3" xfId="26669"/>
    <cellStyle name="Normal 73 3 2" xfId="26670"/>
    <cellStyle name="Normal 73 4" xfId="26671"/>
    <cellStyle name="Normal 74" xfId="26672"/>
    <cellStyle name="Normal 74 2" xfId="26673"/>
    <cellStyle name="Normal 74 2 2" xfId="26674"/>
    <cellStyle name="Normal 74 3" xfId="26675"/>
    <cellStyle name="Normal 74 3 2" xfId="26676"/>
    <cellStyle name="Normal 74 4" xfId="26677"/>
    <cellStyle name="Normal 75" xfId="26678"/>
    <cellStyle name="Normal 75 2" xfId="26679"/>
    <cellStyle name="Normal 75 2 2" xfId="26680"/>
    <cellStyle name="Normal 75 3" xfId="26681"/>
    <cellStyle name="Normal 75 3 2" xfId="26682"/>
    <cellStyle name="Normal 75 4" xfId="26683"/>
    <cellStyle name="Normal 76" xfId="26684"/>
    <cellStyle name="Normal 76 2" xfId="26685"/>
    <cellStyle name="Normal 76 2 2" xfId="26686"/>
    <cellStyle name="Normal 76 3" xfId="26687"/>
    <cellStyle name="Normal 76 3 2" xfId="26688"/>
    <cellStyle name="Normal 76 4" xfId="26689"/>
    <cellStyle name="Normal 77" xfId="26690"/>
    <cellStyle name="Normal 77 2" xfId="26691"/>
    <cellStyle name="Normal 77 2 2" xfId="26692"/>
    <cellStyle name="Normal 77 3" xfId="26693"/>
    <cellStyle name="Normal 77 3 2" xfId="26694"/>
    <cellStyle name="Normal 77 4" xfId="26695"/>
    <cellStyle name="Normal 78" xfId="26696"/>
    <cellStyle name="Normal 78 2" xfId="26697"/>
    <cellStyle name="Normal 78 2 2" xfId="26698"/>
    <cellStyle name="Normal 78 3" xfId="26699"/>
    <cellStyle name="Normal 78 3 2" xfId="26700"/>
    <cellStyle name="Normal 78 4" xfId="26701"/>
    <cellStyle name="Normal 79" xfId="26702"/>
    <cellStyle name="Normal 79 2" xfId="26703"/>
    <cellStyle name="Normal 79 2 2" xfId="26704"/>
    <cellStyle name="Normal 79 3" xfId="26705"/>
    <cellStyle name="Normal 79 3 2" xfId="26706"/>
    <cellStyle name="Normal 79 4" xfId="26707"/>
    <cellStyle name="Normal 8" xfId="26708"/>
    <cellStyle name="Normal 8 10" xfId="26709"/>
    <cellStyle name="Normal 8 11" xfId="26710"/>
    <cellStyle name="Normal 8 11 2" xfId="26711"/>
    <cellStyle name="Normal 8 12" xfId="26712"/>
    <cellStyle name="Normal 8 2" xfId="26713"/>
    <cellStyle name="Normal 8 2 2" xfId="26714"/>
    <cellStyle name="Normal 8 2 2 2" xfId="26715"/>
    <cellStyle name="Normal 8 2 3" xfId="26716"/>
    <cellStyle name="Normal 8 2 3 2" xfId="26717"/>
    <cellStyle name="Normal 8 2 4" xfId="26718"/>
    <cellStyle name="Normal 8 2 4 2" xfId="26719"/>
    <cellStyle name="Normal 8 2 5" xfId="26720"/>
    <cellStyle name="Normal 8 3" xfId="26721"/>
    <cellStyle name="Normal 8 3 2" xfId="26722"/>
    <cellStyle name="Normal 8 3 2 2" xfId="26723"/>
    <cellStyle name="Normal 8 3 3" xfId="26724"/>
    <cellStyle name="Normal 8 3 3 2" xfId="26725"/>
    <cellStyle name="Normal 8 3 4" xfId="26726"/>
    <cellStyle name="Normal 8 3 4 2" xfId="26727"/>
    <cellStyle name="Normal 8 4" xfId="26728"/>
    <cellStyle name="Normal 8 4 2" xfId="26729"/>
    <cellStyle name="Normal 8 5" xfId="26730"/>
    <cellStyle name="Normal 8 5 2" xfId="26731"/>
    <cellStyle name="Normal 8 6" xfId="26732"/>
    <cellStyle name="Normal 8 7" xfId="26733"/>
    <cellStyle name="Normal 8 8" xfId="26734"/>
    <cellStyle name="Normal 8 9" xfId="26735"/>
    <cellStyle name="Normal 8_Report" xfId="26736"/>
    <cellStyle name="Normal 80" xfId="26737"/>
    <cellStyle name="Normal 80 2" xfId="26738"/>
    <cellStyle name="Normal 80 2 2" xfId="26739"/>
    <cellStyle name="Normal 80 3" xfId="26740"/>
    <cellStyle name="Normal 80 3 2" xfId="26741"/>
    <cellStyle name="Normal 80 4" xfId="26742"/>
    <cellStyle name="Normal 81" xfId="26743"/>
    <cellStyle name="Normal 81 2" xfId="26744"/>
    <cellStyle name="Normal 81 2 2" xfId="26745"/>
    <cellStyle name="Normal 81 3" xfId="26746"/>
    <cellStyle name="Normal 81 3 2" xfId="26747"/>
    <cellStyle name="Normal 81 4" xfId="26748"/>
    <cellStyle name="Normal 82" xfId="26749"/>
    <cellStyle name="Normal 82 2" xfId="26750"/>
    <cellStyle name="Normal 82 2 2" xfId="26751"/>
    <cellStyle name="Normal 82 3" xfId="26752"/>
    <cellStyle name="Normal 82 3 2" xfId="26753"/>
    <cellStyle name="Normal 82 4" xfId="26754"/>
    <cellStyle name="Normal 83" xfId="26755"/>
    <cellStyle name="Normal 83 2" xfId="26756"/>
    <cellStyle name="Normal 83 2 2" xfId="26757"/>
    <cellStyle name="Normal 83 3" xfId="26758"/>
    <cellStyle name="Normal 83 3 2" xfId="26759"/>
    <cellStyle name="Normal 83 4" xfId="26760"/>
    <cellStyle name="Normal 84" xfId="26761"/>
    <cellStyle name="Normal 84 2" xfId="26762"/>
    <cellStyle name="Normal 84 2 2" xfId="26763"/>
    <cellStyle name="Normal 84 3" xfId="26764"/>
    <cellStyle name="Normal 84 3 2" xfId="26765"/>
    <cellStyle name="Normal 84 4" xfId="26766"/>
    <cellStyle name="Normal 85" xfId="26767"/>
    <cellStyle name="Normal 85 2" xfId="26768"/>
    <cellStyle name="Normal 85 2 2" xfId="26769"/>
    <cellStyle name="Normal 85 3" xfId="26770"/>
    <cellStyle name="Normal 85 3 2" xfId="26771"/>
    <cellStyle name="Normal 85 4" xfId="26772"/>
    <cellStyle name="Normal 86" xfId="26773"/>
    <cellStyle name="Normal 86 2" xfId="26774"/>
    <cellStyle name="Normal 86 2 2" xfId="26775"/>
    <cellStyle name="Normal 86 3" xfId="26776"/>
    <cellStyle name="Normal 86 3 2" xfId="26777"/>
    <cellStyle name="Normal 86 4" xfId="26778"/>
    <cellStyle name="Normal 87" xfId="26779"/>
    <cellStyle name="Normal 87 2" xfId="26780"/>
    <cellStyle name="Normal 87 2 2" xfId="26781"/>
    <cellStyle name="Normal 87 3" xfId="26782"/>
    <cellStyle name="Normal 87 3 2" xfId="26783"/>
    <cellStyle name="Normal 87 4" xfId="26784"/>
    <cellStyle name="Normal 88" xfId="26785"/>
    <cellStyle name="Normal 88 2" xfId="26786"/>
    <cellStyle name="Normal 88 2 2" xfId="26787"/>
    <cellStyle name="Normal 88 3" xfId="26788"/>
    <cellStyle name="Normal 88 3 2" xfId="26789"/>
    <cellStyle name="Normal 88 4" xfId="26790"/>
    <cellStyle name="Normal 89" xfId="26791"/>
    <cellStyle name="Normal 89 2" xfId="26792"/>
    <cellStyle name="Normal 89 2 2" xfId="26793"/>
    <cellStyle name="Normal 89 3" xfId="26794"/>
    <cellStyle name="Normal 89 3 2" xfId="26795"/>
    <cellStyle name="Normal 89 4" xfId="26796"/>
    <cellStyle name="Normal 9" xfId="26797"/>
    <cellStyle name="Normal 9 2" xfId="26798"/>
    <cellStyle name="Normal 9 2 2" xfId="26799"/>
    <cellStyle name="Normal 9 2 2 2" xfId="26800"/>
    <cellStyle name="Normal 9 2 3" xfId="26801"/>
    <cellStyle name="Normal 9 2 3 2" xfId="26802"/>
    <cellStyle name="Normal 9 2 4" xfId="26803"/>
    <cellStyle name="Normal 9 2 5" xfId="26804"/>
    <cellStyle name="Normal 9 3" xfId="26805"/>
    <cellStyle name="Normal 9 3 2" xfId="26806"/>
    <cellStyle name="Normal 9 3 2 2" xfId="26807"/>
    <cellStyle name="Normal 9 3 3" xfId="26808"/>
    <cellStyle name="Normal 9 3 3 2" xfId="26809"/>
    <cellStyle name="Normal 9 3 4" xfId="26810"/>
    <cellStyle name="Normal 9 3 5" xfId="26811"/>
    <cellStyle name="Normal 9 4" xfId="26812"/>
    <cellStyle name="Normal 9 4 2" xfId="26813"/>
    <cellStyle name="Normal 9 5" xfId="26814"/>
    <cellStyle name="Normal 9 5 2" xfId="26815"/>
    <cellStyle name="Normal 9 6" xfId="26816"/>
    <cellStyle name="Normal 9 7" xfId="26817"/>
    <cellStyle name="Normal 90" xfId="26818"/>
    <cellStyle name="Normal 90 2" xfId="26819"/>
    <cellStyle name="Normal 90 2 2" xfId="26820"/>
    <cellStyle name="Normal 90 3" xfId="26821"/>
    <cellStyle name="Normal 90 3 2" xfId="26822"/>
    <cellStyle name="Normal 90 4" xfId="26823"/>
    <cellStyle name="Normal 91" xfId="26824"/>
    <cellStyle name="Normal 91 2" xfId="26825"/>
    <cellStyle name="Normal 91 2 2" xfId="26826"/>
    <cellStyle name="Normal 91 3" xfId="26827"/>
    <cellStyle name="Normal 91 3 2" xfId="26828"/>
    <cellStyle name="Normal 91 4" xfId="26829"/>
    <cellStyle name="Normal 92" xfId="26830"/>
    <cellStyle name="Normal 92 2" xfId="26831"/>
    <cellStyle name="Normal 92 2 2" xfId="26832"/>
    <cellStyle name="Normal 92 3" xfId="26833"/>
    <cellStyle name="Normal 92 3 2" xfId="26834"/>
    <cellStyle name="Normal 92 4" xfId="26835"/>
    <cellStyle name="Normal 93" xfId="26836"/>
    <cellStyle name="Normal 93 2" xfId="26837"/>
    <cellStyle name="Normal 93 2 2" xfId="26838"/>
    <cellStyle name="Normal 93 3" xfId="26839"/>
    <cellStyle name="Normal 93 3 2" xfId="26840"/>
    <cellStyle name="Normal 93 4" xfId="26841"/>
    <cellStyle name="Normal 94" xfId="26842"/>
    <cellStyle name="Normal 94 2" xfId="26843"/>
    <cellStyle name="Normal 94 2 2" xfId="26844"/>
    <cellStyle name="Normal 94 3" xfId="26845"/>
    <cellStyle name="Normal 94 3 2" xfId="26846"/>
    <cellStyle name="Normal 94 4" xfId="26847"/>
    <cellStyle name="Normal 95" xfId="26848"/>
    <cellStyle name="Normal 95 2" xfId="26849"/>
    <cellStyle name="Normal 95 2 2" xfId="26850"/>
    <cellStyle name="Normal 95 3" xfId="26851"/>
    <cellStyle name="Normal 95 3 2" xfId="26852"/>
    <cellStyle name="Normal 95 4" xfId="26853"/>
    <cellStyle name="Normal 96" xfId="26854"/>
    <cellStyle name="Normal 96 2" xfId="26855"/>
    <cellStyle name="Normal 96 2 2" xfId="26856"/>
    <cellStyle name="Normal 96 3" xfId="26857"/>
    <cellStyle name="Normal 96 3 2" xfId="26858"/>
    <cellStyle name="Normal 96 4" xfId="26859"/>
    <cellStyle name="Normal 97" xfId="26860"/>
    <cellStyle name="Normal 97 2" xfId="26861"/>
    <cellStyle name="Normal 97 2 2" xfId="26862"/>
    <cellStyle name="Normal 97 3" xfId="26863"/>
    <cellStyle name="Normal 97 3 2" xfId="26864"/>
    <cellStyle name="Normal 97 4" xfId="26865"/>
    <cellStyle name="Normal 98" xfId="26866"/>
    <cellStyle name="Normal 98 2" xfId="26867"/>
    <cellStyle name="Normal 98 2 2" xfId="26868"/>
    <cellStyle name="Normal 98 3" xfId="26869"/>
    <cellStyle name="Normal 98 3 2" xfId="26870"/>
    <cellStyle name="Normal 98 4" xfId="26871"/>
    <cellStyle name="Normal 99" xfId="26872"/>
    <cellStyle name="Normal 99 2" xfId="26873"/>
    <cellStyle name="Normal 99 2 2" xfId="26874"/>
    <cellStyle name="Normal 99 3" xfId="26875"/>
    <cellStyle name="Normal 99 3 2" xfId="26876"/>
    <cellStyle name="Normal 99 4" xfId="26877"/>
    <cellStyle name="Note 10" xfId="26878"/>
    <cellStyle name="Note 10 2" xfId="26879"/>
    <cellStyle name="Note 10 2 2" xfId="26880"/>
    <cellStyle name="Note 10 2 2 2" xfId="26881"/>
    <cellStyle name="Note 10 2 3" xfId="26882"/>
    <cellStyle name="Note 10 2 3 2" xfId="26883"/>
    <cellStyle name="Note 10 2 4" xfId="26884"/>
    <cellStyle name="Note 10 3" xfId="26885"/>
    <cellStyle name="Note 10 3 2" xfId="26886"/>
    <cellStyle name="Note 10 3 2 2" xfId="26887"/>
    <cellStyle name="Note 10 3 3" xfId="26888"/>
    <cellStyle name="Note 10 3 3 2" xfId="26889"/>
    <cellStyle name="Note 10 3 4" xfId="26890"/>
    <cellStyle name="Note 10 4" xfId="26891"/>
    <cellStyle name="Note 10 4 2" xfId="26892"/>
    <cellStyle name="Note 10 5" xfId="26893"/>
    <cellStyle name="Note 10 5 2" xfId="26894"/>
    <cellStyle name="Note 10 6" xfId="26895"/>
    <cellStyle name="Note 100" xfId="26896"/>
    <cellStyle name="Note 100 2" xfId="26897"/>
    <cellStyle name="Note 100 2 2" xfId="26898"/>
    <cellStyle name="Note 100 3" xfId="26899"/>
    <cellStyle name="Note 100 3 2" xfId="26900"/>
    <cellStyle name="Note 100 4" xfId="26901"/>
    <cellStyle name="Note 101" xfId="26902"/>
    <cellStyle name="Note 101 2" xfId="26903"/>
    <cellStyle name="Note 101 2 2" xfId="26904"/>
    <cellStyle name="Note 101 3" xfId="26905"/>
    <cellStyle name="Note 101 3 2" xfId="26906"/>
    <cellStyle name="Note 101 4" xfId="26907"/>
    <cellStyle name="Note 102" xfId="26908"/>
    <cellStyle name="Note 102 2" xfId="26909"/>
    <cellStyle name="Note 102 2 2" xfId="26910"/>
    <cellStyle name="Note 102 3" xfId="26911"/>
    <cellStyle name="Note 102 3 2" xfId="26912"/>
    <cellStyle name="Note 102 4" xfId="26913"/>
    <cellStyle name="Note 103" xfId="26914"/>
    <cellStyle name="Note 103 2" xfId="26915"/>
    <cellStyle name="Note 103 2 2" xfId="26916"/>
    <cellStyle name="Note 103 3" xfId="26917"/>
    <cellStyle name="Note 103 3 2" xfId="26918"/>
    <cellStyle name="Note 103 4" xfId="26919"/>
    <cellStyle name="Note 104" xfId="26920"/>
    <cellStyle name="Note 104 2" xfId="26921"/>
    <cellStyle name="Note 104 2 2" xfId="26922"/>
    <cellStyle name="Note 104 3" xfId="26923"/>
    <cellStyle name="Note 104 3 2" xfId="26924"/>
    <cellStyle name="Note 104 4" xfId="26925"/>
    <cellStyle name="Note 105" xfId="26926"/>
    <cellStyle name="Note 105 2" xfId="26927"/>
    <cellStyle name="Note 105 2 2" xfId="26928"/>
    <cellStyle name="Note 105 3" xfId="26929"/>
    <cellStyle name="Note 105 3 2" xfId="26930"/>
    <cellStyle name="Note 105 4" xfId="26931"/>
    <cellStyle name="Note 106" xfId="26932"/>
    <cellStyle name="Note 106 2" xfId="26933"/>
    <cellStyle name="Note 106 2 2" xfId="26934"/>
    <cellStyle name="Note 106 3" xfId="26935"/>
    <cellStyle name="Note 106 3 2" xfId="26936"/>
    <cellStyle name="Note 106 4" xfId="26937"/>
    <cellStyle name="Note 107" xfId="26938"/>
    <cellStyle name="Note 107 2" xfId="26939"/>
    <cellStyle name="Note 107 2 2" xfId="26940"/>
    <cellStyle name="Note 107 3" xfId="26941"/>
    <cellStyle name="Note 107 3 2" xfId="26942"/>
    <cellStyle name="Note 107 4" xfId="26943"/>
    <cellStyle name="Note 108" xfId="26944"/>
    <cellStyle name="Note 108 2" xfId="26945"/>
    <cellStyle name="Note 108 2 2" xfId="26946"/>
    <cellStyle name="Note 108 3" xfId="26947"/>
    <cellStyle name="Note 108 3 2" xfId="26948"/>
    <cellStyle name="Note 108 4" xfId="26949"/>
    <cellStyle name="Note 109" xfId="26950"/>
    <cellStyle name="Note 109 2" xfId="26951"/>
    <cellStyle name="Note 109 2 2" xfId="26952"/>
    <cellStyle name="Note 109 3" xfId="26953"/>
    <cellStyle name="Note 109 3 2" xfId="26954"/>
    <cellStyle name="Note 109 4" xfId="26955"/>
    <cellStyle name="Note 11" xfId="26956"/>
    <cellStyle name="Note 11 2" xfId="26957"/>
    <cellStyle name="Note 11 2 2" xfId="26958"/>
    <cellStyle name="Note 11 2 2 2" xfId="26959"/>
    <cellStyle name="Note 11 2 3" xfId="26960"/>
    <cellStyle name="Note 11 2 3 2" xfId="26961"/>
    <cellStyle name="Note 11 2 4" xfId="26962"/>
    <cellStyle name="Note 11 3" xfId="26963"/>
    <cellStyle name="Note 11 3 2" xfId="26964"/>
    <cellStyle name="Note 11 3 2 2" xfId="26965"/>
    <cellStyle name="Note 11 3 3" xfId="26966"/>
    <cellStyle name="Note 11 3 3 2" xfId="26967"/>
    <cellStyle name="Note 11 3 4" xfId="26968"/>
    <cellStyle name="Note 11 4" xfId="26969"/>
    <cellStyle name="Note 11 4 2" xfId="26970"/>
    <cellStyle name="Note 11 5" xfId="26971"/>
    <cellStyle name="Note 11 5 2" xfId="26972"/>
    <cellStyle name="Note 11 6" xfId="26973"/>
    <cellStyle name="Note 110" xfId="26974"/>
    <cellStyle name="Note 110 2" xfId="26975"/>
    <cellStyle name="Note 110 2 2" xfId="26976"/>
    <cellStyle name="Note 110 3" xfId="26977"/>
    <cellStyle name="Note 110 3 2" xfId="26978"/>
    <cellStyle name="Note 110 4" xfId="26979"/>
    <cellStyle name="Note 111" xfId="26980"/>
    <cellStyle name="Note 111 2" xfId="26981"/>
    <cellStyle name="Note 111 2 2" xfId="26982"/>
    <cellStyle name="Note 111 3" xfId="26983"/>
    <cellStyle name="Note 111 3 2" xfId="26984"/>
    <cellStyle name="Note 111 4" xfId="26985"/>
    <cellStyle name="Note 112" xfId="26986"/>
    <cellStyle name="Note 112 2" xfId="26987"/>
    <cellStyle name="Note 112 2 2" xfId="26988"/>
    <cellStyle name="Note 112 3" xfId="26989"/>
    <cellStyle name="Note 112 3 2" xfId="26990"/>
    <cellStyle name="Note 112 4" xfId="26991"/>
    <cellStyle name="Note 113" xfId="26992"/>
    <cellStyle name="Note 113 2" xfId="26993"/>
    <cellStyle name="Note 113 2 2" xfId="26994"/>
    <cellStyle name="Note 113 3" xfId="26995"/>
    <cellStyle name="Note 113 3 2" xfId="26996"/>
    <cellStyle name="Note 113 4" xfId="26997"/>
    <cellStyle name="Note 114" xfId="26998"/>
    <cellStyle name="Note 114 2" xfId="26999"/>
    <cellStyle name="Note 114 2 2" xfId="27000"/>
    <cellStyle name="Note 114 3" xfId="27001"/>
    <cellStyle name="Note 114 3 2" xfId="27002"/>
    <cellStyle name="Note 114 4" xfId="27003"/>
    <cellStyle name="Note 115" xfId="27004"/>
    <cellStyle name="Note 115 2" xfId="27005"/>
    <cellStyle name="Note 115 2 2" xfId="27006"/>
    <cellStyle name="Note 115 3" xfId="27007"/>
    <cellStyle name="Note 115 3 2" xfId="27008"/>
    <cellStyle name="Note 115 4" xfId="27009"/>
    <cellStyle name="Note 116" xfId="27010"/>
    <cellStyle name="Note 116 2" xfId="27011"/>
    <cellStyle name="Note 116 2 2" xfId="27012"/>
    <cellStyle name="Note 116 3" xfId="27013"/>
    <cellStyle name="Note 116 3 2" xfId="27014"/>
    <cellStyle name="Note 116 4" xfId="27015"/>
    <cellStyle name="Note 117" xfId="27016"/>
    <cellStyle name="Note 117 2" xfId="27017"/>
    <cellStyle name="Note 117 2 2" xfId="27018"/>
    <cellStyle name="Note 117 3" xfId="27019"/>
    <cellStyle name="Note 117 3 2" xfId="27020"/>
    <cellStyle name="Note 117 4" xfId="27021"/>
    <cellStyle name="Note 118" xfId="27022"/>
    <cellStyle name="Note 118 2" xfId="27023"/>
    <cellStyle name="Note 118 2 2" xfId="27024"/>
    <cellStyle name="Note 118 3" xfId="27025"/>
    <cellStyle name="Note 118 3 2" xfId="27026"/>
    <cellStyle name="Note 118 4" xfId="27027"/>
    <cellStyle name="Note 119" xfId="27028"/>
    <cellStyle name="Note 119 2" xfId="27029"/>
    <cellStyle name="Note 119 2 2" xfId="27030"/>
    <cellStyle name="Note 119 3" xfId="27031"/>
    <cellStyle name="Note 119 3 2" xfId="27032"/>
    <cellStyle name="Note 119 4" xfId="27033"/>
    <cellStyle name="Note 12" xfId="27034"/>
    <cellStyle name="Note 12 2" xfId="27035"/>
    <cellStyle name="Note 12 2 2" xfId="27036"/>
    <cellStyle name="Note 12 2 2 2" xfId="27037"/>
    <cellStyle name="Note 12 2 3" xfId="27038"/>
    <cellStyle name="Note 12 2 3 2" xfId="27039"/>
    <cellStyle name="Note 12 2 4" xfId="27040"/>
    <cellStyle name="Note 12 3" xfId="27041"/>
    <cellStyle name="Note 12 3 2" xfId="27042"/>
    <cellStyle name="Note 12 3 2 2" xfId="27043"/>
    <cellStyle name="Note 12 3 3" xfId="27044"/>
    <cellStyle name="Note 12 3 3 2" xfId="27045"/>
    <cellStyle name="Note 12 3 4" xfId="27046"/>
    <cellStyle name="Note 12 4" xfId="27047"/>
    <cellStyle name="Note 12 4 2" xfId="27048"/>
    <cellStyle name="Note 12 5" xfId="27049"/>
    <cellStyle name="Note 12 5 2" xfId="27050"/>
    <cellStyle name="Note 12 6" xfId="27051"/>
    <cellStyle name="Note 120" xfId="27052"/>
    <cellStyle name="Note 120 2" xfId="27053"/>
    <cellStyle name="Note 120 2 2" xfId="27054"/>
    <cellStyle name="Note 120 3" xfId="27055"/>
    <cellStyle name="Note 120 3 2" xfId="27056"/>
    <cellStyle name="Note 120 4" xfId="27057"/>
    <cellStyle name="Note 121" xfId="27058"/>
    <cellStyle name="Note 121 2" xfId="27059"/>
    <cellStyle name="Note 121 2 2" xfId="27060"/>
    <cellStyle name="Note 121 3" xfId="27061"/>
    <cellStyle name="Note 121 3 2" xfId="27062"/>
    <cellStyle name="Note 121 4" xfId="27063"/>
    <cellStyle name="Note 122" xfId="27064"/>
    <cellStyle name="Note 122 2" xfId="27065"/>
    <cellStyle name="Note 122 2 2" xfId="27066"/>
    <cellStyle name="Note 122 3" xfId="27067"/>
    <cellStyle name="Note 122 3 2" xfId="27068"/>
    <cellStyle name="Note 122 4" xfId="27069"/>
    <cellStyle name="Note 123" xfId="27070"/>
    <cellStyle name="Note 123 2" xfId="27071"/>
    <cellStyle name="Note 123 2 2" xfId="27072"/>
    <cellStyle name="Note 123 3" xfId="27073"/>
    <cellStyle name="Note 123 3 2" xfId="27074"/>
    <cellStyle name="Note 123 4" xfId="27075"/>
    <cellStyle name="Note 124" xfId="27076"/>
    <cellStyle name="Note 124 2" xfId="27077"/>
    <cellStyle name="Note 124 2 2" xfId="27078"/>
    <cellStyle name="Note 124 3" xfId="27079"/>
    <cellStyle name="Note 124 3 2" xfId="27080"/>
    <cellStyle name="Note 124 4" xfId="27081"/>
    <cellStyle name="Note 125" xfId="27082"/>
    <cellStyle name="Note 125 2" xfId="27083"/>
    <cellStyle name="Note 125 2 2" xfId="27084"/>
    <cellStyle name="Note 125 3" xfId="27085"/>
    <cellStyle name="Note 125 3 2" xfId="27086"/>
    <cellStyle name="Note 125 4" xfId="27087"/>
    <cellStyle name="Note 126" xfId="27088"/>
    <cellStyle name="Note 126 2" xfId="27089"/>
    <cellStyle name="Note 126 2 2" xfId="27090"/>
    <cellStyle name="Note 126 3" xfId="27091"/>
    <cellStyle name="Note 126 3 2" xfId="27092"/>
    <cellStyle name="Note 126 4" xfId="27093"/>
    <cellStyle name="Note 127" xfId="27094"/>
    <cellStyle name="Note 127 2" xfId="27095"/>
    <cellStyle name="Note 127 2 2" xfId="27096"/>
    <cellStyle name="Note 127 3" xfId="27097"/>
    <cellStyle name="Note 127 3 2" xfId="27098"/>
    <cellStyle name="Note 127 4" xfId="27099"/>
    <cellStyle name="Note 128" xfId="27100"/>
    <cellStyle name="Note 128 2" xfId="27101"/>
    <cellStyle name="Note 128 2 2" xfId="27102"/>
    <cellStyle name="Note 128 3" xfId="27103"/>
    <cellStyle name="Note 128 3 2" xfId="27104"/>
    <cellStyle name="Note 128 4" xfId="27105"/>
    <cellStyle name="Note 129" xfId="27106"/>
    <cellStyle name="Note 129 2" xfId="27107"/>
    <cellStyle name="Note 129 2 2" xfId="27108"/>
    <cellStyle name="Note 129 3" xfId="27109"/>
    <cellStyle name="Note 129 3 2" xfId="27110"/>
    <cellStyle name="Note 129 4" xfId="27111"/>
    <cellStyle name="Note 13" xfId="27112"/>
    <cellStyle name="Note 13 2" xfId="27113"/>
    <cellStyle name="Note 13 2 2" xfId="27114"/>
    <cellStyle name="Note 13 2 2 2" xfId="27115"/>
    <cellStyle name="Note 13 2 3" xfId="27116"/>
    <cellStyle name="Note 13 2 3 2" xfId="27117"/>
    <cellStyle name="Note 13 2 4" xfId="27118"/>
    <cellStyle name="Note 13 3" xfId="27119"/>
    <cellStyle name="Note 13 3 2" xfId="27120"/>
    <cellStyle name="Note 13 3 2 2" xfId="27121"/>
    <cellStyle name="Note 13 3 3" xfId="27122"/>
    <cellStyle name="Note 13 3 3 2" xfId="27123"/>
    <cellStyle name="Note 13 3 4" xfId="27124"/>
    <cellStyle name="Note 13 4" xfId="27125"/>
    <cellStyle name="Note 13 4 2" xfId="27126"/>
    <cellStyle name="Note 13 5" xfId="27127"/>
    <cellStyle name="Note 13 5 2" xfId="27128"/>
    <cellStyle name="Note 13 6" xfId="27129"/>
    <cellStyle name="Note 130" xfId="27130"/>
    <cellStyle name="Note 130 2" xfId="27131"/>
    <cellStyle name="Note 130 2 2" xfId="27132"/>
    <cellStyle name="Note 130 3" xfId="27133"/>
    <cellStyle name="Note 130 3 2" xfId="27134"/>
    <cellStyle name="Note 130 4" xfId="27135"/>
    <cellStyle name="Note 131" xfId="27136"/>
    <cellStyle name="Note 131 2" xfId="27137"/>
    <cellStyle name="Note 131 2 2" xfId="27138"/>
    <cellStyle name="Note 131 3" xfId="27139"/>
    <cellStyle name="Note 131 3 2" xfId="27140"/>
    <cellStyle name="Note 131 4" xfId="27141"/>
    <cellStyle name="Note 132" xfId="27142"/>
    <cellStyle name="Note 132 2" xfId="27143"/>
    <cellStyle name="Note 132 2 2" xfId="27144"/>
    <cellStyle name="Note 132 3" xfId="27145"/>
    <cellStyle name="Note 132 3 2" xfId="27146"/>
    <cellStyle name="Note 132 4" xfId="27147"/>
    <cellStyle name="Note 133" xfId="27148"/>
    <cellStyle name="Note 133 2" xfId="27149"/>
    <cellStyle name="Note 133 2 2" xfId="27150"/>
    <cellStyle name="Note 133 3" xfId="27151"/>
    <cellStyle name="Note 133 3 2" xfId="27152"/>
    <cellStyle name="Note 133 4" xfId="27153"/>
    <cellStyle name="Note 134" xfId="27154"/>
    <cellStyle name="Note 134 2" xfId="27155"/>
    <cellStyle name="Note 134 2 2" xfId="27156"/>
    <cellStyle name="Note 134 3" xfId="27157"/>
    <cellStyle name="Note 134 3 2" xfId="27158"/>
    <cellStyle name="Note 134 4" xfId="27159"/>
    <cellStyle name="Note 135" xfId="27160"/>
    <cellStyle name="Note 135 2" xfId="27161"/>
    <cellStyle name="Note 135 2 2" xfId="27162"/>
    <cellStyle name="Note 135 3" xfId="27163"/>
    <cellStyle name="Note 135 3 2" xfId="27164"/>
    <cellStyle name="Note 135 4" xfId="27165"/>
    <cellStyle name="Note 136" xfId="27166"/>
    <cellStyle name="Note 136 2" xfId="27167"/>
    <cellStyle name="Note 136 2 2" xfId="27168"/>
    <cellStyle name="Note 136 3" xfId="27169"/>
    <cellStyle name="Note 136 3 2" xfId="27170"/>
    <cellStyle name="Note 136 4" xfId="27171"/>
    <cellStyle name="Note 137" xfId="27172"/>
    <cellStyle name="Note 137 2" xfId="27173"/>
    <cellStyle name="Note 137 2 2" xfId="27174"/>
    <cellStyle name="Note 137 3" xfId="27175"/>
    <cellStyle name="Note 137 3 2" xfId="27176"/>
    <cellStyle name="Note 137 4" xfId="27177"/>
    <cellStyle name="Note 138" xfId="27178"/>
    <cellStyle name="Note 138 2" xfId="27179"/>
    <cellStyle name="Note 138 2 2" xfId="27180"/>
    <cellStyle name="Note 138 3" xfId="27181"/>
    <cellStyle name="Note 138 3 2" xfId="27182"/>
    <cellStyle name="Note 138 4" xfId="27183"/>
    <cellStyle name="Note 139" xfId="27184"/>
    <cellStyle name="Note 139 2" xfId="27185"/>
    <cellStyle name="Note 139 2 2" xfId="27186"/>
    <cellStyle name="Note 139 3" xfId="27187"/>
    <cellStyle name="Note 139 3 2" xfId="27188"/>
    <cellStyle name="Note 139 4" xfId="27189"/>
    <cellStyle name="Note 14" xfId="27190"/>
    <cellStyle name="Note 14 2" xfId="27191"/>
    <cellStyle name="Note 14 2 2" xfId="27192"/>
    <cellStyle name="Note 14 2 2 2" xfId="27193"/>
    <cellStyle name="Note 14 2 3" xfId="27194"/>
    <cellStyle name="Note 14 2 3 2" xfId="27195"/>
    <cellStyle name="Note 14 2 4" xfId="27196"/>
    <cellStyle name="Note 14 3" xfId="27197"/>
    <cellStyle name="Note 14 3 2" xfId="27198"/>
    <cellStyle name="Note 14 3 2 2" xfId="27199"/>
    <cellStyle name="Note 14 3 3" xfId="27200"/>
    <cellStyle name="Note 14 3 3 2" xfId="27201"/>
    <cellStyle name="Note 14 3 4" xfId="27202"/>
    <cellStyle name="Note 14 4" xfId="27203"/>
    <cellStyle name="Note 14 4 2" xfId="27204"/>
    <cellStyle name="Note 14 5" xfId="27205"/>
    <cellStyle name="Note 14 5 2" xfId="27206"/>
    <cellStyle name="Note 14 6" xfId="27207"/>
    <cellStyle name="Note 140" xfId="27208"/>
    <cellStyle name="Note 140 2" xfId="27209"/>
    <cellStyle name="Note 140 2 2" xfId="27210"/>
    <cellStyle name="Note 140 3" xfId="27211"/>
    <cellStyle name="Note 140 3 2" xfId="27212"/>
    <cellStyle name="Note 140 4" xfId="27213"/>
    <cellStyle name="Note 141" xfId="27214"/>
    <cellStyle name="Note 141 2" xfId="27215"/>
    <cellStyle name="Note 141 2 2" xfId="27216"/>
    <cellStyle name="Note 141 3" xfId="27217"/>
    <cellStyle name="Note 141 3 2" xfId="27218"/>
    <cellStyle name="Note 141 4" xfId="27219"/>
    <cellStyle name="Note 142" xfId="27220"/>
    <cellStyle name="Note 142 2" xfId="27221"/>
    <cellStyle name="Note 142 2 2" xfId="27222"/>
    <cellStyle name="Note 142 3" xfId="27223"/>
    <cellStyle name="Note 142 3 2" xfId="27224"/>
    <cellStyle name="Note 142 4" xfId="27225"/>
    <cellStyle name="Note 143" xfId="27226"/>
    <cellStyle name="Note 143 2" xfId="27227"/>
    <cellStyle name="Note 143 2 2" xfId="27228"/>
    <cellStyle name="Note 143 3" xfId="27229"/>
    <cellStyle name="Note 143 3 2" xfId="27230"/>
    <cellStyle name="Note 143 4" xfId="27231"/>
    <cellStyle name="Note 144" xfId="27232"/>
    <cellStyle name="Note 144 2" xfId="27233"/>
    <cellStyle name="Note 144 2 2" xfId="27234"/>
    <cellStyle name="Note 144 3" xfId="27235"/>
    <cellStyle name="Note 144 3 2" xfId="27236"/>
    <cellStyle name="Note 144 4" xfId="27237"/>
    <cellStyle name="Note 145" xfId="27238"/>
    <cellStyle name="Note 145 2" xfId="27239"/>
    <cellStyle name="Note 145 2 2" xfId="27240"/>
    <cellStyle name="Note 145 3" xfId="27241"/>
    <cellStyle name="Note 145 3 2" xfId="27242"/>
    <cellStyle name="Note 145 4" xfId="27243"/>
    <cellStyle name="Note 146" xfId="27244"/>
    <cellStyle name="Note 146 2" xfId="27245"/>
    <cellStyle name="Note 146 2 2" xfId="27246"/>
    <cellStyle name="Note 146 3" xfId="27247"/>
    <cellStyle name="Note 146 3 2" xfId="27248"/>
    <cellStyle name="Note 146 4" xfId="27249"/>
    <cellStyle name="Note 147" xfId="27250"/>
    <cellStyle name="Note 147 2" xfId="27251"/>
    <cellStyle name="Note 147 2 2" xfId="27252"/>
    <cellStyle name="Note 147 3" xfId="27253"/>
    <cellStyle name="Note 147 3 2" xfId="27254"/>
    <cellStyle name="Note 147 4" xfId="27255"/>
    <cellStyle name="Note 148" xfId="27256"/>
    <cellStyle name="Note 148 2" xfId="27257"/>
    <cellStyle name="Note 148 2 2" xfId="27258"/>
    <cellStyle name="Note 148 3" xfId="27259"/>
    <cellStyle name="Note 148 3 2" xfId="27260"/>
    <cellStyle name="Note 148 4" xfId="27261"/>
    <cellStyle name="Note 149" xfId="27262"/>
    <cellStyle name="Note 149 2" xfId="27263"/>
    <cellStyle name="Note 149 2 2" xfId="27264"/>
    <cellStyle name="Note 149 3" xfId="27265"/>
    <cellStyle name="Note 149 3 2" xfId="27266"/>
    <cellStyle name="Note 149 4" xfId="27267"/>
    <cellStyle name="Note 15" xfId="27268"/>
    <cellStyle name="Note 15 2" xfId="27269"/>
    <cellStyle name="Note 15 2 2" xfId="27270"/>
    <cellStyle name="Note 15 2 2 2" xfId="27271"/>
    <cellStyle name="Note 15 2 3" xfId="27272"/>
    <cellStyle name="Note 15 2 3 2" xfId="27273"/>
    <cellStyle name="Note 15 2 4" xfId="27274"/>
    <cellStyle name="Note 15 3" xfId="27275"/>
    <cellStyle name="Note 15 3 2" xfId="27276"/>
    <cellStyle name="Note 15 3 2 2" xfId="27277"/>
    <cellStyle name="Note 15 3 3" xfId="27278"/>
    <cellStyle name="Note 15 3 3 2" xfId="27279"/>
    <cellStyle name="Note 15 3 4" xfId="27280"/>
    <cellStyle name="Note 15 4" xfId="27281"/>
    <cellStyle name="Note 15 4 2" xfId="27282"/>
    <cellStyle name="Note 15 5" xfId="27283"/>
    <cellStyle name="Note 15 5 2" xfId="27284"/>
    <cellStyle name="Note 15 6" xfId="27285"/>
    <cellStyle name="Note 150" xfId="27286"/>
    <cellStyle name="Note 150 2" xfId="27287"/>
    <cellStyle name="Note 150 2 2" xfId="27288"/>
    <cellStyle name="Note 150 3" xfId="27289"/>
    <cellStyle name="Note 150 3 2" xfId="27290"/>
    <cellStyle name="Note 150 4" xfId="27291"/>
    <cellStyle name="Note 151" xfId="27292"/>
    <cellStyle name="Note 151 2" xfId="27293"/>
    <cellStyle name="Note 151 2 2" xfId="27294"/>
    <cellStyle name="Note 151 3" xfId="27295"/>
    <cellStyle name="Note 151 3 2" xfId="27296"/>
    <cellStyle name="Note 151 4" xfId="27297"/>
    <cellStyle name="Note 152" xfId="27298"/>
    <cellStyle name="Note 152 2" xfId="27299"/>
    <cellStyle name="Note 152 2 2" xfId="27300"/>
    <cellStyle name="Note 152 3" xfId="27301"/>
    <cellStyle name="Note 152 3 2" xfId="27302"/>
    <cellStyle name="Note 152 4" xfId="27303"/>
    <cellStyle name="Note 153" xfId="27304"/>
    <cellStyle name="Note 153 2" xfId="27305"/>
    <cellStyle name="Note 153 2 2" xfId="27306"/>
    <cellStyle name="Note 153 3" xfId="27307"/>
    <cellStyle name="Note 153 3 2" xfId="27308"/>
    <cellStyle name="Note 153 4" xfId="27309"/>
    <cellStyle name="Note 154" xfId="27310"/>
    <cellStyle name="Note 154 2" xfId="27311"/>
    <cellStyle name="Note 154 2 2" xfId="27312"/>
    <cellStyle name="Note 154 3" xfId="27313"/>
    <cellStyle name="Note 154 3 2" xfId="27314"/>
    <cellStyle name="Note 154 4" xfId="27315"/>
    <cellStyle name="Note 155" xfId="27316"/>
    <cellStyle name="Note 155 2" xfId="27317"/>
    <cellStyle name="Note 155 2 2" xfId="27318"/>
    <cellStyle name="Note 155 3" xfId="27319"/>
    <cellStyle name="Note 155 3 2" xfId="27320"/>
    <cellStyle name="Note 155 4" xfId="27321"/>
    <cellStyle name="Note 156" xfId="27322"/>
    <cellStyle name="Note 156 2" xfId="27323"/>
    <cellStyle name="Note 156 2 2" xfId="27324"/>
    <cellStyle name="Note 156 3" xfId="27325"/>
    <cellStyle name="Note 156 3 2" xfId="27326"/>
    <cellStyle name="Note 156 4" xfId="27327"/>
    <cellStyle name="Note 157" xfId="27328"/>
    <cellStyle name="Note 157 2" xfId="27329"/>
    <cellStyle name="Note 157 2 2" xfId="27330"/>
    <cellStyle name="Note 157 3" xfId="27331"/>
    <cellStyle name="Note 157 3 2" xfId="27332"/>
    <cellStyle name="Note 157 4" xfId="27333"/>
    <cellStyle name="Note 158" xfId="27334"/>
    <cellStyle name="Note 158 2" xfId="27335"/>
    <cellStyle name="Note 158 2 2" xfId="27336"/>
    <cellStyle name="Note 158 3" xfId="27337"/>
    <cellStyle name="Note 158 3 2" xfId="27338"/>
    <cellStyle name="Note 158 4" xfId="27339"/>
    <cellStyle name="Note 159" xfId="27340"/>
    <cellStyle name="Note 159 2" xfId="27341"/>
    <cellStyle name="Note 159 2 2" xfId="27342"/>
    <cellStyle name="Note 159 3" xfId="27343"/>
    <cellStyle name="Note 159 3 2" xfId="27344"/>
    <cellStyle name="Note 159 4" xfId="27345"/>
    <cellStyle name="Note 16" xfId="27346"/>
    <cellStyle name="Note 16 2" xfId="27347"/>
    <cellStyle name="Note 16 2 2" xfId="27348"/>
    <cellStyle name="Note 16 2 2 2" xfId="27349"/>
    <cellStyle name="Note 16 2 3" xfId="27350"/>
    <cellStyle name="Note 16 2 3 2" xfId="27351"/>
    <cellStyle name="Note 16 2 4" xfId="27352"/>
    <cellStyle name="Note 16 3" xfId="27353"/>
    <cellStyle name="Note 16 3 2" xfId="27354"/>
    <cellStyle name="Note 16 3 2 2" xfId="27355"/>
    <cellStyle name="Note 16 3 3" xfId="27356"/>
    <cellStyle name="Note 16 3 3 2" xfId="27357"/>
    <cellStyle name="Note 16 3 4" xfId="27358"/>
    <cellStyle name="Note 16 4" xfId="27359"/>
    <cellStyle name="Note 16 4 2" xfId="27360"/>
    <cellStyle name="Note 16 5" xfId="27361"/>
    <cellStyle name="Note 16 5 2" xfId="27362"/>
    <cellStyle name="Note 16 6" xfId="27363"/>
    <cellStyle name="Note 160" xfId="27364"/>
    <cellStyle name="Note 160 2" xfId="27365"/>
    <cellStyle name="Note 160 2 2" xfId="27366"/>
    <cellStyle name="Note 160 3" xfId="27367"/>
    <cellStyle name="Note 160 3 2" xfId="27368"/>
    <cellStyle name="Note 160 4" xfId="27369"/>
    <cellStyle name="Note 161" xfId="27370"/>
    <cellStyle name="Note 161 2" xfId="27371"/>
    <cellStyle name="Note 161 2 2" xfId="27372"/>
    <cellStyle name="Note 161 3" xfId="27373"/>
    <cellStyle name="Note 161 3 2" xfId="27374"/>
    <cellStyle name="Note 161 4" xfId="27375"/>
    <cellStyle name="Note 162" xfId="27376"/>
    <cellStyle name="Note 162 2" xfId="27377"/>
    <cellStyle name="Note 162 2 2" xfId="27378"/>
    <cellStyle name="Note 162 3" xfId="27379"/>
    <cellStyle name="Note 162 3 2" xfId="27380"/>
    <cellStyle name="Note 162 4" xfId="27381"/>
    <cellStyle name="Note 163" xfId="27382"/>
    <cellStyle name="Note 163 2" xfId="27383"/>
    <cellStyle name="Note 163 2 2" xfId="27384"/>
    <cellStyle name="Note 163 3" xfId="27385"/>
    <cellStyle name="Note 163 3 2" xfId="27386"/>
    <cellStyle name="Note 163 4" xfId="27387"/>
    <cellStyle name="Note 164" xfId="27388"/>
    <cellStyle name="Note 164 2" xfId="27389"/>
    <cellStyle name="Note 164 2 2" xfId="27390"/>
    <cellStyle name="Note 164 3" xfId="27391"/>
    <cellStyle name="Note 164 3 2" xfId="27392"/>
    <cellStyle name="Note 164 4" xfId="27393"/>
    <cellStyle name="Note 165" xfId="27394"/>
    <cellStyle name="Note 165 2" xfId="27395"/>
    <cellStyle name="Note 165 2 2" xfId="27396"/>
    <cellStyle name="Note 165 3" xfId="27397"/>
    <cellStyle name="Note 165 3 2" xfId="27398"/>
    <cellStyle name="Note 165 4" xfId="27399"/>
    <cellStyle name="Note 166" xfId="27400"/>
    <cellStyle name="Note 166 2" xfId="27401"/>
    <cellStyle name="Note 166 2 2" xfId="27402"/>
    <cellStyle name="Note 166 3" xfId="27403"/>
    <cellStyle name="Note 166 3 2" xfId="27404"/>
    <cellStyle name="Note 166 4" xfId="27405"/>
    <cellStyle name="Note 167" xfId="27406"/>
    <cellStyle name="Note 167 2" xfId="27407"/>
    <cellStyle name="Note 167 2 2" xfId="27408"/>
    <cellStyle name="Note 167 3" xfId="27409"/>
    <cellStyle name="Note 167 3 2" xfId="27410"/>
    <cellStyle name="Note 167 4" xfId="27411"/>
    <cellStyle name="Note 168" xfId="27412"/>
    <cellStyle name="Note 168 2" xfId="27413"/>
    <cellStyle name="Note 168 2 2" xfId="27414"/>
    <cellStyle name="Note 168 3" xfId="27415"/>
    <cellStyle name="Note 168 3 2" xfId="27416"/>
    <cellStyle name="Note 168 4" xfId="27417"/>
    <cellStyle name="Note 169" xfId="27418"/>
    <cellStyle name="Note 169 2" xfId="27419"/>
    <cellStyle name="Note 169 2 2" xfId="27420"/>
    <cellStyle name="Note 169 3" xfId="27421"/>
    <cellStyle name="Note 169 3 2" xfId="27422"/>
    <cellStyle name="Note 169 4" xfId="27423"/>
    <cellStyle name="Note 17" xfId="27424"/>
    <cellStyle name="Note 17 2" xfId="27425"/>
    <cellStyle name="Note 17 2 2" xfId="27426"/>
    <cellStyle name="Note 17 2 2 2" xfId="27427"/>
    <cellStyle name="Note 17 2 3" xfId="27428"/>
    <cellStyle name="Note 17 2 3 2" xfId="27429"/>
    <cellStyle name="Note 17 2 4" xfId="27430"/>
    <cellStyle name="Note 17 3" xfId="27431"/>
    <cellStyle name="Note 17 3 2" xfId="27432"/>
    <cellStyle name="Note 17 3 2 2" xfId="27433"/>
    <cellStyle name="Note 17 3 3" xfId="27434"/>
    <cellStyle name="Note 17 3 3 2" xfId="27435"/>
    <cellStyle name="Note 17 3 4" xfId="27436"/>
    <cellStyle name="Note 17 4" xfId="27437"/>
    <cellStyle name="Note 17 4 2" xfId="27438"/>
    <cellStyle name="Note 17 5" xfId="27439"/>
    <cellStyle name="Note 17 5 2" xfId="27440"/>
    <cellStyle name="Note 17 6" xfId="27441"/>
    <cellStyle name="Note 170" xfId="27442"/>
    <cellStyle name="Note 170 2" xfId="27443"/>
    <cellStyle name="Note 170 2 2" xfId="27444"/>
    <cellStyle name="Note 170 3" xfId="27445"/>
    <cellStyle name="Note 170 3 2" xfId="27446"/>
    <cellStyle name="Note 170 4" xfId="27447"/>
    <cellStyle name="Note 171" xfId="27448"/>
    <cellStyle name="Note 171 2" xfId="27449"/>
    <cellStyle name="Note 171 2 2" xfId="27450"/>
    <cellStyle name="Note 171 3" xfId="27451"/>
    <cellStyle name="Note 171 3 2" xfId="27452"/>
    <cellStyle name="Note 171 4" xfId="27453"/>
    <cellStyle name="Note 172" xfId="27454"/>
    <cellStyle name="Note 172 2" xfId="27455"/>
    <cellStyle name="Note 172 2 2" xfId="27456"/>
    <cellStyle name="Note 172 3" xfId="27457"/>
    <cellStyle name="Note 172 3 2" xfId="27458"/>
    <cellStyle name="Note 172 4" xfId="27459"/>
    <cellStyle name="Note 173" xfId="27460"/>
    <cellStyle name="Note 173 2" xfId="27461"/>
    <cellStyle name="Note 173 2 2" xfId="27462"/>
    <cellStyle name="Note 173 3" xfId="27463"/>
    <cellStyle name="Note 173 3 2" xfId="27464"/>
    <cellStyle name="Note 173 4" xfId="27465"/>
    <cellStyle name="Note 174" xfId="27466"/>
    <cellStyle name="Note 174 2" xfId="27467"/>
    <cellStyle name="Note 174 2 2" xfId="27468"/>
    <cellStyle name="Note 174 3" xfId="27469"/>
    <cellStyle name="Note 174 3 2" xfId="27470"/>
    <cellStyle name="Note 174 4" xfId="27471"/>
    <cellStyle name="Note 175" xfId="27472"/>
    <cellStyle name="Note 175 2" xfId="27473"/>
    <cellStyle name="Note 175 2 2" xfId="27474"/>
    <cellStyle name="Note 175 3" xfId="27475"/>
    <cellStyle name="Note 175 3 2" xfId="27476"/>
    <cellStyle name="Note 175 4" xfId="27477"/>
    <cellStyle name="Note 176" xfId="27478"/>
    <cellStyle name="Note 176 2" xfId="27479"/>
    <cellStyle name="Note 176 2 2" xfId="27480"/>
    <cellStyle name="Note 176 3" xfId="27481"/>
    <cellStyle name="Note 176 3 2" xfId="27482"/>
    <cellStyle name="Note 176 4" xfId="27483"/>
    <cellStyle name="Note 177" xfId="27484"/>
    <cellStyle name="Note 177 2" xfId="27485"/>
    <cellStyle name="Note 177 2 2" xfId="27486"/>
    <cellStyle name="Note 177 3" xfId="27487"/>
    <cellStyle name="Note 177 3 2" xfId="27488"/>
    <cellStyle name="Note 177 4" xfId="27489"/>
    <cellStyle name="Note 178" xfId="27490"/>
    <cellStyle name="Note 178 2" xfId="27491"/>
    <cellStyle name="Note 178 2 2" xfId="27492"/>
    <cellStyle name="Note 178 3" xfId="27493"/>
    <cellStyle name="Note 178 3 2" xfId="27494"/>
    <cellStyle name="Note 178 4" xfId="27495"/>
    <cellStyle name="Note 179" xfId="27496"/>
    <cellStyle name="Note 179 2" xfId="27497"/>
    <cellStyle name="Note 179 2 2" xfId="27498"/>
    <cellStyle name="Note 179 3" xfId="27499"/>
    <cellStyle name="Note 179 3 2" xfId="27500"/>
    <cellStyle name="Note 179 4" xfId="27501"/>
    <cellStyle name="Note 18" xfId="27502"/>
    <cellStyle name="Note 18 2" xfId="27503"/>
    <cellStyle name="Note 18 2 2" xfId="27504"/>
    <cellStyle name="Note 18 2 2 2" xfId="27505"/>
    <cellStyle name="Note 18 2 3" xfId="27506"/>
    <cellStyle name="Note 18 2 3 2" xfId="27507"/>
    <cellStyle name="Note 18 2 4" xfId="27508"/>
    <cellStyle name="Note 18 3" xfId="27509"/>
    <cellStyle name="Note 18 3 2" xfId="27510"/>
    <cellStyle name="Note 18 3 2 2" xfId="27511"/>
    <cellStyle name="Note 18 3 3" xfId="27512"/>
    <cellStyle name="Note 18 3 3 2" xfId="27513"/>
    <cellStyle name="Note 18 3 4" xfId="27514"/>
    <cellStyle name="Note 18 4" xfId="27515"/>
    <cellStyle name="Note 18 4 2" xfId="27516"/>
    <cellStyle name="Note 18 5" xfId="27517"/>
    <cellStyle name="Note 18 5 2" xfId="27518"/>
    <cellStyle name="Note 18 6" xfId="27519"/>
    <cellStyle name="Note 180" xfId="27520"/>
    <cellStyle name="Note 180 2" xfId="27521"/>
    <cellStyle name="Note 180 2 2" xfId="27522"/>
    <cellStyle name="Note 180 3" xfId="27523"/>
    <cellStyle name="Note 180 3 2" xfId="27524"/>
    <cellStyle name="Note 180 4" xfId="27525"/>
    <cellStyle name="Note 181" xfId="27526"/>
    <cellStyle name="Note 181 2" xfId="27527"/>
    <cellStyle name="Note 181 2 2" xfId="27528"/>
    <cellStyle name="Note 181 3" xfId="27529"/>
    <cellStyle name="Note 181 3 2" xfId="27530"/>
    <cellStyle name="Note 181 4" xfId="27531"/>
    <cellStyle name="Note 182" xfId="27532"/>
    <cellStyle name="Note 182 2" xfId="27533"/>
    <cellStyle name="Note 182 2 2" xfId="27534"/>
    <cellStyle name="Note 182 3" xfId="27535"/>
    <cellStyle name="Note 182 3 2" xfId="27536"/>
    <cellStyle name="Note 182 4" xfId="27537"/>
    <cellStyle name="Note 183" xfId="27538"/>
    <cellStyle name="Note 183 2" xfId="27539"/>
    <cellStyle name="Note 183 2 2" xfId="27540"/>
    <cellStyle name="Note 183 3" xfId="27541"/>
    <cellStyle name="Note 183 3 2" xfId="27542"/>
    <cellStyle name="Note 183 4" xfId="27543"/>
    <cellStyle name="Note 184" xfId="27544"/>
    <cellStyle name="Note 184 2" xfId="27545"/>
    <cellStyle name="Note 184 2 2" xfId="27546"/>
    <cellStyle name="Note 184 3" xfId="27547"/>
    <cellStyle name="Note 184 3 2" xfId="27548"/>
    <cellStyle name="Note 184 4" xfId="27549"/>
    <cellStyle name="Note 185" xfId="27550"/>
    <cellStyle name="Note 185 2" xfId="27551"/>
    <cellStyle name="Note 185 2 2" xfId="27552"/>
    <cellStyle name="Note 185 3" xfId="27553"/>
    <cellStyle name="Note 185 3 2" xfId="27554"/>
    <cellStyle name="Note 185 4" xfId="27555"/>
    <cellStyle name="Note 186" xfId="27556"/>
    <cellStyle name="Note 186 2" xfId="27557"/>
    <cellStyle name="Note 186 2 2" xfId="27558"/>
    <cellStyle name="Note 186 3" xfId="27559"/>
    <cellStyle name="Note 186 3 2" xfId="27560"/>
    <cellStyle name="Note 186 4" xfId="27561"/>
    <cellStyle name="Note 187" xfId="27562"/>
    <cellStyle name="Note 187 2" xfId="27563"/>
    <cellStyle name="Note 187 2 2" xfId="27564"/>
    <cellStyle name="Note 187 3" xfId="27565"/>
    <cellStyle name="Note 187 3 2" xfId="27566"/>
    <cellStyle name="Note 187 4" xfId="27567"/>
    <cellStyle name="Note 188" xfId="27568"/>
    <cellStyle name="Note 188 2" xfId="27569"/>
    <cellStyle name="Note 188 2 2" xfId="27570"/>
    <cellStyle name="Note 188 3" xfId="27571"/>
    <cellStyle name="Note 188 3 2" xfId="27572"/>
    <cellStyle name="Note 188 4" xfId="27573"/>
    <cellStyle name="Note 189" xfId="27574"/>
    <cellStyle name="Note 189 2" xfId="27575"/>
    <cellStyle name="Note 189 2 2" xfId="27576"/>
    <cellStyle name="Note 189 3" xfId="27577"/>
    <cellStyle name="Note 189 3 2" xfId="27578"/>
    <cellStyle name="Note 189 4" xfId="27579"/>
    <cellStyle name="Note 19" xfId="27580"/>
    <cellStyle name="Note 19 2" xfId="27581"/>
    <cellStyle name="Note 19 2 2" xfId="27582"/>
    <cellStyle name="Note 19 2 2 2" xfId="27583"/>
    <cellStyle name="Note 19 2 3" xfId="27584"/>
    <cellStyle name="Note 19 2 3 2" xfId="27585"/>
    <cellStyle name="Note 19 2 4" xfId="27586"/>
    <cellStyle name="Note 19 3" xfId="27587"/>
    <cellStyle name="Note 19 3 2" xfId="27588"/>
    <cellStyle name="Note 19 3 2 2" xfId="27589"/>
    <cellStyle name="Note 19 3 3" xfId="27590"/>
    <cellStyle name="Note 19 3 3 2" xfId="27591"/>
    <cellStyle name="Note 19 3 4" xfId="27592"/>
    <cellStyle name="Note 19 4" xfId="27593"/>
    <cellStyle name="Note 19 4 2" xfId="27594"/>
    <cellStyle name="Note 19 5" xfId="27595"/>
    <cellStyle name="Note 19 5 2" xfId="27596"/>
    <cellStyle name="Note 19 6" xfId="27597"/>
    <cellStyle name="Note 190" xfId="27598"/>
    <cellStyle name="Note 190 2" xfId="27599"/>
    <cellStyle name="Note 190 2 2" xfId="27600"/>
    <cellStyle name="Note 190 3" xfId="27601"/>
    <cellStyle name="Note 190 3 2" xfId="27602"/>
    <cellStyle name="Note 190 4" xfId="27603"/>
    <cellStyle name="Note 191" xfId="27604"/>
    <cellStyle name="Note 191 2" xfId="27605"/>
    <cellStyle name="Note 191 2 2" xfId="27606"/>
    <cellStyle name="Note 191 3" xfId="27607"/>
    <cellStyle name="Note 191 3 2" xfId="27608"/>
    <cellStyle name="Note 191 4" xfId="27609"/>
    <cellStyle name="Note 192" xfId="27610"/>
    <cellStyle name="Note 192 2" xfId="27611"/>
    <cellStyle name="Note 192 2 2" xfId="27612"/>
    <cellStyle name="Note 192 3" xfId="27613"/>
    <cellStyle name="Note 192 3 2" xfId="27614"/>
    <cellStyle name="Note 192 4" xfId="27615"/>
    <cellStyle name="Note 193" xfId="27616"/>
    <cellStyle name="Note 193 2" xfId="27617"/>
    <cellStyle name="Note 193 2 2" xfId="27618"/>
    <cellStyle name="Note 193 3" xfId="27619"/>
    <cellStyle name="Note 193 3 2" xfId="27620"/>
    <cellStyle name="Note 193 4" xfId="27621"/>
    <cellStyle name="Note 194" xfId="27622"/>
    <cellStyle name="Note 194 2" xfId="27623"/>
    <cellStyle name="Note 194 2 2" xfId="27624"/>
    <cellStyle name="Note 194 3" xfId="27625"/>
    <cellStyle name="Note 194 3 2" xfId="27626"/>
    <cellStyle name="Note 194 4" xfId="27627"/>
    <cellStyle name="Note 195" xfId="27628"/>
    <cellStyle name="Note 195 2" xfId="27629"/>
    <cellStyle name="Note 195 2 2" xfId="27630"/>
    <cellStyle name="Note 195 3" xfId="27631"/>
    <cellStyle name="Note 195 3 2" xfId="27632"/>
    <cellStyle name="Note 195 4" xfId="27633"/>
    <cellStyle name="Note 196" xfId="27634"/>
    <cellStyle name="Note 196 2" xfId="27635"/>
    <cellStyle name="Note 196 2 2" xfId="27636"/>
    <cellStyle name="Note 196 3" xfId="27637"/>
    <cellStyle name="Note 196 3 2" xfId="27638"/>
    <cellStyle name="Note 196 4" xfId="27639"/>
    <cellStyle name="Note 197" xfId="27640"/>
    <cellStyle name="Note 197 2" xfId="27641"/>
    <cellStyle name="Note 197 2 2" xfId="27642"/>
    <cellStyle name="Note 197 3" xfId="27643"/>
    <cellStyle name="Note 197 3 2" xfId="27644"/>
    <cellStyle name="Note 197 4" xfId="27645"/>
    <cellStyle name="Note 198" xfId="27646"/>
    <cellStyle name="Note 198 2" xfId="27647"/>
    <cellStyle name="Note 198 2 2" xfId="27648"/>
    <cellStyle name="Note 198 3" xfId="27649"/>
    <cellStyle name="Note 198 3 2" xfId="27650"/>
    <cellStyle name="Note 198 4" xfId="27651"/>
    <cellStyle name="Note 199" xfId="27652"/>
    <cellStyle name="Note 199 2" xfId="27653"/>
    <cellStyle name="Note 199 2 2" xfId="27654"/>
    <cellStyle name="Note 199 3" xfId="27655"/>
    <cellStyle name="Note 199 3 2" xfId="27656"/>
    <cellStyle name="Note 199 4" xfId="27657"/>
    <cellStyle name="Note 2" xfId="27658"/>
    <cellStyle name="Note 2 10" xfId="27659"/>
    <cellStyle name="Note 2 10 2" xfId="27660"/>
    <cellStyle name="Note 2 11" xfId="27661"/>
    <cellStyle name="Note 2 2" xfId="27662"/>
    <cellStyle name="Note 2 2 2" xfId="27663"/>
    <cellStyle name="Note 2 2 2 2" xfId="27664"/>
    <cellStyle name="Note 2 2 3" xfId="27665"/>
    <cellStyle name="Note 2 2 3 2" xfId="27666"/>
    <cellStyle name="Note 2 2 4" xfId="27667"/>
    <cellStyle name="Note 2 3" xfId="27668"/>
    <cellStyle name="Note 2 3 2" xfId="27669"/>
    <cellStyle name="Note 2 3 2 2" xfId="27670"/>
    <cellStyle name="Note 2 3 3" xfId="27671"/>
    <cellStyle name="Note 2 3 3 2" xfId="27672"/>
    <cellStyle name="Note 2 3 4" xfId="27673"/>
    <cellStyle name="Note 2 4" xfId="27674"/>
    <cellStyle name="Note 2 4 2" xfId="27675"/>
    <cellStyle name="Note 2 5" xfId="27676"/>
    <cellStyle name="Note 2 5 2" xfId="27677"/>
    <cellStyle name="Note 2 6" xfId="27678"/>
    <cellStyle name="Note 2 6 2" xfId="27679"/>
    <cellStyle name="Note 2 7" xfId="27680"/>
    <cellStyle name="Note 2 7 2" xfId="27681"/>
    <cellStyle name="Note 2 8" xfId="27682"/>
    <cellStyle name="Note 2 8 2" xfId="27683"/>
    <cellStyle name="Note 2 9" xfId="27684"/>
    <cellStyle name="Note 2 9 2" xfId="27685"/>
    <cellStyle name="Note 20" xfId="27686"/>
    <cellStyle name="Note 20 2" xfId="27687"/>
    <cellStyle name="Note 20 2 2" xfId="27688"/>
    <cellStyle name="Note 20 2 2 2" xfId="27689"/>
    <cellStyle name="Note 20 2 3" xfId="27690"/>
    <cellStyle name="Note 20 2 3 2" xfId="27691"/>
    <cellStyle name="Note 20 2 4" xfId="27692"/>
    <cellStyle name="Note 20 3" xfId="27693"/>
    <cellStyle name="Note 20 3 2" xfId="27694"/>
    <cellStyle name="Note 20 3 2 2" xfId="27695"/>
    <cellStyle name="Note 20 3 3" xfId="27696"/>
    <cellStyle name="Note 20 3 3 2" xfId="27697"/>
    <cellStyle name="Note 20 3 4" xfId="27698"/>
    <cellStyle name="Note 20 4" xfId="27699"/>
    <cellStyle name="Note 20 4 2" xfId="27700"/>
    <cellStyle name="Note 20 5" xfId="27701"/>
    <cellStyle name="Note 20 5 2" xfId="27702"/>
    <cellStyle name="Note 20 6" xfId="27703"/>
    <cellStyle name="Note 200" xfId="27704"/>
    <cellStyle name="Note 200 2" xfId="27705"/>
    <cellStyle name="Note 200 2 2" xfId="27706"/>
    <cellStyle name="Note 200 3" xfId="27707"/>
    <cellStyle name="Note 200 3 2" xfId="27708"/>
    <cellStyle name="Note 200 4" xfId="27709"/>
    <cellStyle name="Note 201" xfId="27710"/>
    <cellStyle name="Note 201 2" xfId="27711"/>
    <cellStyle name="Note 201 2 2" xfId="27712"/>
    <cellStyle name="Note 201 3" xfId="27713"/>
    <cellStyle name="Note 201 3 2" xfId="27714"/>
    <cellStyle name="Note 201 4" xfId="27715"/>
    <cellStyle name="Note 202" xfId="27716"/>
    <cellStyle name="Note 202 2" xfId="27717"/>
    <cellStyle name="Note 202 2 2" xfId="27718"/>
    <cellStyle name="Note 202 3" xfId="27719"/>
    <cellStyle name="Note 202 3 2" xfId="27720"/>
    <cellStyle name="Note 202 4" xfId="27721"/>
    <cellStyle name="Note 203" xfId="27722"/>
    <cellStyle name="Note 203 2" xfId="27723"/>
    <cellStyle name="Note 203 2 2" xfId="27724"/>
    <cellStyle name="Note 203 3" xfId="27725"/>
    <cellStyle name="Note 203 3 2" xfId="27726"/>
    <cellStyle name="Note 203 4" xfId="27727"/>
    <cellStyle name="Note 204" xfId="27728"/>
    <cellStyle name="Note 204 2" xfId="27729"/>
    <cellStyle name="Note 204 2 2" xfId="27730"/>
    <cellStyle name="Note 204 3" xfId="27731"/>
    <cellStyle name="Note 204 3 2" xfId="27732"/>
    <cellStyle name="Note 204 4" xfId="27733"/>
    <cellStyle name="Note 205" xfId="27734"/>
    <cellStyle name="Note 205 2" xfId="27735"/>
    <cellStyle name="Note 205 2 2" xfId="27736"/>
    <cellStyle name="Note 205 3" xfId="27737"/>
    <cellStyle name="Note 205 3 2" xfId="27738"/>
    <cellStyle name="Note 205 4" xfId="27739"/>
    <cellStyle name="Note 206" xfId="27740"/>
    <cellStyle name="Note 206 2" xfId="27741"/>
    <cellStyle name="Note 206 2 2" xfId="27742"/>
    <cellStyle name="Note 206 3" xfId="27743"/>
    <cellStyle name="Note 206 3 2" xfId="27744"/>
    <cellStyle name="Note 206 4" xfId="27745"/>
    <cellStyle name="Note 207" xfId="27746"/>
    <cellStyle name="Note 207 2" xfId="27747"/>
    <cellStyle name="Note 207 2 2" xfId="27748"/>
    <cellStyle name="Note 207 3" xfId="27749"/>
    <cellStyle name="Note 207 3 2" xfId="27750"/>
    <cellStyle name="Note 207 4" xfId="27751"/>
    <cellStyle name="Note 208" xfId="27752"/>
    <cellStyle name="Note 208 2" xfId="27753"/>
    <cellStyle name="Note 208 2 2" xfId="27754"/>
    <cellStyle name="Note 208 3" xfId="27755"/>
    <cellStyle name="Note 208 3 2" xfId="27756"/>
    <cellStyle name="Note 208 4" xfId="27757"/>
    <cellStyle name="Note 209" xfId="27758"/>
    <cellStyle name="Note 209 2" xfId="27759"/>
    <cellStyle name="Note 209 2 2" xfId="27760"/>
    <cellStyle name="Note 209 3" xfId="27761"/>
    <cellStyle name="Note 209 3 2" xfId="27762"/>
    <cellStyle name="Note 209 4" xfId="27763"/>
    <cellStyle name="Note 21" xfId="27764"/>
    <cellStyle name="Note 21 2" xfId="27765"/>
    <cellStyle name="Note 21 2 2" xfId="27766"/>
    <cellStyle name="Note 21 2 2 2" xfId="27767"/>
    <cellStyle name="Note 21 2 3" xfId="27768"/>
    <cellStyle name="Note 21 2 3 2" xfId="27769"/>
    <cellStyle name="Note 21 2 4" xfId="27770"/>
    <cellStyle name="Note 21 3" xfId="27771"/>
    <cellStyle name="Note 21 3 2" xfId="27772"/>
    <cellStyle name="Note 21 3 2 2" xfId="27773"/>
    <cellStyle name="Note 21 3 3" xfId="27774"/>
    <cellStyle name="Note 21 3 3 2" xfId="27775"/>
    <cellStyle name="Note 21 3 4" xfId="27776"/>
    <cellStyle name="Note 21 4" xfId="27777"/>
    <cellStyle name="Note 21 4 2" xfId="27778"/>
    <cellStyle name="Note 21 5" xfId="27779"/>
    <cellStyle name="Note 21 5 2" xfId="27780"/>
    <cellStyle name="Note 21 6" xfId="27781"/>
    <cellStyle name="Note 210" xfId="27782"/>
    <cellStyle name="Note 210 2" xfId="27783"/>
    <cellStyle name="Note 210 2 2" xfId="27784"/>
    <cellStyle name="Note 210 3" xfId="27785"/>
    <cellStyle name="Note 210 3 2" xfId="27786"/>
    <cellStyle name="Note 210 4" xfId="27787"/>
    <cellStyle name="Note 211" xfId="27788"/>
    <cellStyle name="Note 211 2" xfId="27789"/>
    <cellStyle name="Note 211 2 2" xfId="27790"/>
    <cellStyle name="Note 211 3" xfId="27791"/>
    <cellStyle name="Note 211 3 2" xfId="27792"/>
    <cellStyle name="Note 211 4" xfId="27793"/>
    <cellStyle name="Note 212" xfId="27794"/>
    <cellStyle name="Note 212 2" xfId="27795"/>
    <cellStyle name="Note 212 2 2" xfId="27796"/>
    <cellStyle name="Note 212 3" xfId="27797"/>
    <cellStyle name="Note 212 3 2" xfId="27798"/>
    <cellStyle name="Note 212 4" xfId="27799"/>
    <cellStyle name="Note 213" xfId="27800"/>
    <cellStyle name="Note 213 2" xfId="27801"/>
    <cellStyle name="Note 213 2 2" xfId="27802"/>
    <cellStyle name="Note 213 3" xfId="27803"/>
    <cellStyle name="Note 213 3 2" xfId="27804"/>
    <cellStyle name="Note 213 4" xfId="27805"/>
    <cellStyle name="Note 214" xfId="27806"/>
    <cellStyle name="Note 214 2" xfId="27807"/>
    <cellStyle name="Note 214 2 2" xfId="27808"/>
    <cellStyle name="Note 214 3" xfId="27809"/>
    <cellStyle name="Note 214 3 2" xfId="27810"/>
    <cellStyle name="Note 214 4" xfId="27811"/>
    <cellStyle name="Note 215" xfId="27812"/>
    <cellStyle name="Note 215 2" xfId="27813"/>
    <cellStyle name="Note 215 2 2" xfId="27814"/>
    <cellStyle name="Note 215 3" xfId="27815"/>
    <cellStyle name="Note 215 3 2" xfId="27816"/>
    <cellStyle name="Note 215 4" xfId="27817"/>
    <cellStyle name="Note 216" xfId="27818"/>
    <cellStyle name="Note 216 2" xfId="27819"/>
    <cellStyle name="Note 216 2 2" xfId="27820"/>
    <cellStyle name="Note 216 3" xfId="27821"/>
    <cellStyle name="Note 216 3 2" xfId="27822"/>
    <cellStyle name="Note 216 4" xfId="27823"/>
    <cellStyle name="Note 217" xfId="27824"/>
    <cellStyle name="Note 217 2" xfId="27825"/>
    <cellStyle name="Note 217 2 2" xfId="27826"/>
    <cellStyle name="Note 217 3" xfId="27827"/>
    <cellStyle name="Note 217 3 2" xfId="27828"/>
    <cellStyle name="Note 217 4" xfId="27829"/>
    <cellStyle name="Note 218" xfId="27830"/>
    <cellStyle name="Note 218 2" xfId="27831"/>
    <cellStyle name="Note 218 2 2" xfId="27832"/>
    <cellStyle name="Note 218 3" xfId="27833"/>
    <cellStyle name="Note 218 3 2" xfId="27834"/>
    <cellStyle name="Note 218 4" xfId="27835"/>
    <cellStyle name="Note 219" xfId="27836"/>
    <cellStyle name="Note 219 2" xfId="27837"/>
    <cellStyle name="Note 219 2 2" xfId="27838"/>
    <cellStyle name="Note 219 3" xfId="27839"/>
    <cellStyle name="Note 219 3 2" xfId="27840"/>
    <cellStyle name="Note 219 4" xfId="27841"/>
    <cellStyle name="Note 22" xfId="27842"/>
    <cellStyle name="Note 22 2" xfId="27843"/>
    <cellStyle name="Note 22 2 2" xfId="27844"/>
    <cellStyle name="Note 22 2 2 2" xfId="27845"/>
    <cellStyle name="Note 22 2 3" xfId="27846"/>
    <cellStyle name="Note 22 2 3 2" xfId="27847"/>
    <cellStyle name="Note 22 2 4" xfId="27848"/>
    <cellStyle name="Note 22 3" xfId="27849"/>
    <cellStyle name="Note 22 3 2" xfId="27850"/>
    <cellStyle name="Note 22 3 2 2" xfId="27851"/>
    <cellStyle name="Note 22 3 3" xfId="27852"/>
    <cellStyle name="Note 22 3 3 2" xfId="27853"/>
    <cellStyle name="Note 22 3 4" xfId="27854"/>
    <cellStyle name="Note 22 4" xfId="27855"/>
    <cellStyle name="Note 22 4 2" xfId="27856"/>
    <cellStyle name="Note 22 5" xfId="27857"/>
    <cellStyle name="Note 22 5 2" xfId="27858"/>
    <cellStyle name="Note 22 6" xfId="27859"/>
    <cellStyle name="Note 220" xfId="27860"/>
    <cellStyle name="Note 220 2" xfId="27861"/>
    <cellStyle name="Note 220 2 2" xfId="27862"/>
    <cellStyle name="Note 220 3" xfId="27863"/>
    <cellStyle name="Note 220 3 2" xfId="27864"/>
    <cellStyle name="Note 220 4" xfId="27865"/>
    <cellStyle name="Note 221" xfId="27866"/>
    <cellStyle name="Note 221 2" xfId="27867"/>
    <cellStyle name="Note 221 2 2" xfId="27868"/>
    <cellStyle name="Note 221 3" xfId="27869"/>
    <cellStyle name="Note 221 3 2" xfId="27870"/>
    <cellStyle name="Note 221 4" xfId="27871"/>
    <cellStyle name="Note 222" xfId="27872"/>
    <cellStyle name="Note 222 2" xfId="27873"/>
    <cellStyle name="Note 222 2 2" xfId="27874"/>
    <cellStyle name="Note 222 3" xfId="27875"/>
    <cellStyle name="Note 222 3 2" xfId="27876"/>
    <cellStyle name="Note 222 4" xfId="27877"/>
    <cellStyle name="Note 223" xfId="27878"/>
    <cellStyle name="Note 223 2" xfId="27879"/>
    <cellStyle name="Note 223 2 2" xfId="27880"/>
    <cellStyle name="Note 223 3" xfId="27881"/>
    <cellStyle name="Note 223 3 2" xfId="27882"/>
    <cellStyle name="Note 223 4" xfId="27883"/>
    <cellStyle name="Note 224" xfId="27884"/>
    <cellStyle name="Note 224 2" xfId="27885"/>
    <cellStyle name="Note 224 2 2" xfId="27886"/>
    <cellStyle name="Note 224 3" xfId="27887"/>
    <cellStyle name="Note 224 3 2" xfId="27888"/>
    <cellStyle name="Note 224 4" xfId="27889"/>
    <cellStyle name="Note 225" xfId="27890"/>
    <cellStyle name="Note 225 2" xfId="27891"/>
    <cellStyle name="Note 225 2 2" xfId="27892"/>
    <cellStyle name="Note 225 3" xfId="27893"/>
    <cellStyle name="Note 225 3 2" xfId="27894"/>
    <cellStyle name="Note 225 4" xfId="27895"/>
    <cellStyle name="Note 226" xfId="27896"/>
    <cellStyle name="Note 226 2" xfId="27897"/>
    <cellStyle name="Note 226 2 2" xfId="27898"/>
    <cellStyle name="Note 226 3" xfId="27899"/>
    <cellStyle name="Note 226 3 2" xfId="27900"/>
    <cellStyle name="Note 226 4" xfId="27901"/>
    <cellStyle name="Note 227" xfId="27902"/>
    <cellStyle name="Note 227 2" xfId="27903"/>
    <cellStyle name="Note 227 2 2" xfId="27904"/>
    <cellStyle name="Note 227 3" xfId="27905"/>
    <cellStyle name="Note 227 3 2" xfId="27906"/>
    <cellStyle name="Note 227 4" xfId="27907"/>
    <cellStyle name="Note 228" xfId="27908"/>
    <cellStyle name="Note 228 2" xfId="27909"/>
    <cellStyle name="Note 228 2 2" xfId="27910"/>
    <cellStyle name="Note 228 3" xfId="27911"/>
    <cellStyle name="Note 228 3 2" xfId="27912"/>
    <cellStyle name="Note 228 4" xfId="27913"/>
    <cellStyle name="Note 229" xfId="27914"/>
    <cellStyle name="Note 229 2" xfId="27915"/>
    <cellStyle name="Note 229 2 2" xfId="27916"/>
    <cellStyle name="Note 229 3" xfId="27917"/>
    <cellStyle name="Note 229 3 2" xfId="27918"/>
    <cellStyle name="Note 229 4" xfId="27919"/>
    <cellStyle name="Note 23" xfId="27920"/>
    <cellStyle name="Note 23 2" xfId="27921"/>
    <cellStyle name="Note 23 2 2" xfId="27922"/>
    <cellStyle name="Note 23 2 2 2" xfId="27923"/>
    <cellStyle name="Note 23 2 3" xfId="27924"/>
    <cellStyle name="Note 23 2 3 2" xfId="27925"/>
    <cellStyle name="Note 23 2 4" xfId="27926"/>
    <cellStyle name="Note 23 3" xfId="27927"/>
    <cellStyle name="Note 23 3 2" xfId="27928"/>
    <cellStyle name="Note 23 3 2 2" xfId="27929"/>
    <cellStyle name="Note 23 3 3" xfId="27930"/>
    <cellStyle name="Note 23 3 3 2" xfId="27931"/>
    <cellStyle name="Note 23 3 4" xfId="27932"/>
    <cellStyle name="Note 23 4" xfId="27933"/>
    <cellStyle name="Note 23 4 2" xfId="27934"/>
    <cellStyle name="Note 23 5" xfId="27935"/>
    <cellStyle name="Note 23 5 2" xfId="27936"/>
    <cellStyle name="Note 23 6" xfId="27937"/>
    <cellStyle name="Note 230" xfId="27938"/>
    <cellStyle name="Note 230 2" xfId="27939"/>
    <cellStyle name="Note 230 2 2" xfId="27940"/>
    <cellStyle name="Note 230 3" xfId="27941"/>
    <cellStyle name="Note 230 3 2" xfId="27942"/>
    <cellStyle name="Note 230 4" xfId="27943"/>
    <cellStyle name="Note 231" xfId="27944"/>
    <cellStyle name="Note 231 2" xfId="27945"/>
    <cellStyle name="Note 231 2 2" xfId="27946"/>
    <cellStyle name="Note 231 3" xfId="27947"/>
    <cellStyle name="Note 231 3 2" xfId="27948"/>
    <cellStyle name="Note 231 4" xfId="27949"/>
    <cellStyle name="Note 232" xfId="27950"/>
    <cellStyle name="Note 232 2" xfId="27951"/>
    <cellStyle name="Note 232 2 2" xfId="27952"/>
    <cellStyle name="Note 232 3" xfId="27953"/>
    <cellStyle name="Note 232 3 2" xfId="27954"/>
    <cellStyle name="Note 232 4" xfId="27955"/>
    <cellStyle name="Note 233" xfId="27956"/>
    <cellStyle name="Note 233 2" xfId="27957"/>
    <cellStyle name="Note 233 2 2" xfId="27958"/>
    <cellStyle name="Note 233 3" xfId="27959"/>
    <cellStyle name="Note 233 3 2" xfId="27960"/>
    <cellStyle name="Note 233 4" xfId="27961"/>
    <cellStyle name="Note 234" xfId="27962"/>
    <cellStyle name="Note 234 2" xfId="27963"/>
    <cellStyle name="Note 234 2 2" xfId="27964"/>
    <cellStyle name="Note 234 3" xfId="27965"/>
    <cellStyle name="Note 234 3 2" xfId="27966"/>
    <cellStyle name="Note 234 4" xfId="27967"/>
    <cellStyle name="Note 235" xfId="27968"/>
    <cellStyle name="Note 235 2" xfId="27969"/>
    <cellStyle name="Note 235 2 2" xfId="27970"/>
    <cellStyle name="Note 235 3" xfId="27971"/>
    <cellStyle name="Note 235 3 2" xfId="27972"/>
    <cellStyle name="Note 235 4" xfId="27973"/>
    <cellStyle name="Note 236" xfId="27974"/>
    <cellStyle name="Note 236 2" xfId="27975"/>
    <cellStyle name="Note 236 2 2" xfId="27976"/>
    <cellStyle name="Note 236 3" xfId="27977"/>
    <cellStyle name="Note 236 3 2" xfId="27978"/>
    <cellStyle name="Note 236 4" xfId="27979"/>
    <cellStyle name="Note 237" xfId="27980"/>
    <cellStyle name="Note 237 2" xfId="27981"/>
    <cellStyle name="Note 237 2 2" xfId="27982"/>
    <cellStyle name="Note 237 3" xfId="27983"/>
    <cellStyle name="Note 237 3 2" xfId="27984"/>
    <cellStyle name="Note 237 4" xfId="27985"/>
    <cellStyle name="Note 238" xfId="27986"/>
    <cellStyle name="Note 238 2" xfId="27987"/>
    <cellStyle name="Note 238 2 2" xfId="27988"/>
    <cellStyle name="Note 238 3" xfId="27989"/>
    <cellStyle name="Note 238 3 2" xfId="27990"/>
    <cellStyle name="Note 238 4" xfId="27991"/>
    <cellStyle name="Note 239" xfId="27992"/>
    <cellStyle name="Note 239 2" xfId="27993"/>
    <cellStyle name="Note 24" xfId="27994"/>
    <cellStyle name="Note 24 2" xfId="27995"/>
    <cellStyle name="Note 24 2 2" xfId="27996"/>
    <cellStyle name="Note 24 2 2 2" xfId="27997"/>
    <cellStyle name="Note 24 2 3" xfId="27998"/>
    <cellStyle name="Note 24 2 3 2" xfId="27999"/>
    <cellStyle name="Note 24 2 4" xfId="28000"/>
    <cellStyle name="Note 24 3" xfId="28001"/>
    <cellStyle name="Note 24 3 2" xfId="28002"/>
    <cellStyle name="Note 24 3 2 2" xfId="28003"/>
    <cellStyle name="Note 24 3 3" xfId="28004"/>
    <cellStyle name="Note 24 3 3 2" xfId="28005"/>
    <cellStyle name="Note 24 3 4" xfId="28006"/>
    <cellStyle name="Note 24 4" xfId="28007"/>
    <cellStyle name="Note 24 4 2" xfId="28008"/>
    <cellStyle name="Note 24 5" xfId="28009"/>
    <cellStyle name="Note 24 5 2" xfId="28010"/>
    <cellStyle name="Note 24 6" xfId="28011"/>
    <cellStyle name="Note 24 7" xfId="28012"/>
    <cellStyle name="Note 240" xfId="28013"/>
    <cellStyle name="Note 240 2" xfId="28014"/>
    <cellStyle name="Note 241" xfId="28015"/>
    <cellStyle name="Note 25" xfId="28016"/>
    <cellStyle name="Note 25 2" xfId="28017"/>
    <cellStyle name="Note 25 2 2" xfId="28018"/>
    <cellStyle name="Note 25 2 2 2" xfId="28019"/>
    <cellStyle name="Note 25 2 3" xfId="28020"/>
    <cellStyle name="Note 25 2 3 2" xfId="28021"/>
    <cellStyle name="Note 25 2 4" xfId="28022"/>
    <cellStyle name="Note 25 3" xfId="28023"/>
    <cellStyle name="Note 25 3 2" xfId="28024"/>
    <cellStyle name="Note 25 3 2 2" xfId="28025"/>
    <cellStyle name="Note 25 3 3" xfId="28026"/>
    <cellStyle name="Note 25 3 3 2" xfId="28027"/>
    <cellStyle name="Note 25 3 4" xfId="28028"/>
    <cellStyle name="Note 25 4" xfId="28029"/>
    <cellStyle name="Note 25 4 2" xfId="28030"/>
    <cellStyle name="Note 25 5" xfId="28031"/>
    <cellStyle name="Note 25 5 2" xfId="28032"/>
    <cellStyle name="Note 25 6" xfId="28033"/>
    <cellStyle name="Note 25 7" xfId="28034"/>
    <cellStyle name="Note 26" xfId="28035"/>
    <cellStyle name="Note 26 2" xfId="28036"/>
    <cellStyle name="Note 26 2 2" xfId="28037"/>
    <cellStyle name="Note 26 2 2 2" xfId="28038"/>
    <cellStyle name="Note 26 2 3" xfId="28039"/>
    <cellStyle name="Note 26 2 3 2" xfId="28040"/>
    <cellStyle name="Note 26 2 4" xfId="28041"/>
    <cellStyle name="Note 26 3" xfId="28042"/>
    <cellStyle name="Note 26 3 2" xfId="28043"/>
    <cellStyle name="Note 26 3 2 2" xfId="28044"/>
    <cellStyle name="Note 26 3 3" xfId="28045"/>
    <cellStyle name="Note 26 3 3 2" xfId="28046"/>
    <cellStyle name="Note 26 3 4" xfId="28047"/>
    <cellStyle name="Note 26 4" xfId="28048"/>
    <cellStyle name="Note 26 4 2" xfId="28049"/>
    <cellStyle name="Note 26 5" xfId="28050"/>
    <cellStyle name="Note 26 5 2" xfId="28051"/>
    <cellStyle name="Note 26 6" xfId="28052"/>
    <cellStyle name="Note 26 7" xfId="28053"/>
    <cellStyle name="Note 27" xfId="28054"/>
    <cellStyle name="Note 27 2" xfId="28055"/>
    <cellStyle name="Note 27 2 2" xfId="28056"/>
    <cellStyle name="Note 27 2 2 2" xfId="28057"/>
    <cellStyle name="Note 27 2 3" xfId="28058"/>
    <cellStyle name="Note 27 2 3 2" xfId="28059"/>
    <cellStyle name="Note 27 2 4" xfId="28060"/>
    <cellStyle name="Note 27 3" xfId="28061"/>
    <cellStyle name="Note 27 3 2" xfId="28062"/>
    <cellStyle name="Note 27 3 2 2" xfId="28063"/>
    <cellStyle name="Note 27 3 3" xfId="28064"/>
    <cellStyle name="Note 27 3 3 2" xfId="28065"/>
    <cellStyle name="Note 27 3 4" xfId="28066"/>
    <cellStyle name="Note 27 4" xfId="28067"/>
    <cellStyle name="Note 27 4 2" xfId="28068"/>
    <cellStyle name="Note 27 5" xfId="28069"/>
    <cellStyle name="Note 27 5 2" xfId="28070"/>
    <cellStyle name="Note 27 6" xfId="28071"/>
    <cellStyle name="Note 27 7" xfId="28072"/>
    <cellStyle name="Note 28" xfId="28073"/>
    <cellStyle name="Note 28 2" xfId="28074"/>
    <cellStyle name="Note 28 2 2" xfId="28075"/>
    <cellStyle name="Note 28 2 2 2" xfId="28076"/>
    <cellStyle name="Note 28 2 3" xfId="28077"/>
    <cellStyle name="Note 28 2 3 2" xfId="28078"/>
    <cellStyle name="Note 28 2 4" xfId="28079"/>
    <cellStyle name="Note 28 3" xfId="28080"/>
    <cellStyle name="Note 28 3 2" xfId="28081"/>
    <cellStyle name="Note 28 3 2 2" xfId="28082"/>
    <cellStyle name="Note 28 3 3" xfId="28083"/>
    <cellStyle name="Note 28 3 3 2" xfId="28084"/>
    <cellStyle name="Note 28 3 4" xfId="28085"/>
    <cellStyle name="Note 28 4" xfId="28086"/>
    <cellStyle name="Note 28 4 2" xfId="28087"/>
    <cellStyle name="Note 28 5" xfId="28088"/>
    <cellStyle name="Note 28 5 2" xfId="28089"/>
    <cellStyle name="Note 28 6" xfId="28090"/>
    <cellStyle name="Note 28 7" xfId="28091"/>
    <cellStyle name="Note 29" xfId="28092"/>
    <cellStyle name="Note 29 2" xfId="28093"/>
    <cellStyle name="Note 29 2 2" xfId="28094"/>
    <cellStyle name="Note 29 2 2 2" xfId="28095"/>
    <cellStyle name="Note 29 2 3" xfId="28096"/>
    <cellStyle name="Note 29 2 3 2" xfId="28097"/>
    <cellStyle name="Note 29 2 4" xfId="28098"/>
    <cellStyle name="Note 29 3" xfId="28099"/>
    <cellStyle name="Note 29 3 2" xfId="28100"/>
    <cellStyle name="Note 29 3 2 2" xfId="28101"/>
    <cellStyle name="Note 29 3 3" xfId="28102"/>
    <cellStyle name="Note 29 3 3 2" xfId="28103"/>
    <cellStyle name="Note 29 3 4" xfId="28104"/>
    <cellStyle name="Note 29 4" xfId="28105"/>
    <cellStyle name="Note 29 4 2" xfId="28106"/>
    <cellStyle name="Note 29 5" xfId="28107"/>
    <cellStyle name="Note 29 5 2" xfId="28108"/>
    <cellStyle name="Note 29 6" xfId="28109"/>
    <cellStyle name="Note 29 7" xfId="28110"/>
    <cellStyle name="Note 3" xfId="28111"/>
    <cellStyle name="Note 3 2" xfId="28112"/>
    <cellStyle name="Note 3 2 2" xfId="28113"/>
    <cellStyle name="Note 3 2 2 2" xfId="28114"/>
    <cellStyle name="Note 3 2 3" xfId="28115"/>
    <cellStyle name="Note 3 2 3 2" xfId="28116"/>
    <cellStyle name="Note 3 2 4" xfId="28117"/>
    <cellStyle name="Note 3 3" xfId="28118"/>
    <cellStyle name="Note 3 3 2" xfId="28119"/>
    <cellStyle name="Note 3 3 2 2" xfId="28120"/>
    <cellStyle name="Note 3 3 3" xfId="28121"/>
    <cellStyle name="Note 3 3 3 2" xfId="28122"/>
    <cellStyle name="Note 3 3 4" xfId="28123"/>
    <cellStyle name="Note 3 4" xfId="28124"/>
    <cellStyle name="Note 3 4 2" xfId="28125"/>
    <cellStyle name="Note 3 5" xfId="28126"/>
    <cellStyle name="Note 3 5 2" xfId="28127"/>
    <cellStyle name="Note 3 6" xfId="28128"/>
    <cellStyle name="Note 3 6 2" xfId="28129"/>
    <cellStyle name="Note 3 7" xfId="28130"/>
    <cellStyle name="Note 3 7 2" xfId="28131"/>
    <cellStyle name="Note 3 8" xfId="28132"/>
    <cellStyle name="Note 3 8 2" xfId="28133"/>
    <cellStyle name="Note 3 9" xfId="28134"/>
    <cellStyle name="Note 30" xfId="28135"/>
    <cellStyle name="Note 30 2" xfId="28136"/>
    <cellStyle name="Note 30 2 2" xfId="28137"/>
    <cellStyle name="Note 30 2 2 2" xfId="28138"/>
    <cellStyle name="Note 30 2 3" xfId="28139"/>
    <cellStyle name="Note 30 2 3 2" xfId="28140"/>
    <cellStyle name="Note 30 2 4" xfId="28141"/>
    <cellStyle name="Note 30 3" xfId="28142"/>
    <cellStyle name="Note 30 3 2" xfId="28143"/>
    <cellStyle name="Note 30 3 2 2" xfId="28144"/>
    <cellStyle name="Note 30 3 3" xfId="28145"/>
    <cellStyle name="Note 30 3 3 2" xfId="28146"/>
    <cellStyle name="Note 30 3 4" xfId="28147"/>
    <cellStyle name="Note 30 4" xfId="28148"/>
    <cellStyle name="Note 30 4 2" xfId="28149"/>
    <cellStyle name="Note 30 5" xfId="28150"/>
    <cellStyle name="Note 30 5 2" xfId="28151"/>
    <cellStyle name="Note 30 6" xfId="28152"/>
    <cellStyle name="Note 30 7" xfId="28153"/>
    <cellStyle name="Note 31" xfId="28154"/>
    <cellStyle name="Note 31 2" xfId="28155"/>
    <cellStyle name="Note 31 2 2" xfId="28156"/>
    <cellStyle name="Note 31 2 2 2" xfId="28157"/>
    <cellStyle name="Note 31 2 3" xfId="28158"/>
    <cellStyle name="Note 31 2 3 2" xfId="28159"/>
    <cellStyle name="Note 31 2 4" xfId="28160"/>
    <cellStyle name="Note 31 3" xfId="28161"/>
    <cellStyle name="Note 31 3 2" xfId="28162"/>
    <cellStyle name="Note 31 3 2 2" xfId="28163"/>
    <cellStyle name="Note 31 3 3" xfId="28164"/>
    <cellStyle name="Note 31 3 3 2" xfId="28165"/>
    <cellStyle name="Note 31 3 4" xfId="28166"/>
    <cellStyle name="Note 31 4" xfId="28167"/>
    <cellStyle name="Note 31 4 2" xfId="28168"/>
    <cellStyle name="Note 31 5" xfId="28169"/>
    <cellStyle name="Note 31 5 2" xfId="28170"/>
    <cellStyle name="Note 31 6" xfId="28171"/>
    <cellStyle name="Note 31 7" xfId="28172"/>
    <cellStyle name="Note 32" xfId="28173"/>
    <cellStyle name="Note 32 2" xfId="28174"/>
    <cellStyle name="Note 32 2 2" xfId="28175"/>
    <cellStyle name="Note 32 2 2 2" xfId="28176"/>
    <cellStyle name="Note 32 2 3" xfId="28177"/>
    <cellStyle name="Note 32 2 3 2" xfId="28178"/>
    <cellStyle name="Note 32 2 4" xfId="28179"/>
    <cellStyle name="Note 32 3" xfId="28180"/>
    <cellStyle name="Note 32 3 2" xfId="28181"/>
    <cellStyle name="Note 32 3 2 2" xfId="28182"/>
    <cellStyle name="Note 32 3 3" xfId="28183"/>
    <cellStyle name="Note 32 3 3 2" xfId="28184"/>
    <cellStyle name="Note 32 3 4" xfId="28185"/>
    <cellStyle name="Note 32 4" xfId="28186"/>
    <cellStyle name="Note 32 4 2" xfId="28187"/>
    <cellStyle name="Note 32 5" xfId="28188"/>
    <cellStyle name="Note 32 5 2" xfId="28189"/>
    <cellStyle name="Note 32 6" xfId="28190"/>
    <cellStyle name="Note 32 7" xfId="28191"/>
    <cellStyle name="Note 33" xfId="28192"/>
    <cellStyle name="Note 33 2" xfId="28193"/>
    <cellStyle name="Note 33 2 2" xfId="28194"/>
    <cellStyle name="Note 33 2 2 2" xfId="28195"/>
    <cellStyle name="Note 33 2 3" xfId="28196"/>
    <cellStyle name="Note 33 2 3 2" xfId="28197"/>
    <cellStyle name="Note 33 2 4" xfId="28198"/>
    <cellStyle name="Note 33 3" xfId="28199"/>
    <cellStyle name="Note 33 3 2" xfId="28200"/>
    <cellStyle name="Note 33 3 2 2" xfId="28201"/>
    <cellStyle name="Note 33 3 3" xfId="28202"/>
    <cellStyle name="Note 33 3 3 2" xfId="28203"/>
    <cellStyle name="Note 33 3 4" xfId="28204"/>
    <cellStyle name="Note 33 4" xfId="28205"/>
    <cellStyle name="Note 33 4 2" xfId="28206"/>
    <cellStyle name="Note 33 5" xfId="28207"/>
    <cellStyle name="Note 33 5 2" xfId="28208"/>
    <cellStyle name="Note 33 6" xfId="28209"/>
    <cellStyle name="Note 33 7" xfId="28210"/>
    <cellStyle name="Note 34" xfId="28211"/>
    <cellStyle name="Note 34 2" xfId="28212"/>
    <cellStyle name="Note 34 2 2" xfId="28213"/>
    <cellStyle name="Note 34 2 2 2" xfId="28214"/>
    <cellStyle name="Note 34 2 3" xfId="28215"/>
    <cellStyle name="Note 34 2 3 2" xfId="28216"/>
    <cellStyle name="Note 34 2 4" xfId="28217"/>
    <cellStyle name="Note 34 3" xfId="28218"/>
    <cellStyle name="Note 34 3 2" xfId="28219"/>
    <cellStyle name="Note 34 3 2 2" xfId="28220"/>
    <cellStyle name="Note 34 3 3" xfId="28221"/>
    <cellStyle name="Note 34 3 3 2" xfId="28222"/>
    <cellStyle name="Note 34 3 4" xfId="28223"/>
    <cellStyle name="Note 34 4" xfId="28224"/>
    <cellStyle name="Note 34 4 2" xfId="28225"/>
    <cellStyle name="Note 34 5" xfId="28226"/>
    <cellStyle name="Note 34 5 2" xfId="28227"/>
    <cellStyle name="Note 34 6" xfId="28228"/>
    <cellStyle name="Note 34 7" xfId="28229"/>
    <cellStyle name="Note 35" xfId="28230"/>
    <cellStyle name="Note 35 2" xfId="28231"/>
    <cellStyle name="Note 35 2 2" xfId="28232"/>
    <cellStyle name="Note 35 2 2 2" xfId="28233"/>
    <cellStyle name="Note 35 2 3" xfId="28234"/>
    <cellStyle name="Note 35 2 3 2" xfId="28235"/>
    <cellStyle name="Note 35 2 4" xfId="28236"/>
    <cellStyle name="Note 35 3" xfId="28237"/>
    <cellStyle name="Note 35 3 2" xfId="28238"/>
    <cellStyle name="Note 35 3 2 2" xfId="28239"/>
    <cellStyle name="Note 35 3 3" xfId="28240"/>
    <cellStyle name="Note 35 3 3 2" xfId="28241"/>
    <cellStyle name="Note 35 3 4" xfId="28242"/>
    <cellStyle name="Note 35 4" xfId="28243"/>
    <cellStyle name="Note 35 4 2" xfId="28244"/>
    <cellStyle name="Note 35 5" xfId="28245"/>
    <cellStyle name="Note 35 5 2" xfId="28246"/>
    <cellStyle name="Note 35 6" xfId="28247"/>
    <cellStyle name="Note 35 7" xfId="28248"/>
    <cellStyle name="Note 36" xfId="28249"/>
    <cellStyle name="Note 36 2" xfId="28250"/>
    <cellStyle name="Note 36 2 2" xfId="28251"/>
    <cellStyle name="Note 36 2 2 2" xfId="28252"/>
    <cellStyle name="Note 36 2 3" xfId="28253"/>
    <cellStyle name="Note 36 2 3 2" xfId="28254"/>
    <cellStyle name="Note 36 2 4" xfId="28255"/>
    <cellStyle name="Note 36 3" xfId="28256"/>
    <cellStyle name="Note 36 3 2" xfId="28257"/>
    <cellStyle name="Note 36 3 2 2" xfId="28258"/>
    <cellStyle name="Note 36 3 3" xfId="28259"/>
    <cellStyle name="Note 36 3 3 2" xfId="28260"/>
    <cellStyle name="Note 36 3 4" xfId="28261"/>
    <cellStyle name="Note 36 4" xfId="28262"/>
    <cellStyle name="Note 36 4 2" xfId="28263"/>
    <cellStyle name="Note 36 5" xfId="28264"/>
    <cellStyle name="Note 36 5 2" xfId="28265"/>
    <cellStyle name="Note 36 6" xfId="28266"/>
    <cellStyle name="Note 36 7" xfId="28267"/>
    <cellStyle name="Note 37" xfId="28268"/>
    <cellStyle name="Note 37 2" xfId="28269"/>
    <cellStyle name="Note 37 2 2" xfId="28270"/>
    <cellStyle name="Note 37 2 2 2" xfId="28271"/>
    <cellStyle name="Note 37 2 3" xfId="28272"/>
    <cellStyle name="Note 37 2 3 2" xfId="28273"/>
    <cellStyle name="Note 37 2 4" xfId="28274"/>
    <cellStyle name="Note 37 3" xfId="28275"/>
    <cellStyle name="Note 37 3 2" xfId="28276"/>
    <cellStyle name="Note 37 3 2 2" xfId="28277"/>
    <cellStyle name="Note 37 3 3" xfId="28278"/>
    <cellStyle name="Note 37 3 3 2" xfId="28279"/>
    <cellStyle name="Note 37 3 4" xfId="28280"/>
    <cellStyle name="Note 37 4" xfId="28281"/>
    <cellStyle name="Note 37 4 2" xfId="28282"/>
    <cellStyle name="Note 37 5" xfId="28283"/>
    <cellStyle name="Note 37 5 2" xfId="28284"/>
    <cellStyle name="Note 37 6" xfId="28285"/>
    <cellStyle name="Note 37 7" xfId="28286"/>
    <cellStyle name="Note 38" xfId="28287"/>
    <cellStyle name="Note 38 2" xfId="28288"/>
    <cellStyle name="Note 38 2 2" xfId="28289"/>
    <cellStyle name="Note 38 2 2 2" xfId="28290"/>
    <cellStyle name="Note 38 2 3" xfId="28291"/>
    <cellStyle name="Note 38 2 3 2" xfId="28292"/>
    <cellStyle name="Note 38 2 4" xfId="28293"/>
    <cellStyle name="Note 38 3" xfId="28294"/>
    <cellStyle name="Note 38 3 2" xfId="28295"/>
    <cellStyle name="Note 38 3 2 2" xfId="28296"/>
    <cellStyle name="Note 38 3 3" xfId="28297"/>
    <cellStyle name="Note 38 3 3 2" xfId="28298"/>
    <cellStyle name="Note 38 3 4" xfId="28299"/>
    <cellStyle name="Note 38 4" xfId="28300"/>
    <cellStyle name="Note 38 4 2" xfId="28301"/>
    <cellStyle name="Note 38 5" xfId="28302"/>
    <cellStyle name="Note 38 5 2" xfId="28303"/>
    <cellStyle name="Note 38 6" xfId="28304"/>
    <cellStyle name="Note 38 7" xfId="28305"/>
    <cellStyle name="Note 39" xfId="28306"/>
    <cellStyle name="Note 39 2" xfId="28307"/>
    <cellStyle name="Note 39 2 2" xfId="28308"/>
    <cellStyle name="Note 39 2 2 2" xfId="28309"/>
    <cellStyle name="Note 39 2 3" xfId="28310"/>
    <cellStyle name="Note 39 2 3 2" xfId="28311"/>
    <cellStyle name="Note 39 2 4" xfId="28312"/>
    <cellStyle name="Note 39 3" xfId="28313"/>
    <cellStyle name="Note 39 3 2" xfId="28314"/>
    <cellStyle name="Note 39 3 2 2" xfId="28315"/>
    <cellStyle name="Note 39 3 3" xfId="28316"/>
    <cellStyle name="Note 39 3 3 2" xfId="28317"/>
    <cellStyle name="Note 39 3 4" xfId="28318"/>
    <cellStyle name="Note 39 4" xfId="28319"/>
    <cellStyle name="Note 39 4 2" xfId="28320"/>
    <cellStyle name="Note 39 5" xfId="28321"/>
    <cellStyle name="Note 39 5 2" xfId="28322"/>
    <cellStyle name="Note 39 6" xfId="28323"/>
    <cellStyle name="Note 39 7" xfId="28324"/>
    <cellStyle name="Note 4" xfId="28325"/>
    <cellStyle name="Note 4 2" xfId="28326"/>
    <cellStyle name="Note 4 2 2" xfId="28327"/>
    <cellStyle name="Note 4 2 2 2" xfId="28328"/>
    <cellStyle name="Note 4 2 3" xfId="28329"/>
    <cellStyle name="Note 4 2 3 2" xfId="28330"/>
    <cellStyle name="Note 4 2 4" xfId="28331"/>
    <cellStyle name="Note 4 3" xfId="28332"/>
    <cellStyle name="Note 4 3 2" xfId="28333"/>
    <cellStyle name="Note 4 3 2 2" xfId="28334"/>
    <cellStyle name="Note 4 3 3" xfId="28335"/>
    <cellStyle name="Note 4 3 3 2" xfId="28336"/>
    <cellStyle name="Note 4 3 4" xfId="28337"/>
    <cellStyle name="Note 4 4" xfId="28338"/>
    <cellStyle name="Note 4 4 2" xfId="28339"/>
    <cellStyle name="Note 4 5" xfId="28340"/>
    <cellStyle name="Note 4 5 2" xfId="28341"/>
    <cellStyle name="Note 4 6" xfId="28342"/>
    <cellStyle name="Note 4 6 2" xfId="28343"/>
    <cellStyle name="Note 4 7" xfId="28344"/>
    <cellStyle name="Note 4 7 2" xfId="28345"/>
    <cellStyle name="Note 4 8" xfId="28346"/>
    <cellStyle name="Note 4 8 2" xfId="28347"/>
    <cellStyle name="Note 4 9" xfId="28348"/>
    <cellStyle name="Note 40" xfId="28349"/>
    <cellStyle name="Note 40 2" xfId="28350"/>
    <cellStyle name="Note 40 2 2" xfId="28351"/>
    <cellStyle name="Note 40 2 2 2" xfId="28352"/>
    <cellStyle name="Note 40 2 3" xfId="28353"/>
    <cellStyle name="Note 40 2 3 2" xfId="28354"/>
    <cellStyle name="Note 40 2 4" xfId="28355"/>
    <cellStyle name="Note 40 3" xfId="28356"/>
    <cellStyle name="Note 40 3 2" xfId="28357"/>
    <cellStyle name="Note 40 3 2 2" xfId="28358"/>
    <cellStyle name="Note 40 3 3" xfId="28359"/>
    <cellStyle name="Note 40 3 3 2" xfId="28360"/>
    <cellStyle name="Note 40 3 4" xfId="28361"/>
    <cellStyle name="Note 40 4" xfId="28362"/>
    <cellStyle name="Note 40 4 2" xfId="28363"/>
    <cellStyle name="Note 40 5" xfId="28364"/>
    <cellStyle name="Note 40 5 2" xfId="28365"/>
    <cellStyle name="Note 40 6" xfId="28366"/>
    <cellStyle name="Note 40 7" xfId="28367"/>
    <cellStyle name="Note 41" xfId="28368"/>
    <cellStyle name="Note 41 2" xfId="28369"/>
    <cellStyle name="Note 41 2 2" xfId="28370"/>
    <cellStyle name="Note 41 2 2 2" xfId="28371"/>
    <cellStyle name="Note 41 2 3" xfId="28372"/>
    <cellStyle name="Note 41 2 3 2" xfId="28373"/>
    <cellStyle name="Note 41 2 4" xfId="28374"/>
    <cellStyle name="Note 41 3" xfId="28375"/>
    <cellStyle name="Note 41 3 2" xfId="28376"/>
    <cellStyle name="Note 41 3 2 2" xfId="28377"/>
    <cellStyle name="Note 41 3 3" xfId="28378"/>
    <cellStyle name="Note 41 3 3 2" xfId="28379"/>
    <cellStyle name="Note 41 3 4" xfId="28380"/>
    <cellStyle name="Note 41 4" xfId="28381"/>
    <cellStyle name="Note 41 4 2" xfId="28382"/>
    <cellStyle name="Note 41 5" xfId="28383"/>
    <cellStyle name="Note 41 5 2" xfId="28384"/>
    <cellStyle name="Note 41 6" xfId="28385"/>
    <cellStyle name="Note 41 7" xfId="28386"/>
    <cellStyle name="Note 42" xfId="28387"/>
    <cellStyle name="Note 42 2" xfId="28388"/>
    <cellStyle name="Note 42 2 2" xfId="28389"/>
    <cellStyle name="Note 42 2 2 2" xfId="28390"/>
    <cellStyle name="Note 42 2 3" xfId="28391"/>
    <cellStyle name="Note 42 2 3 2" xfId="28392"/>
    <cellStyle name="Note 42 2 4" xfId="28393"/>
    <cellStyle name="Note 42 3" xfId="28394"/>
    <cellStyle name="Note 42 3 2" xfId="28395"/>
    <cellStyle name="Note 42 3 2 2" xfId="28396"/>
    <cellStyle name="Note 42 3 3" xfId="28397"/>
    <cellStyle name="Note 42 3 3 2" xfId="28398"/>
    <cellStyle name="Note 42 3 4" xfId="28399"/>
    <cellStyle name="Note 42 4" xfId="28400"/>
    <cellStyle name="Note 42 4 2" xfId="28401"/>
    <cellStyle name="Note 42 5" xfId="28402"/>
    <cellStyle name="Note 42 5 2" xfId="28403"/>
    <cellStyle name="Note 42 6" xfId="28404"/>
    <cellStyle name="Note 42 7" xfId="28405"/>
    <cellStyle name="Note 43" xfId="28406"/>
    <cellStyle name="Note 43 2" xfId="28407"/>
    <cellStyle name="Note 43 2 2" xfId="28408"/>
    <cellStyle name="Note 43 2 2 2" xfId="28409"/>
    <cellStyle name="Note 43 2 3" xfId="28410"/>
    <cellStyle name="Note 43 2 3 2" xfId="28411"/>
    <cellStyle name="Note 43 2 4" xfId="28412"/>
    <cellStyle name="Note 43 3" xfId="28413"/>
    <cellStyle name="Note 43 3 2" xfId="28414"/>
    <cellStyle name="Note 43 3 2 2" xfId="28415"/>
    <cellStyle name="Note 43 3 3" xfId="28416"/>
    <cellStyle name="Note 43 3 3 2" xfId="28417"/>
    <cellStyle name="Note 43 3 4" xfId="28418"/>
    <cellStyle name="Note 43 4" xfId="28419"/>
    <cellStyle name="Note 43 4 2" xfId="28420"/>
    <cellStyle name="Note 43 5" xfId="28421"/>
    <cellStyle name="Note 43 5 2" xfId="28422"/>
    <cellStyle name="Note 43 6" xfId="28423"/>
    <cellStyle name="Note 43 7" xfId="28424"/>
    <cellStyle name="Note 44" xfId="28425"/>
    <cellStyle name="Note 44 2" xfId="28426"/>
    <cellStyle name="Note 44 2 2" xfId="28427"/>
    <cellStyle name="Note 44 2 2 2" xfId="28428"/>
    <cellStyle name="Note 44 2 3" xfId="28429"/>
    <cellStyle name="Note 44 2 3 2" xfId="28430"/>
    <cellStyle name="Note 44 2 4" xfId="28431"/>
    <cellStyle name="Note 44 3" xfId="28432"/>
    <cellStyle name="Note 44 3 2" xfId="28433"/>
    <cellStyle name="Note 44 3 2 2" xfId="28434"/>
    <cellStyle name="Note 44 3 3" xfId="28435"/>
    <cellStyle name="Note 44 3 3 2" xfId="28436"/>
    <cellStyle name="Note 44 3 4" xfId="28437"/>
    <cellStyle name="Note 44 4" xfId="28438"/>
    <cellStyle name="Note 44 4 2" xfId="28439"/>
    <cellStyle name="Note 44 5" xfId="28440"/>
    <cellStyle name="Note 44 5 2" xfId="28441"/>
    <cellStyle name="Note 44 6" xfId="28442"/>
    <cellStyle name="Note 44 7" xfId="28443"/>
    <cellStyle name="Note 45" xfId="28444"/>
    <cellStyle name="Note 45 2" xfId="28445"/>
    <cellStyle name="Note 45 2 2" xfId="28446"/>
    <cellStyle name="Note 45 2 2 2" xfId="28447"/>
    <cellStyle name="Note 45 2 3" xfId="28448"/>
    <cellStyle name="Note 45 2 3 2" xfId="28449"/>
    <cellStyle name="Note 45 2 4" xfId="28450"/>
    <cellStyle name="Note 45 3" xfId="28451"/>
    <cellStyle name="Note 45 3 2" xfId="28452"/>
    <cellStyle name="Note 45 3 2 2" xfId="28453"/>
    <cellStyle name="Note 45 3 3" xfId="28454"/>
    <cellStyle name="Note 45 3 3 2" xfId="28455"/>
    <cellStyle name="Note 45 3 4" xfId="28456"/>
    <cellStyle name="Note 45 4" xfId="28457"/>
    <cellStyle name="Note 45 4 2" xfId="28458"/>
    <cellStyle name="Note 45 5" xfId="28459"/>
    <cellStyle name="Note 45 5 2" xfId="28460"/>
    <cellStyle name="Note 45 6" xfId="28461"/>
    <cellStyle name="Note 45 7" xfId="28462"/>
    <cellStyle name="Note 46" xfId="28463"/>
    <cellStyle name="Note 46 2" xfId="28464"/>
    <cellStyle name="Note 46 2 2" xfId="28465"/>
    <cellStyle name="Note 46 2 2 2" xfId="28466"/>
    <cellStyle name="Note 46 2 3" xfId="28467"/>
    <cellStyle name="Note 46 2 3 2" xfId="28468"/>
    <cellStyle name="Note 46 2 4" xfId="28469"/>
    <cellStyle name="Note 46 3" xfId="28470"/>
    <cellStyle name="Note 46 3 2" xfId="28471"/>
    <cellStyle name="Note 46 3 2 2" xfId="28472"/>
    <cellStyle name="Note 46 3 3" xfId="28473"/>
    <cellStyle name="Note 46 3 3 2" xfId="28474"/>
    <cellStyle name="Note 46 3 4" xfId="28475"/>
    <cellStyle name="Note 46 4" xfId="28476"/>
    <cellStyle name="Note 46 4 2" xfId="28477"/>
    <cellStyle name="Note 46 5" xfId="28478"/>
    <cellStyle name="Note 46 5 2" xfId="28479"/>
    <cellStyle name="Note 46 6" xfId="28480"/>
    <cellStyle name="Note 46 7" xfId="28481"/>
    <cellStyle name="Note 47" xfId="28482"/>
    <cellStyle name="Note 47 2" xfId="28483"/>
    <cellStyle name="Note 47 2 2" xfId="28484"/>
    <cellStyle name="Note 47 2 2 2" xfId="28485"/>
    <cellStyle name="Note 47 2 3" xfId="28486"/>
    <cellStyle name="Note 47 2 3 2" xfId="28487"/>
    <cellStyle name="Note 47 2 4" xfId="28488"/>
    <cellStyle name="Note 47 3" xfId="28489"/>
    <cellStyle name="Note 47 3 2" xfId="28490"/>
    <cellStyle name="Note 47 3 2 2" xfId="28491"/>
    <cellStyle name="Note 47 3 3" xfId="28492"/>
    <cellStyle name="Note 47 3 3 2" xfId="28493"/>
    <cellStyle name="Note 47 3 4" xfId="28494"/>
    <cellStyle name="Note 47 4" xfId="28495"/>
    <cellStyle name="Note 47 4 2" xfId="28496"/>
    <cellStyle name="Note 47 5" xfId="28497"/>
    <cellStyle name="Note 47 5 2" xfId="28498"/>
    <cellStyle name="Note 47 6" xfId="28499"/>
    <cellStyle name="Note 47 7" xfId="28500"/>
    <cellStyle name="Note 48" xfId="28501"/>
    <cellStyle name="Note 48 2" xfId="28502"/>
    <cellStyle name="Note 48 2 2" xfId="28503"/>
    <cellStyle name="Note 48 2 2 2" xfId="28504"/>
    <cellStyle name="Note 48 2 3" xfId="28505"/>
    <cellStyle name="Note 48 2 3 2" xfId="28506"/>
    <cellStyle name="Note 48 2 4" xfId="28507"/>
    <cellStyle name="Note 48 3" xfId="28508"/>
    <cellStyle name="Note 48 3 2" xfId="28509"/>
    <cellStyle name="Note 48 3 2 2" xfId="28510"/>
    <cellStyle name="Note 48 3 3" xfId="28511"/>
    <cellStyle name="Note 48 3 3 2" xfId="28512"/>
    <cellStyle name="Note 48 3 4" xfId="28513"/>
    <cellStyle name="Note 48 4" xfId="28514"/>
    <cellStyle name="Note 48 4 2" xfId="28515"/>
    <cellStyle name="Note 48 5" xfId="28516"/>
    <cellStyle name="Note 48 5 2" xfId="28517"/>
    <cellStyle name="Note 48 6" xfId="28518"/>
    <cellStyle name="Note 48 7" xfId="28519"/>
    <cellStyle name="Note 49" xfId="28520"/>
    <cellStyle name="Note 49 2" xfId="28521"/>
    <cellStyle name="Note 49 2 2" xfId="28522"/>
    <cellStyle name="Note 49 2 2 2" xfId="28523"/>
    <cellStyle name="Note 49 2 3" xfId="28524"/>
    <cellStyle name="Note 49 2 3 2" xfId="28525"/>
    <cellStyle name="Note 49 2 4" xfId="28526"/>
    <cellStyle name="Note 49 3" xfId="28527"/>
    <cellStyle name="Note 49 3 2" xfId="28528"/>
    <cellStyle name="Note 49 3 2 2" xfId="28529"/>
    <cellStyle name="Note 49 3 3" xfId="28530"/>
    <cellStyle name="Note 49 3 3 2" xfId="28531"/>
    <cellStyle name="Note 49 3 4" xfId="28532"/>
    <cellStyle name="Note 49 4" xfId="28533"/>
    <cellStyle name="Note 49 4 2" xfId="28534"/>
    <cellStyle name="Note 49 5" xfId="28535"/>
    <cellStyle name="Note 49 5 2" xfId="28536"/>
    <cellStyle name="Note 49 6" xfId="28537"/>
    <cellStyle name="Note 49 7" xfId="28538"/>
    <cellStyle name="Note 5" xfId="28539"/>
    <cellStyle name="Note 5 2" xfId="28540"/>
    <cellStyle name="Note 5 2 2" xfId="28541"/>
    <cellStyle name="Note 5 2 2 2" xfId="28542"/>
    <cellStyle name="Note 5 2 3" xfId="28543"/>
    <cellStyle name="Note 5 2 3 2" xfId="28544"/>
    <cellStyle name="Note 5 2 4" xfId="28545"/>
    <cellStyle name="Note 5 3" xfId="28546"/>
    <cellStyle name="Note 5 3 2" xfId="28547"/>
    <cellStyle name="Note 5 3 2 2" xfId="28548"/>
    <cellStyle name="Note 5 3 3" xfId="28549"/>
    <cellStyle name="Note 5 3 3 2" xfId="28550"/>
    <cellStyle name="Note 5 3 4" xfId="28551"/>
    <cellStyle name="Note 5 4" xfId="28552"/>
    <cellStyle name="Note 5 4 2" xfId="28553"/>
    <cellStyle name="Note 5 5" xfId="28554"/>
    <cellStyle name="Note 5 5 2" xfId="28555"/>
    <cellStyle name="Note 5 6" xfId="28556"/>
    <cellStyle name="Note 50" xfId="28557"/>
    <cellStyle name="Note 50 2" xfId="28558"/>
    <cellStyle name="Note 50 2 2" xfId="28559"/>
    <cellStyle name="Note 50 2 2 2" xfId="28560"/>
    <cellStyle name="Note 50 2 3" xfId="28561"/>
    <cellStyle name="Note 50 2 3 2" xfId="28562"/>
    <cellStyle name="Note 50 2 4" xfId="28563"/>
    <cellStyle name="Note 50 3" xfId="28564"/>
    <cellStyle name="Note 50 3 2" xfId="28565"/>
    <cellStyle name="Note 50 3 2 2" xfId="28566"/>
    <cellStyle name="Note 50 3 3" xfId="28567"/>
    <cellStyle name="Note 50 3 3 2" xfId="28568"/>
    <cellStyle name="Note 50 3 4" xfId="28569"/>
    <cellStyle name="Note 50 4" xfId="28570"/>
    <cellStyle name="Note 50 4 2" xfId="28571"/>
    <cellStyle name="Note 50 5" xfId="28572"/>
    <cellStyle name="Note 50 5 2" xfId="28573"/>
    <cellStyle name="Note 50 6" xfId="28574"/>
    <cellStyle name="Note 50 7" xfId="28575"/>
    <cellStyle name="Note 51" xfId="28576"/>
    <cellStyle name="Note 51 2" xfId="28577"/>
    <cellStyle name="Note 51 2 2" xfId="28578"/>
    <cellStyle name="Note 51 2 2 2" xfId="28579"/>
    <cellStyle name="Note 51 2 3" xfId="28580"/>
    <cellStyle name="Note 51 2 3 2" xfId="28581"/>
    <cellStyle name="Note 51 2 4" xfId="28582"/>
    <cellStyle name="Note 51 3" xfId="28583"/>
    <cellStyle name="Note 51 3 2" xfId="28584"/>
    <cellStyle name="Note 51 3 2 2" xfId="28585"/>
    <cellStyle name="Note 51 3 3" xfId="28586"/>
    <cellStyle name="Note 51 3 3 2" xfId="28587"/>
    <cellStyle name="Note 51 3 4" xfId="28588"/>
    <cellStyle name="Note 51 4" xfId="28589"/>
    <cellStyle name="Note 51 4 2" xfId="28590"/>
    <cellStyle name="Note 51 5" xfId="28591"/>
    <cellStyle name="Note 51 5 2" xfId="28592"/>
    <cellStyle name="Note 51 6" xfId="28593"/>
    <cellStyle name="Note 51 7" xfId="28594"/>
    <cellStyle name="Note 52" xfId="28595"/>
    <cellStyle name="Note 52 2" xfId="28596"/>
    <cellStyle name="Note 52 2 2" xfId="28597"/>
    <cellStyle name="Note 52 2 2 2" xfId="28598"/>
    <cellStyle name="Note 52 2 3" xfId="28599"/>
    <cellStyle name="Note 52 2 3 2" xfId="28600"/>
    <cellStyle name="Note 52 2 4" xfId="28601"/>
    <cellStyle name="Note 52 3" xfId="28602"/>
    <cellStyle name="Note 52 3 2" xfId="28603"/>
    <cellStyle name="Note 52 3 2 2" xfId="28604"/>
    <cellStyle name="Note 52 3 3" xfId="28605"/>
    <cellStyle name="Note 52 3 3 2" xfId="28606"/>
    <cellStyle name="Note 52 3 4" xfId="28607"/>
    <cellStyle name="Note 52 4" xfId="28608"/>
    <cellStyle name="Note 52 4 2" xfId="28609"/>
    <cellStyle name="Note 52 5" xfId="28610"/>
    <cellStyle name="Note 52 5 2" xfId="28611"/>
    <cellStyle name="Note 52 6" xfId="28612"/>
    <cellStyle name="Note 52 7" xfId="28613"/>
    <cellStyle name="Note 53" xfId="28614"/>
    <cellStyle name="Note 53 2" xfId="28615"/>
    <cellStyle name="Note 53 2 2" xfId="28616"/>
    <cellStyle name="Note 53 2 2 2" xfId="28617"/>
    <cellStyle name="Note 53 2 3" xfId="28618"/>
    <cellStyle name="Note 53 2 3 2" xfId="28619"/>
    <cellStyle name="Note 53 2 4" xfId="28620"/>
    <cellStyle name="Note 53 3" xfId="28621"/>
    <cellStyle name="Note 53 3 2" xfId="28622"/>
    <cellStyle name="Note 53 3 2 2" xfId="28623"/>
    <cellStyle name="Note 53 3 3" xfId="28624"/>
    <cellStyle name="Note 53 3 3 2" xfId="28625"/>
    <cellStyle name="Note 53 3 4" xfId="28626"/>
    <cellStyle name="Note 53 4" xfId="28627"/>
    <cellStyle name="Note 53 4 2" xfId="28628"/>
    <cellStyle name="Note 53 5" xfId="28629"/>
    <cellStyle name="Note 53 5 2" xfId="28630"/>
    <cellStyle name="Note 53 6" xfId="28631"/>
    <cellStyle name="Note 53 7" xfId="28632"/>
    <cellStyle name="Note 54" xfId="28633"/>
    <cellStyle name="Note 54 2" xfId="28634"/>
    <cellStyle name="Note 54 2 2" xfId="28635"/>
    <cellStyle name="Note 54 2 2 2" xfId="28636"/>
    <cellStyle name="Note 54 2 3" xfId="28637"/>
    <cellStyle name="Note 54 2 3 2" xfId="28638"/>
    <cellStyle name="Note 54 2 4" xfId="28639"/>
    <cellStyle name="Note 54 3" xfId="28640"/>
    <cellStyle name="Note 54 3 2" xfId="28641"/>
    <cellStyle name="Note 54 3 2 2" xfId="28642"/>
    <cellStyle name="Note 54 3 3" xfId="28643"/>
    <cellStyle name="Note 54 3 3 2" xfId="28644"/>
    <cellStyle name="Note 54 3 4" xfId="28645"/>
    <cellStyle name="Note 54 4" xfId="28646"/>
    <cellStyle name="Note 54 4 2" xfId="28647"/>
    <cellStyle name="Note 54 5" xfId="28648"/>
    <cellStyle name="Note 54 5 2" xfId="28649"/>
    <cellStyle name="Note 54 6" xfId="28650"/>
    <cellStyle name="Note 54 7" xfId="28651"/>
    <cellStyle name="Note 55" xfId="28652"/>
    <cellStyle name="Note 55 2" xfId="28653"/>
    <cellStyle name="Note 55 2 2" xfId="28654"/>
    <cellStyle name="Note 55 2 2 2" xfId="28655"/>
    <cellStyle name="Note 55 2 3" xfId="28656"/>
    <cellStyle name="Note 55 2 3 2" xfId="28657"/>
    <cellStyle name="Note 55 2 4" xfId="28658"/>
    <cellStyle name="Note 55 3" xfId="28659"/>
    <cellStyle name="Note 55 3 2" xfId="28660"/>
    <cellStyle name="Note 55 3 2 2" xfId="28661"/>
    <cellStyle name="Note 55 3 3" xfId="28662"/>
    <cellStyle name="Note 55 3 3 2" xfId="28663"/>
    <cellStyle name="Note 55 3 4" xfId="28664"/>
    <cellStyle name="Note 55 4" xfId="28665"/>
    <cellStyle name="Note 55 4 2" xfId="28666"/>
    <cellStyle name="Note 55 5" xfId="28667"/>
    <cellStyle name="Note 55 5 2" xfId="28668"/>
    <cellStyle name="Note 55 6" xfId="28669"/>
    <cellStyle name="Note 55 7" xfId="28670"/>
    <cellStyle name="Note 56" xfId="28671"/>
    <cellStyle name="Note 56 2" xfId="28672"/>
    <cellStyle name="Note 56 2 2" xfId="28673"/>
    <cellStyle name="Note 56 2 2 2" xfId="28674"/>
    <cellStyle name="Note 56 2 3" xfId="28675"/>
    <cellStyle name="Note 56 2 3 2" xfId="28676"/>
    <cellStyle name="Note 56 2 4" xfId="28677"/>
    <cellStyle name="Note 56 3" xfId="28678"/>
    <cellStyle name="Note 56 3 2" xfId="28679"/>
    <cellStyle name="Note 56 3 2 2" xfId="28680"/>
    <cellStyle name="Note 56 3 3" xfId="28681"/>
    <cellStyle name="Note 56 3 3 2" xfId="28682"/>
    <cellStyle name="Note 56 3 4" xfId="28683"/>
    <cellStyle name="Note 56 4" xfId="28684"/>
    <cellStyle name="Note 56 4 2" xfId="28685"/>
    <cellStyle name="Note 56 5" xfId="28686"/>
    <cellStyle name="Note 56 5 2" xfId="28687"/>
    <cellStyle name="Note 56 6" xfId="28688"/>
    <cellStyle name="Note 56 7" xfId="28689"/>
    <cellStyle name="Note 57" xfId="28690"/>
    <cellStyle name="Note 57 2" xfId="28691"/>
    <cellStyle name="Note 57 2 2" xfId="28692"/>
    <cellStyle name="Note 57 2 2 2" xfId="28693"/>
    <cellStyle name="Note 57 2 3" xfId="28694"/>
    <cellStyle name="Note 57 2 3 2" xfId="28695"/>
    <cellStyle name="Note 57 2 4" xfId="28696"/>
    <cellStyle name="Note 57 3" xfId="28697"/>
    <cellStyle name="Note 57 3 2" xfId="28698"/>
    <cellStyle name="Note 57 3 2 2" xfId="28699"/>
    <cellStyle name="Note 57 3 3" xfId="28700"/>
    <cellStyle name="Note 57 3 3 2" xfId="28701"/>
    <cellStyle name="Note 57 3 4" xfId="28702"/>
    <cellStyle name="Note 57 4" xfId="28703"/>
    <cellStyle name="Note 57 4 2" xfId="28704"/>
    <cellStyle name="Note 57 5" xfId="28705"/>
    <cellStyle name="Note 57 5 2" xfId="28706"/>
    <cellStyle name="Note 57 6" xfId="28707"/>
    <cellStyle name="Note 57 7" xfId="28708"/>
    <cellStyle name="Note 58" xfId="28709"/>
    <cellStyle name="Note 58 2" xfId="28710"/>
    <cellStyle name="Note 58 2 2" xfId="28711"/>
    <cellStyle name="Note 58 2 2 2" xfId="28712"/>
    <cellStyle name="Note 58 2 3" xfId="28713"/>
    <cellStyle name="Note 58 2 3 2" xfId="28714"/>
    <cellStyle name="Note 58 2 4" xfId="28715"/>
    <cellStyle name="Note 58 3" xfId="28716"/>
    <cellStyle name="Note 58 3 2" xfId="28717"/>
    <cellStyle name="Note 58 3 2 2" xfId="28718"/>
    <cellStyle name="Note 58 3 3" xfId="28719"/>
    <cellStyle name="Note 58 3 3 2" xfId="28720"/>
    <cellStyle name="Note 58 3 4" xfId="28721"/>
    <cellStyle name="Note 58 4" xfId="28722"/>
    <cellStyle name="Note 58 4 2" xfId="28723"/>
    <cellStyle name="Note 58 5" xfId="28724"/>
    <cellStyle name="Note 58 5 2" xfId="28725"/>
    <cellStyle name="Note 58 6" xfId="28726"/>
    <cellStyle name="Note 58 7" xfId="28727"/>
    <cellStyle name="Note 59" xfId="28728"/>
    <cellStyle name="Note 59 2" xfId="28729"/>
    <cellStyle name="Note 59 2 2" xfId="28730"/>
    <cellStyle name="Note 59 2 2 2" xfId="28731"/>
    <cellStyle name="Note 59 2 3" xfId="28732"/>
    <cellStyle name="Note 59 2 3 2" xfId="28733"/>
    <cellStyle name="Note 59 2 4" xfId="28734"/>
    <cellStyle name="Note 59 3" xfId="28735"/>
    <cellStyle name="Note 59 3 2" xfId="28736"/>
    <cellStyle name="Note 59 3 2 2" xfId="28737"/>
    <cellStyle name="Note 59 3 3" xfId="28738"/>
    <cellStyle name="Note 59 3 3 2" xfId="28739"/>
    <cellStyle name="Note 59 3 4" xfId="28740"/>
    <cellStyle name="Note 59 4" xfId="28741"/>
    <cellStyle name="Note 59 4 2" xfId="28742"/>
    <cellStyle name="Note 59 5" xfId="28743"/>
    <cellStyle name="Note 59 5 2" xfId="28744"/>
    <cellStyle name="Note 59 6" xfId="28745"/>
    <cellStyle name="Note 59 7" xfId="28746"/>
    <cellStyle name="Note 6" xfId="28747"/>
    <cellStyle name="Note 6 2" xfId="28748"/>
    <cellStyle name="Note 6 2 2" xfId="28749"/>
    <cellStyle name="Note 6 2 2 2" xfId="28750"/>
    <cellStyle name="Note 6 2 3" xfId="28751"/>
    <cellStyle name="Note 6 2 3 2" xfId="28752"/>
    <cellStyle name="Note 6 2 4" xfId="28753"/>
    <cellStyle name="Note 6 3" xfId="28754"/>
    <cellStyle name="Note 6 3 2" xfId="28755"/>
    <cellStyle name="Note 6 3 2 2" xfId="28756"/>
    <cellStyle name="Note 6 3 3" xfId="28757"/>
    <cellStyle name="Note 6 3 3 2" xfId="28758"/>
    <cellStyle name="Note 6 3 4" xfId="28759"/>
    <cellStyle name="Note 6 4" xfId="28760"/>
    <cellStyle name="Note 6 4 2" xfId="28761"/>
    <cellStyle name="Note 6 5" xfId="28762"/>
    <cellStyle name="Note 6 5 2" xfId="28763"/>
    <cellStyle name="Note 6 6" xfId="28764"/>
    <cellStyle name="Note 60" xfId="28765"/>
    <cellStyle name="Note 60 2" xfId="28766"/>
    <cellStyle name="Note 60 2 2" xfId="28767"/>
    <cellStyle name="Note 60 2 2 2" xfId="28768"/>
    <cellStyle name="Note 60 2 3" xfId="28769"/>
    <cellStyle name="Note 60 2 3 2" xfId="28770"/>
    <cellStyle name="Note 60 2 4" xfId="28771"/>
    <cellStyle name="Note 60 3" xfId="28772"/>
    <cellStyle name="Note 60 3 2" xfId="28773"/>
    <cellStyle name="Note 60 3 2 2" xfId="28774"/>
    <cellStyle name="Note 60 3 3" xfId="28775"/>
    <cellStyle name="Note 60 3 3 2" xfId="28776"/>
    <cellStyle name="Note 60 3 4" xfId="28777"/>
    <cellStyle name="Note 60 4" xfId="28778"/>
    <cellStyle name="Note 60 4 2" xfId="28779"/>
    <cellStyle name="Note 60 5" xfId="28780"/>
    <cellStyle name="Note 60 5 2" xfId="28781"/>
    <cellStyle name="Note 60 6" xfId="28782"/>
    <cellStyle name="Note 60 7" xfId="28783"/>
    <cellStyle name="Note 61" xfId="28784"/>
    <cellStyle name="Note 61 2" xfId="28785"/>
    <cellStyle name="Note 61 2 2" xfId="28786"/>
    <cellStyle name="Note 61 3" xfId="28787"/>
    <cellStyle name="Note 61 3 2" xfId="28788"/>
    <cellStyle name="Note 61 4" xfId="28789"/>
    <cellStyle name="Note 61 5" xfId="28790"/>
    <cellStyle name="Note 62" xfId="28791"/>
    <cellStyle name="Note 62 2" xfId="28792"/>
    <cellStyle name="Note 62 2 2" xfId="28793"/>
    <cellStyle name="Note 62 3" xfId="28794"/>
    <cellStyle name="Note 62 3 2" xfId="28795"/>
    <cellStyle name="Note 62 4" xfId="28796"/>
    <cellStyle name="Note 62 5" xfId="28797"/>
    <cellStyle name="Note 63" xfId="28798"/>
    <cellStyle name="Note 63 2" xfId="28799"/>
    <cellStyle name="Note 63 2 2" xfId="28800"/>
    <cellStyle name="Note 63 3" xfId="28801"/>
    <cellStyle name="Note 63 3 2" xfId="28802"/>
    <cellStyle name="Note 63 4" xfId="28803"/>
    <cellStyle name="Note 63 5" xfId="28804"/>
    <cellStyle name="Note 64" xfId="28805"/>
    <cellStyle name="Note 64 2" xfId="28806"/>
    <cellStyle name="Note 64 2 2" xfId="28807"/>
    <cellStyle name="Note 64 3" xfId="28808"/>
    <cellStyle name="Note 64 3 2" xfId="28809"/>
    <cellStyle name="Note 64 4" xfId="28810"/>
    <cellStyle name="Note 64 5" xfId="28811"/>
    <cellStyle name="Note 65" xfId="28812"/>
    <cellStyle name="Note 65 2" xfId="28813"/>
    <cellStyle name="Note 65 2 2" xfId="28814"/>
    <cellStyle name="Note 65 3" xfId="28815"/>
    <cellStyle name="Note 65 3 2" xfId="28816"/>
    <cellStyle name="Note 65 4" xfId="28817"/>
    <cellStyle name="Note 65 5" xfId="28818"/>
    <cellStyle name="Note 66" xfId="28819"/>
    <cellStyle name="Note 66 2" xfId="28820"/>
    <cellStyle name="Note 66 2 2" xfId="28821"/>
    <cellStyle name="Note 66 3" xfId="28822"/>
    <cellStyle name="Note 66 3 2" xfId="28823"/>
    <cellStyle name="Note 66 4" xfId="28824"/>
    <cellStyle name="Note 66 5" xfId="28825"/>
    <cellStyle name="Note 67" xfId="28826"/>
    <cellStyle name="Note 67 2" xfId="28827"/>
    <cellStyle name="Note 67 2 2" xfId="28828"/>
    <cellStyle name="Note 67 3" xfId="28829"/>
    <cellStyle name="Note 67 3 2" xfId="28830"/>
    <cellStyle name="Note 67 4" xfId="28831"/>
    <cellStyle name="Note 67 5" xfId="28832"/>
    <cellStyle name="Note 68" xfId="28833"/>
    <cellStyle name="Note 68 2" xfId="28834"/>
    <cellStyle name="Note 68 2 2" xfId="28835"/>
    <cellStyle name="Note 68 3" xfId="28836"/>
    <cellStyle name="Note 68 3 2" xfId="28837"/>
    <cellStyle name="Note 68 4" xfId="28838"/>
    <cellStyle name="Note 68 5" xfId="28839"/>
    <cellStyle name="Note 69" xfId="28840"/>
    <cellStyle name="Note 69 2" xfId="28841"/>
    <cellStyle name="Note 69 2 2" xfId="28842"/>
    <cellStyle name="Note 69 3" xfId="28843"/>
    <cellStyle name="Note 69 3 2" xfId="28844"/>
    <cellStyle name="Note 69 4" xfId="28845"/>
    <cellStyle name="Note 69 5" xfId="28846"/>
    <cellStyle name="Note 7" xfId="28847"/>
    <cellStyle name="Note 7 2" xfId="28848"/>
    <cellStyle name="Note 7 2 2" xfId="28849"/>
    <cellStyle name="Note 7 2 2 2" xfId="28850"/>
    <cellStyle name="Note 7 2 3" xfId="28851"/>
    <cellStyle name="Note 7 2 3 2" xfId="28852"/>
    <cellStyle name="Note 7 2 4" xfId="28853"/>
    <cellStyle name="Note 7 3" xfId="28854"/>
    <cellStyle name="Note 7 3 2" xfId="28855"/>
    <cellStyle name="Note 7 3 2 2" xfId="28856"/>
    <cellStyle name="Note 7 3 3" xfId="28857"/>
    <cellStyle name="Note 7 3 3 2" xfId="28858"/>
    <cellStyle name="Note 7 3 4" xfId="28859"/>
    <cellStyle name="Note 7 4" xfId="28860"/>
    <cellStyle name="Note 7 4 2" xfId="28861"/>
    <cellStyle name="Note 7 5" xfId="28862"/>
    <cellStyle name="Note 7 5 2" xfId="28863"/>
    <cellStyle name="Note 7 6" xfId="28864"/>
    <cellStyle name="Note 70" xfId="28865"/>
    <cellStyle name="Note 70 2" xfId="28866"/>
    <cellStyle name="Note 70 2 2" xfId="28867"/>
    <cellStyle name="Note 70 3" xfId="28868"/>
    <cellStyle name="Note 70 3 2" xfId="28869"/>
    <cellStyle name="Note 70 4" xfId="28870"/>
    <cellStyle name="Note 71" xfId="28871"/>
    <cellStyle name="Note 71 2" xfId="28872"/>
    <cellStyle name="Note 71 2 2" xfId="28873"/>
    <cellStyle name="Note 71 3" xfId="28874"/>
    <cellStyle name="Note 71 3 2" xfId="28875"/>
    <cellStyle name="Note 71 4" xfId="28876"/>
    <cellStyle name="Note 72" xfId="28877"/>
    <cellStyle name="Note 72 2" xfId="28878"/>
    <cellStyle name="Note 72 2 2" xfId="28879"/>
    <cellStyle name="Note 72 3" xfId="28880"/>
    <cellStyle name="Note 72 3 2" xfId="28881"/>
    <cellStyle name="Note 72 4" xfId="28882"/>
    <cellStyle name="Note 73" xfId="28883"/>
    <cellStyle name="Note 73 2" xfId="28884"/>
    <cellStyle name="Note 73 2 2" xfId="28885"/>
    <cellStyle name="Note 73 3" xfId="28886"/>
    <cellStyle name="Note 73 3 2" xfId="28887"/>
    <cellStyle name="Note 73 4" xfId="28888"/>
    <cellStyle name="Note 74" xfId="28889"/>
    <cellStyle name="Note 74 2" xfId="28890"/>
    <cellStyle name="Note 74 2 2" xfId="28891"/>
    <cellStyle name="Note 74 3" xfId="28892"/>
    <cellStyle name="Note 74 3 2" xfId="28893"/>
    <cellStyle name="Note 74 4" xfId="28894"/>
    <cellStyle name="Note 75" xfId="28895"/>
    <cellStyle name="Note 75 2" xfId="28896"/>
    <cellStyle name="Note 75 2 2" xfId="28897"/>
    <cellStyle name="Note 75 3" xfId="28898"/>
    <cellStyle name="Note 75 3 2" xfId="28899"/>
    <cellStyle name="Note 75 4" xfId="28900"/>
    <cellStyle name="Note 76" xfId="28901"/>
    <cellStyle name="Note 76 2" xfId="28902"/>
    <cellStyle name="Note 76 2 2" xfId="28903"/>
    <cellStyle name="Note 76 3" xfId="28904"/>
    <cellStyle name="Note 76 3 2" xfId="28905"/>
    <cellStyle name="Note 76 4" xfId="28906"/>
    <cellStyle name="Note 77" xfId="28907"/>
    <cellStyle name="Note 77 2" xfId="28908"/>
    <cellStyle name="Note 77 2 2" xfId="28909"/>
    <cellStyle name="Note 77 3" xfId="28910"/>
    <cellStyle name="Note 77 3 2" xfId="28911"/>
    <cellStyle name="Note 77 4" xfId="28912"/>
    <cellStyle name="Note 78" xfId="28913"/>
    <cellStyle name="Note 78 2" xfId="28914"/>
    <cellStyle name="Note 78 2 2" xfId="28915"/>
    <cellStyle name="Note 78 3" xfId="28916"/>
    <cellStyle name="Note 78 3 2" xfId="28917"/>
    <cellStyle name="Note 78 4" xfId="28918"/>
    <cellStyle name="Note 79" xfId="28919"/>
    <cellStyle name="Note 79 2" xfId="28920"/>
    <cellStyle name="Note 79 2 2" xfId="28921"/>
    <cellStyle name="Note 79 3" xfId="28922"/>
    <cellStyle name="Note 79 3 2" xfId="28923"/>
    <cellStyle name="Note 79 4" xfId="28924"/>
    <cellStyle name="Note 8" xfId="28925"/>
    <cellStyle name="Note 8 2" xfId="28926"/>
    <cellStyle name="Note 8 2 2" xfId="28927"/>
    <cellStyle name="Note 8 2 2 2" xfId="28928"/>
    <cellStyle name="Note 8 2 3" xfId="28929"/>
    <cellStyle name="Note 8 2 3 2" xfId="28930"/>
    <cellStyle name="Note 8 2 4" xfId="28931"/>
    <cellStyle name="Note 8 3" xfId="28932"/>
    <cellStyle name="Note 8 3 2" xfId="28933"/>
    <cellStyle name="Note 8 3 2 2" xfId="28934"/>
    <cellStyle name="Note 8 3 3" xfId="28935"/>
    <cellStyle name="Note 8 3 3 2" xfId="28936"/>
    <cellStyle name="Note 8 3 4" xfId="28937"/>
    <cellStyle name="Note 8 4" xfId="28938"/>
    <cellStyle name="Note 8 4 2" xfId="28939"/>
    <cellStyle name="Note 8 5" xfId="28940"/>
    <cellStyle name="Note 8 5 2" xfId="28941"/>
    <cellStyle name="Note 8 6" xfId="28942"/>
    <cellStyle name="Note 80" xfId="28943"/>
    <cellStyle name="Note 80 2" xfId="28944"/>
    <cellStyle name="Note 80 2 2" xfId="28945"/>
    <cellStyle name="Note 80 3" xfId="28946"/>
    <cellStyle name="Note 80 3 2" xfId="28947"/>
    <cellStyle name="Note 80 4" xfId="28948"/>
    <cellStyle name="Note 81" xfId="28949"/>
    <cellStyle name="Note 81 2" xfId="28950"/>
    <cellStyle name="Note 81 2 2" xfId="28951"/>
    <cellStyle name="Note 81 3" xfId="28952"/>
    <cellStyle name="Note 81 3 2" xfId="28953"/>
    <cellStyle name="Note 81 4" xfId="28954"/>
    <cellStyle name="Note 82" xfId="28955"/>
    <cellStyle name="Note 82 2" xfId="28956"/>
    <cellStyle name="Note 82 2 2" xfId="28957"/>
    <cellStyle name="Note 82 3" xfId="28958"/>
    <cellStyle name="Note 82 3 2" xfId="28959"/>
    <cellStyle name="Note 82 4" xfId="28960"/>
    <cellStyle name="Note 83" xfId="28961"/>
    <cellStyle name="Note 83 2" xfId="28962"/>
    <cellStyle name="Note 83 2 2" xfId="28963"/>
    <cellStyle name="Note 83 3" xfId="28964"/>
    <cellStyle name="Note 83 3 2" xfId="28965"/>
    <cellStyle name="Note 83 4" xfId="28966"/>
    <cellStyle name="Note 84" xfId="28967"/>
    <cellStyle name="Note 84 2" xfId="28968"/>
    <cellStyle name="Note 84 2 2" xfId="28969"/>
    <cellStyle name="Note 84 3" xfId="28970"/>
    <cellStyle name="Note 84 3 2" xfId="28971"/>
    <cellStyle name="Note 84 4" xfId="28972"/>
    <cellStyle name="Note 85" xfId="28973"/>
    <cellStyle name="Note 85 2" xfId="28974"/>
    <cellStyle name="Note 85 2 2" xfId="28975"/>
    <cellStyle name="Note 85 3" xfId="28976"/>
    <cellStyle name="Note 85 3 2" xfId="28977"/>
    <cellStyle name="Note 85 4" xfId="28978"/>
    <cellStyle name="Note 86" xfId="28979"/>
    <cellStyle name="Note 86 2" xfId="28980"/>
    <cellStyle name="Note 86 2 2" xfId="28981"/>
    <cellStyle name="Note 86 3" xfId="28982"/>
    <cellStyle name="Note 86 3 2" xfId="28983"/>
    <cellStyle name="Note 86 4" xfId="28984"/>
    <cellStyle name="Note 87" xfId="28985"/>
    <cellStyle name="Note 87 2" xfId="28986"/>
    <cellStyle name="Note 87 2 2" xfId="28987"/>
    <cellStyle name="Note 87 3" xfId="28988"/>
    <cellStyle name="Note 87 3 2" xfId="28989"/>
    <cellStyle name="Note 87 4" xfId="28990"/>
    <cellStyle name="Note 88" xfId="28991"/>
    <cellStyle name="Note 88 2" xfId="28992"/>
    <cellStyle name="Note 88 2 2" xfId="28993"/>
    <cellStyle name="Note 88 3" xfId="28994"/>
    <cellStyle name="Note 88 3 2" xfId="28995"/>
    <cellStyle name="Note 88 4" xfId="28996"/>
    <cellStyle name="Note 89" xfId="28997"/>
    <cellStyle name="Note 89 2" xfId="28998"/>
    <cellStyle name="Note 89 2 2" xfId="28999"/>
    <cellStyle name="Note 89 3" xfId="29000"/>
    <cellStyle name="Note 89 3 2" xfId="29001"/>
    <cellStyle name="Note 89 4" xfId="29002"/>
    <cellStyle name="Note 9" xfId="29003"/>
    <cellStyle name="Note 9 2" xfId="29004"/>
    <cellStyle name="Note 9 2 2" xfId="29005"/>
    <cellStyle name="Note 9 2 2 2" xfId="29006"/>
    <cellStyle name="Note 9 2 3" xfId="29007"/>
    <cellStyle name="Note 9 2 3 2" xfId="29008"/>
    <cellStyle name="Note 9 2 4" xfId="29009"/>
    <cellStyle name="Note 9 3" xfId="29010"/>
    <cellStyle name="Note 9 3 2" xfId="29011"/>
    <cellStyle name="Note 9 3 2 2" xfId="29012"/>
    <cellStyle name="Note 9 3 3" xfId="29013"/>
    <cellStyle name="Note 9 3 3 2" xfId="29014"/>
    <cellStyle name="Note 9 3 4" xfId="29015"/>
    <cellStyle name="Note 9 4" xfId="29016"/>
    <cellStyle name="Note 9 4 2" xfId="29017"/>
    <cellStyle name="Note 9 5" xfId="29018"/>
    <cellStyle name="Note 9 5 2" xfId="29019"/>
    <cellStyle name="Note 9 6" xfId="29020"/>
    <cellStyle name="Note 90" xfId="29021"/>
    <cellStyle name="Note 90 2" xfId="29022"/>
    <cellStyle name="Note 90 2 2" xfId="29023"/>
    <cellStyle name="Note 90 3" xfId="29024"/>
    <cellStyle name="Note 90 3 2" xfId="29025"/>
    <cellStyle name="Note 90 4" xfId="29026"/>
    <cellStyle name="Note 91" xfId="29027"/>
    <cellStyle name="Note 91 2" xfId="29028"/>
    <cellStyle name="Note 91 2 2" xfId="29029"/>
    <cellStyle name="Note 91 3" xfId="29030"/>
    <cellStyle name="Note 91 3 2" xfId="29031"/>
    <cellStyle name="Note 91 4" xfId="29032"/>
    <cellStyle name="Note 92" xfId="29033"/>
    <cellStyle name="Note 92 2" xfId="29034"/>
    <cellStyle name="Note 92 2 2" xfId="29035"/>
    <cellStyle name="Note 92 3" xfId="29036"/>
    <cellStyle name="Note 92 3 2" xfId="29037"/>
    <cellStyle name="Note 92 4" xfId="29038"/>
    <cellStyle name="Note 93" xfId="29039"/>
    <cellStyle name="Note 93 2" xfId="29040"/>
    <cellStyle name="Note 93 2 2" xfId="29041"/>
    <cellStyle name="Note 93 3" xfId="29042"/>
    <cellStyle name="Note 93 3 2" xfId="29043"/>
    <cellStyle name="Note 93 4" xfId="29044"/>
    <cellStyle name="Note 94" xfId="29045"/>
    <cellStyle name="Note 94 2" xfId="29046"/>
    <cellStyle name="Note 94 2 2" xfId="29047"/>
    <cellStyle name="Note 94 3" xfId="29048"/>
    <cellStyle name="Note 94 3 2" xfId="29049"/>
    <cellStyle name="Note 94 4" xfId="29050"/>
    <cellStyle name="Note 95" xfId="29051"/>
    <cellStyle name="Note 95 2" xfId="29052"/>
    <cellStyle name="Note 95 2 2" xfId="29053"/>
    <cellStyle name="Note 95 3" xfId="29054"/>
    <cellStyle name="Note 95 3 2" xfId="29055"/>
    <cellStyle name="Note 95 4" xfId="29056"/>
    <cellStyle name="Note 96" xfId="29057"/>
    <cellStyle name="Note 96 2" xfId="29058"/>
    <cellStyle name="Note 96 2 2" xfId="29059"/>
    <cellStyle name="Note 96 3" xfId="29060"/>
    <cellStyle name="Note 96 3 2" xfId="29061"/>
    <cellStyle name="Note 96 4" xfId="29062"/>
    <cellStyle name="Note 97" xfId="29063"/>
    <cellStyle name="Note 97 2" xfId="29064"/>
    <cellStyle name="Note 97 2 2" xfId="29065"/>
    <cellStyle name="Note 97 3" xfId="29066"/>
    <cellStyle name="Note 97 3 2" xfId="29067"/>
    <cellStyle name="Note 97 4" xfId="29068"/>
    <cellStyle name="Note 98" xfId="29069"/>
    <cellStyle name="Note 98 2" xfId="29070"/>
    <cellStyle name="Note 98 2 2" xfId="29071"/>
    <cellStyle name="Note 98 3" xfId="29072"/>
    <cellStyle name="Note 98 3 2" xfId="29073"/>
    <cellStyle name="Note 98 4" xfId="29074"/>
    <cellStyle name="Note 99" xfId="29075"/>
    <cellStyle name="Note 99 2" xfId="29076"/>
    <cellStyle name="Note 99 2 2" xfId="29077"/>
    <cellStyle name="Note 99 3" xfId="29078"/>
    <cellStyle name="Note 99 3 2" xfId="29079"/>
    <cellStyle name="Note 99 4" xfId="29080"/>
    <cellStyle name="Output 10" xfId="29081"/>
    <cellStyle name="Output 10 2" xfId="29082"/>
    <cellStyle name="Output 11" xfId="29083"/>
    <cellStyle name="Output 11 2" xfId="29084"/>
    <cellStyle name="Output 12" xfId="29085"/>
    <cellStyle name="Output 12 2" xfId="29086"/>
    <cellStyle name="Output 13" xfId="29087"/>
    <cellStyle name="Output 13 2" xfId="29088"/>
    <cellStyle name="Output 14" xfId="29089"/>
    <cellStyle name="Output 14 2" xfId="29090"/>
    <cellStyle name="Output 15" xfId="29091"/>
    <cellStyle name="Output 15 2" xfId="29092"/>
    <cellStyle name="Output 16" xfId="29093"/>
    <cellStyle name="Output 16 2" xfId="29094"/>
    <cellStyle name="Output 17" xfId="29095"/>
    <cellStyle name="Output 17 2" xfId="29096"/>
    <cellStyle name="Output 18" xfId="29097"/>
    <cellStyle name="Output 18 2" xfId="29098"/>
    <cellStyle name="Output 19" xfId="29099"/>
    <cellStyle name="Output 19 2" xfId="29100"/>
    <cellStyle name="Output 2" xfId="29101"/>
    <cellStyle name="Output 2 2" xfId="29102"/>
    <cellStyle name="Output 20" xfId="29103"/>
    <cellStyle name="Output 20 2" xfId="29104"/>
    <cellStyle name="Output 21" xfId="29105"/>
    <cellStyle name="Output 21 2" xfId="29106"/>
    <cellStyle name="Output 22" xfId="29107"/>
    <cellStyle name="Output 22 2" xfId="29108"/>
    <cellStyle name="Output 23" xfId="29109"/>
    <cellStyle name="Output 23 2" xfId="29110"/>
    <cellStyle name="Output 24" xfId="29111"/>
    <cellStyle name="Output 25" xfId="29112"/>
    <cellStyle name="Output 26" xfId="29113"/>
    <cellStyle name="Output 27" xfId="29114"/>
    <cellStyle name="Output 28" xfId="29115"/>
    <cellStyle name="Output 29" xfId="29116"/>
    <cellStyle name="Output 3" xfId="29117"/>
    <cellStyle name="Output 3 2" xfId="29118"/>
    <cellStyle name="Output 30" xfId="29119"/>
    <cellStyle name="Output 31" xfId="29120"/>
    <cellStyle name="Output 32" xfId="29121"/>
    <cellStyle name="Output 33" xfId="29122"/>
    <cellStyle name="Output 34" xfId="29123"/>
    <cellStyle name="Output 35" xfId="29124"/>
    <cellStyle name="Output 36" xfId="29125"/>
    <cellStyle name="Output 37" xfId="29126"/>
    <cellStyle name="Output 38" xfId="29127"/>
    <cellStyle name="Output 39" xfId="29128"/>
    <cellStyle name="Output 4" xfId="29129"/>
    <cellStyle name="Output 4 2" xfId="29130"/>
    <cellStyle name="Output 40" xfId="29131"/>
    <cellStyle name="Output 41" xfId="29132"/>
    <cellStyle name="Output 42" xfId="29133"/>
    <cellStyle name="Output 43" xfId="29134"/>
    <cellStyle name="Output 44" xfId="29135"/>
    <cellStyle name="Output 45" xfId="29136"/>
    <cellStyle name="Output 46" xfId="29137"/>
    <cellStyle name="Output 47" xfId="29138"/>
    <cellStyle name="Output 48" xfId="29139"/>
    <cellStyle name="Output 49" xfId="29140"/>
    <cellStyle name="Output 5" xfId="29141"/>
    <cellStyle name="Output 5 2" xfId="29142"/>
    <cellStyle name="Output 50" xfId="29143"/>
    <cellStyle name="Output 51" xfId="29144"/>
    <cellStyle name="Output 52" xfId="29145"/>
    <cellStyle name="Output 53" xfId="29146"/>
    <cellStyle name="Output 54" xfId="29147"/>
    <cellStyle name="Output 55" xfId="29148"/>
    <cellStyle name="Output 56" xfId="29149"/>
    <cellStyle name="Output 57" xfId="29150"/>
    <cellStyle name="Output 58" xfId="29151"/>
    <cellStyle name="Output 59" xfId="29152"/>
    <cellStyle name="Output 6" xfId="29153"/>
    <cellStyle name="Output 6 2" xfId="29154"/>
    <cellStyle name="Output 60" xfId="29155"/>
    <cellStyle name="Output 61" xfId="29156"/>
    <cellStyle name="Output 62" xfId="29157"/>
    <cellStyle name="Output 63" xfId="29158"/>
    <cellStyle name="Output 64" xfId="29159"/>
    <cellStyle name="Output 65" xfId="29160"/>
    <cellStyle name="Output 66" xfId="29161"/>
    <cellStyle name="Output 67" xfId="29162"/>
    <cellStyle name="Output 68" xfId="29163"/>
    <cellStyle name="Output 69" xfId="29164"/>
    <cellStyle name="Output 7" xfId="29165"/>
    <cellStyle name="Output 7 2" xfId="29166"/>
    <cellStyle name="Output 8" xfId="29167"/>
    <cellStyle name="Output 8 2" xfId="29168"/>
    <cellStyle name="Output 9" xfId="29169"/>
    <cellStyle name="Output 9 2" xfId="29170"/>
    <cellStyle name="per.style" xfId="29171"/>
    <cellStyle name="Percent [2]" xfId="29172"/>
    <cellStyle name="Percent [2] 2" xfId="29173"/>
    <cellStyle name="Percent [2] 2 2" xfId="29174"/>
    <cellStyle name="Percent [2] 2 3" xfId="29175"/>
    <cellStyle name="Percent [2] 2 4" xfId="29176"/>
    <cellStyle name="Percent [2] 3" xfId="29177"/>
    <cellStyle name="Percent [2] 3 2" xfId="29178"/>
    <cellStyle name="Percent [2] 3 3" xfId="29179"/>
    <cellStyle name="Percent [2] 3 4" xfId="29180"/>
    <cellStyle name="Percent [2] 4" xfId="29181"/>
    <cellStyle name="Percent [2] 4 2" xfId="29182"/>
    <cellStyle name="Percent [2] 4 3" xfId="29183"/>
    <cellStyle name="Percent [2] 4 4" xfId="29184"/>
    <cellStyle name="Percent 10" xfId="29185"/>
    <cellStyle name="Percent 10 2" xfId="29186"/>
    <cellStyle name="Percent 11" xfId="29187"/>
    <cellStyle name="Percent 11 2" xfId="29188"/>
    <cellStyle name="Percent 12" xfId="29189"/>
    <cellStyle name="Percent 12 2" xfId="29190"/>
    <cellStyle name="Percent 13" xfId="29191"/>
    <cellStyle name="Percent 13 2" xfId="29192"/>
    <cellStyle name="Percent 14" xfId="29193"/>
    <cellStyle name="Percent 14 2" xfId="29194"/>
    <cellStyle name="Percent 15" xfId="29195"/>
    <cellStyle name="Percent 15 2" xfId="29196"/>
    <cellStyle name="Percent 16" xfId="29197"/>
    <cellStyle name="Percent 16 2" xfId="29198"/>
    <cellStyle name="Percent 17" xfId="29199"/>
    <cellStyle name="Percent 17 2" xfId="29200"/>
    <cellStyle name="Percent 18" xfId="29201"/>
    <cellStyle name="Percent 18 2" xfId="29202"/>
    <cellStyle name="Percent 19" xfId="29203"/>
    <cellStyle name="Percent 19 2" xfId="29204"/>
    <cellStyle name="Percent 2" xfId="29205"/>
    <cellStyle name="Percent 2 10" xfId="29206"/>
    <cellStyle name="Percent 2 11" xfId="29207"/>
    <cellStyle name="Percent 2 12" xfId="29208"/>
    <cellStyle name="Percent 2 13" xfId="29209"/>
    <cellStyle name="Percent 2 13 2" xfId="29210"/>
    <cellStyle name="Percent 2 14" xfId="29211"/>
    <cellStyle name="Percent 2 15" xfId="29212"/>
    <cellStyle name="Percent 2 2" xfId="29213"/>
    <cellStyle name="Percent 2 2 2" xfId="29214"/>
    <cellStyle name="Percent 2 2 3" xfId="29215"/>
    <cellStyle name="Percent 2 2 4" xfId="29216"/>
    <cellStyle name="Percent 2 3" xfId="29217"/>
    <cellStyle name="Percent 2 3 2" xfId="29218"/>
    <cellStyle name="Percent 2 4" xfId="29219"/>
    <cellStyle name="Percent 2 5" xfId="29220"/>
    <cellStyle name="Percent 2 6" xfId="29221"/>
    <cellStyle name="Percent 2 7" xfId="29222"/>
    <cellStyle name="Percent 2 8" xfId="29223"/>
    <cellStyle name="Percent 2 9" xfId="29224"/>
    <cellStyle name="Percent 20" xfId="29225"/>
    <cellStyle name="Percent 20 2" xfId="29226"/>
    <cellStyle name="Percent 21" xfId="29227"/>
    <cellStyle name="Percent 21 2" xfId="29228"/>
    <cellStyle name="Percent 22" xfId="29229"/>
    <cellStyle name="Percent 22 2" xfId="29230"/>
    <cellStyle name="Percent 23" xfId="29231"/>
    <cellStyle name="Percent 24" xfId="29232"/>
    <cellStyle name="Percent 25" xfId="29233"/>
    <cellStyle name="Percent 26" xfId="29234"/>
    <cellStyle name="Percent 27" xfId="29235"/>
    <cellStyle name="Percent 3" xfId="29236"/>
    <cellStyle name="Percent 3 2" xfId="29237"/>
    <cellStyle name="Percent 3 2 2" xfId="29238"/>
    <cellStyle name="Percent 3 2 2 2" xfId="29239"/>
    <cellStyle name="Percent 3 2 2 2 2" xfId="29240"/>
    <cellStyle name="Percent 3 2 2 2 2 2" xfId="29241"/>
    <cellStyle name="Percent 3 2 2 2 3" xfId="29242"/>
    <cellStyle name="Percent 3 2 2 2 3 2" xfId="29243"/>
    <cellStyle name="Percent 3 2 2 2 4" xfId="29244"/>
    <cellStyle name="Percent 3 2 2 3" xfId="29245"/>
    <cellStyle name="Percent 3 2 3" xfId="29246"/>
    <cellStyle name="Percent 3 2 4" xfId="29247"/>
    <cellStyle name="Percent 3 2 4 2" xfId="29248"/>
    <cellStyle name="Percent 3 2 5" xfId="29249"/>
    <cellStyle name="Percent 3 3" xfId="29250"/>
    <cellStyle name="Percent 3 3 2" xfId="29251"/>
    <cellStyle name="Percent 3 4" xfId="29252"/>
    <cellStyle name="Percent 3 5" xfId="29253"/>
    <cellStyle name="Percent 4" xfId="29254"/>
    <cellStyle name="Percent 4 2" xfId="29255"/>
    <cellStyle name="Percent 4 2 2" xfId="29256"/>
    <cellStyle name="Percent 4 2 3" xfId="29257"/>
    <cellStyle name="Percent 4 2 4" xfId="29258"/>
    <cellStyle name="Percent 4 3" xfId="29259"/>
    <cellStyle name="Percent 4 4" xfId="29260"/>
    <cellStyle name="Percent 4 5" xfId="29261"/>
    <cellStyle name="Percent 5" xfId="29262"/>
    <cellStyle name="Percent 5 2" xfId="29263"/>
    <cellStyle name="Percent 5 2 2" xfId="29264"/>
    <cellStyle name="Percent 5 3" xfId="29265"/>
    <cellStyle name="Percent 5 3 2" xfId="29266"/>
    <cellStyle name="Percent 5 4" xfId="29267"/>
    <cellStyle name="Percent 6" xfId="29268"/>
    <cellStyle name="Percent 6 2" xfId="29269"/>
    <cellStyle name="Percent 6 3" xfId="29270"/>
    <cellStyle name="Percent 6 4" xfId="29271"/>
    <cellStyle name="Percent 7" xfId="29272"/>
    <cellStyle name="Percent 7 2" xfId="29273"/>
    <cellStyle name="Percent 8" xfId="29274"/>
    <cellStyle name="Percent 8 2" xfId="29275"/>
    <cellStyle name="Percent 9" xfId="29276"/>
    <cellStyle name="Percent 9 2" xfId="29277"/>
    <cellStyle name="PERCENTAGE" xfId="29278"/>
    <cellStyle name="pricing" xfId="29279"/>
    <cellStyle name="PSChar" xfId="29280"/>
    <cellStyle name="PSHeading" xfId="29281"/>
    <cellStyle name="RevList" xfId="29282"/>
    <cellStyle name="S2winRowHeader" xfId="29283"/>
    <cellStyle name="Sheet Title" xfId="29284"/>
    <cellStyle name="Standaard 2" xfId="29285"/>
    <cellStyle name="Standaard 4" xfId="29286"/>
    <cellStyle name="Standard_BS14" xfId="29287"/>
    <cellStyle name="subhead" xfId="29288"/>
    <cellStyle name="Subtotal" xfId="29289"/>
    <cellStyle name="Systems2winCalc" xfId="29290"/>
    <cellStyle name="Systems2winHeaderData" xfId="29291"/>
    <cellStyle name="Systems2winItalic" xfId="29292"/>
    <cellStyle name="Systems2winItalicLock" xfId="29293"/>
    <cellStyle name="Systems2winLabel" xfId="29294"/>
    <cellStyle name="Systems2winSubhead14" xfId="29295"/>
    <cellStyle name="Systems2winTitle" xfId="29296"/>
    <cellStyle name="thvt" xfId="29297"/>
    <cellStyle name="Title 10" xfId="29298"/>
    <cellStyle name="Title 11" xfId="29299"/>
    <cellStyle name="Title 12" xfId="29300"/>
    <cellStyle name="Title 13" xfId="29301"/>
    <cellStyle name="Title 14" xfId="29302"/>
    <cellStyle name="Title 15" xfId="29303"/>
    <cellStyle name="Title 16" xfId="29304"/>
    <cellStyle name="Title 17" xfId="29305"/>
    <cellStyle name="Title 18" xfId="29306"/>
    <cellStyle name="Title 19" xfId="29307"/>
    <cellStyle name="Title 2" xfId="29308"/>
    <cellStyle name="Title 20" xfId="29309"/>
    <cellStyle name="Title 21" xfId="29310"/>
    <cellStyle name="Title 22" xfId="29311"/>
    <cellStyle name="Title 23" xfId="29312"/>
    <cellStyle name="Title 24" xfId="29313"/>
    <cellStyle name="Title 25" xfId="29314"/>
    <cellStyle name="Title 26" xfId="29315"/>
    <cellStyle name="Title 27" xfId="29316"/>
    <cellStyle name="Title 28" xfId="29317"/>
    <cellStyle name="Title 29" xfId="29318"/>
    <cellStyle name="Title 3" xfId="29319"/>
    <cellStyle name="Title 30" xfId="29320"/>
    <cellStyle name="Title 31" xfId="29321"/>
    <cellStyle name="Title 32" xfId="29322"/>
    <cellStyle name="Title 33" xfId="29323"/>
    <cellStyle name="Title 34" xfId="29324"/>
    <cellStyle name="Title 35" xfId="29325"/>
    <cellStyle name="Title 36" xfId="29326"/>
    <cellStyle name="Title 37" xfId="29327"/>
    <cellStyle name="Title 38" xfId="29328"/>
    <cellStyle name="Title 39" xfId="29329"/>
    <cellStyle name="Title 4" xfId="29330"/>
    <cellStyle name="Title 40" xfId="29331"/>
    <cellStyle name="Title 41" xfId="29332"/>
    <cellStyle name="Title 42" xfId="29333"/>
    <cellStyle name="Title 43" xfId="29334"/>
    <cellStyle name="Title 44" xfId="29335"/>
    <cellStyle name="Title 45" xfId="29336"/>
    <cellStyle name="Title 46" xfId="29337"/>
    <cellStyle name="Title 47" xfId="29338"/>
    <cellStyle name="Title 48" xfId="29339"/>
    <cellStyle name="Title 49" xfId="29340"/>
    <cellStyle name="Title 5" xfId="29341"/>
    <cellStyle name="Title 50" xfId="29342"/>
    <cellStyle name="Title 51" xfId="29343"/>
    <cellStyle name="Title 52" xfId="29344"/>
    <cellStyle name="Title 53" xfId="29345"/>
    <cellStyle name="Title 54" xfId="29346"/>
    <cellStyle name="Title 55" xfId="29347"/>
    <cellStyle name="Title 56" xfId="29348"/>
    <cellStyle name="Title 57" xfId="29349"/>
    <cellStyle name="Title 58" xfId="29350"/>
    <cellStyle name="Title 59" xfId="29351"/>
    <cellStyle name="Title 6" xfId="29352"/>
    <cellStyle name="Title 60" xfId="29353"/>
    <cellStyle name="Title 61" xfId="29354"/>
    <cellStyle name="Title 62" xfId="29355"/>
    <cellStyle name="Title 63" xfId="29356"/>
    <cellStyle name="Title 64" xfId="29357"/>
    <cellStyle name="Title 65" xfId="29358"/>
    <cellStyle name="Title 66" xfId="29359"/>
    <cellStyle name="Title 67" xfId="29360"/>
    <cellStyle name="Title 68" xfId="29361"/>
    <cellStyle name="Title 69" xfId="29362"/>
    <cellStyle name="Title 7" xfId="29363"/>
    <cellStyle name="Title 8" xfId="29364"/>
    <cellStyle name="Title 9" xfId="29365"/>
    <cellStyle name="Total 10" xfId="29366"/>
    <cellStyle name="Total 10 2" xfId="29367"/>
    <cellStyle name="Total 11" xfId="29368"/>
    <cellStyle name="Total 11 2" xfId="29369"/>
    <cellStyle name="Total 12" xfId="29370"/>
    <cellStyle name="Total 12 2" xfId="29371"/>
    <cellStyle name="Total 13" xfId="29372"/>
    <cellStyle name="Total 13 2" xfId="29373"/>
    <cellStyle name="Total 14" xfId="29374"/>
    <cellStyle name="Total 14 2" xfId="29375"/>
    <cellStyle name="Total 15" xfId="29376"/>
    <cellStyle name="Total 15 2" xfId="29377"/>
    <cellStyle name="Total 16" xfId="29378"/>
    <cellStyle name="Total 16 2" xfId="29379"/>
    <cellStyle name="Total 17" xfId="29380"/>
    <cellStyle name="Total 17 2" xfId="29381"/>
    <cellStyle name="Total 18" xfId="29382"/>
    <cellStyle name="Total 18 2" xfId="29383"/>
    <cellStyle name="Total 19" xfId="29384"/>
    <cellStyle name="Total 19 2" xfId="29385"/>
    <cellStyle name="Total 2" xfId="29386"/>
    <cellStyle name="Total 2 2" xfId="29387"/>
    <cellStyle name="Total 20" xfId="29388"/>
    <cellStyle name="Total 20 2" xfId="29389"/>
    <cellStyle name="Total 21" xfId="29390"/>
    <cellStyle name="Total 21 2" xfId="29391"/>
    <cellStyle name="Total 22" xfId="29392"/>
    <cellStyle name="Total 22 2" xfId="29393"/>
    <cellStyle name="Total 23" xfId="29394"/>
    <cellStyle name="Total 23 2" xfId="29395"/>
    <cellStyle name="Total 24" xfId="29396"/>
    <cellStyle name="Total 25" xfId="29397"/>
    <cellStyle name="Total 26" xfId="29398"/>
    <cellStyle name="Total 27" xfId="29399"/>
    <cellStyle name="Total 28" xfId="29400"/>
    <cellStyle name="Total 29" xfId="29401"/>
    <cellStyle name="Total 3" xfId="29402"/>
    <cellStyle name="Total 3 2" xfId="29403"/>
    <cellStyle name="Total 30" xfId="29404"/>
    <cellStyle name="Total 31" xfId="29405"/>
    <cellStyle name="Total 32" xfId="29406"/>
    <cellStyle name="Total 33" xfId="29407"/>
    <cellStyle name="Total 34" xfId="29408"/>
    <cellStyle name="Total 35" xfId="29409"/>
    <cellStyle name="Total 36" xfId="29410"/>
    <cellStyle name="Total 37" xfId="29411"/>
    <cellStyle name="Total 38" xfId="29412"/>
    <cellStyle name="Total 39" xfId="29413"/>
    <cellStyle name="Total 4" xfId="29414"/>
    <cellStyle name="Total 4 2" xfId="29415"/>
    <cellStyle name="Total 40" xfId="29416"/>
    <cellStyle name="Total 41" xfId="29417"/>
    <cellStyle name="Total 42" xfId="29418"/>
    <cellStyle name="Total 43" xfId="29419"/>
    <cellStyle name="Total 44" xfId="29420"/>
    <cellStyle name="Total 45" xfId="29421"/>
    <cellStyle name="Total 46" xfId="29422"/>
    <cellStyle name="Total 47" xfId="29423"/>
    <cellStyle name="Total 48" xfId="29424"/>
    <cellStyle name="Total 49" xfId="29425"/>
    <cellStyle name="Total 5" xfId="29426"/>
    <cellStyle name="Total 5 2" xfId="29427"/>
    <cellStyle name="Total 50" xfId="29428"/>
    <cellStyle name="Total 51" xfId="29429"/>
    <cellStyle name="Total 52" xfId="29430"/>
    <cellStyle name="Total 53" xfId="29431"/>
    <cellStyle name="Total 54" xfId="29432"/>
    <cellStyle name="Total 55" xfId="29433"/>
    <cellStyle name="Total 56" xfId="29434"/>
    <cellStyle name="Total 57" xfId="29435"/>
    <cellStyle name="Total 58" xfId="29436"/>
    <cellStyle name="Total 59" xfId="29437"/>
    <cellStyle name="Total 6" xfId="29438"/>
    <cellStyle name="Total 6 2" xfId="29439"/>
    <cellStyle name="Total 60" xfId="29440"/>
    <cellStyle name="Total 61" xfId="29441"/>
    <cellStyle name="Total 62" xfId="29442"/>
    <cellStyle name="Total 63" xfId="29443"/>
    <cellStyle name="Total 64" xfId="29444"/>
    <cellStyle name="Total 65" xfId="29445"/>
    <cellStyle name="Total 66" xfId="29446"/>
    <cellStyle name="Total 67" xfId="29447"/>
    <cellStyle name="Total 68" xfId="29448"/>
    <cellStyle name="Total 69" xfId="29449"/>
    <cellStyle name="Total 7" xfId="29450"/>
    <cellStyle name="Total 7 2" xfId="29451"/>
    <cellStyle name="Total 8" xfId="29452"/>
    <cellStyle name="Total 8 2" xfId="29453"/>
    <cellStyle name="Total 9" xfId="29454"/>
    <cellStyle name="Total 9 2" xfId="29455"/>
    <cellStyle name="VN new romanNormal" xfId="29456"/>
    <cellStyle name="VN time new roman" xfId="29457"/>
    <cellStyle name="Warning Text 10" xfId="29458"/>
    <cellStyle name="Warning Text 11" xfId="29459"/>
    <cellStyle name="Warning Text 12" xfId="29460"/>
    <cellStyle name="Warning Text 13" xfId="29461"/>
    <cellStyle name="Warning Text 14" xfId="29462"/>
    <cellStyle name="Warning Text 15" xfId="29463"/>
    <cellStyle name="Warning Text 16" xfId="29464"/>
    <cellStyle name="Warning Text 17" xfId="29465"/>
    <cellStyle name="Warning Text 18" xfId="29466"/>
    <cellStyle name="Warning Text 19" xfId="29467"/>
    <cellStyle name="Warning Text 2" xfId="29468"/>
    <cellStyle name="Warning Text 20" xfId="29469"/>
    <cellStyle name="Warning Text 21" xfId="29470"/>
    <cellStyle name="Warning Text 22" xfId="29471"/>
    <cellStyle name="Warning Text 23" xfId="29472"/>
    <cellStyle name="Warning Text 24" xfId="29473"/>
    <cellStyle name="Warning Text 25" xfId="29474"/>
    <cellStyle name="Warning Text 26" xfId="29475"/>
    <cellStyle name="Warning Text 27" xfId="29476"/>
    <cellStyle name="Warning Text 28" xfId="29477"/>
    <cellStyle name="Warning Text 29" xfId="29478"/>
    <cellStyle name="Warning Text 3" xfId="29479"/>
    <cellStyle name="Warning Text 30" xfId="29480"/>
    <cellStyle name="Warning Text 31" xfId="29481"/>
    <cellStyle name="Warning Text 32" xfId="29482"/>
    <cellStyle name="Warning Text 33" xfId="29483"/>
    <cellStyle name="Warning Text 34" xfId="29484"/>
    <cellStyle name="Warning Text 35" xfId="29485"/>
    <cellStyle name="Warning Text 36" xfId="29486"/>
    <cellStyle name="Warning Text 37" xfId="29487"/>
    <cellStyle name="Warning Text 38" xfId="29488"/>
    <cellStyle name="Warning Text 39" xfId="29489"/>
    <cellStyle name="Warning Text 4" xfId="29490"/>
    <cellStyle name="Warning Text 40" xfId="29491"/>
    <cellStyle name="Warning Text 41" xfId="29492"/>
    <cellStyle name="Warning Text 42" xfId="29493"/>
    <cellStyle name="Warning Text 43" xfId="29494"/>
    <cellStyle name="Warning Text 44" xfId="29495"/>
    <cellStyle name="Warning Text 45" xfId="29496"/>
    <cellStyle name="Warning Text 46" xfId="29497"/>
    <cellStyle name="Warning Text 47" xfId="29498"/>
    <cellStyle name="Warning Text 48" xfId="29499"/>
    <cellStyle name="Warning Text 49" xfId="29500"/>
    <cellStyle name="Warning Text 5" xfId="29501"/>
    <cellStyle name="Warning Text 50" xfId="29502"/>
    <cellStyle name="Warning Text 51" xfId="29503"/>
    <cellStyle name="Warning Text 52" xfId="29504"/>
    <cellStyle name="Warning Text 53" xfId="29505"/>
    <cellStyle name="Warning Text 54" xfId="29506"/>
    <cellStyle name="Warning Text 55" xfId="29507"/>
    <cellStyle name="Warning Text 56" xfId="29508"/>
    <cellStyle name="Warning Text 57" xfId="29509"/>
    <cellStyle name="Warning Text 58" xfId="29510"/>
    <cellStyle name="Warning Text 59" xfId="29511"/>
    <cellStyle name="Warning Text 6" xfId="29512"/>
    <cellStyle name="Warning Text 60" xfId="29513"/>
    <cellStyle name="Warning Text 61" xfId="29514"/>
    <cellStyle name="Warning Text 62" xfId="29515"/>
    <cellStyle name="Warning Text 63" xfId="29516"/>
    <cellStyle name="Warning Text 64" xfId="29517"/>
    <cellStyle name="Warning Text 65" xfId="29518"/>
    <cellStyle name="Warning Text 66" xfId="29519"/>
    <cellStyle name="Warning Text 67" xfId="29520"/>
    <cellStyle name="Warning Text 68" xfId="29521"/>
    <cellStyle name="Warning Text 69" xfId="29522"/>
    <cellStyle name="Warning Text 7" xfId="29523"/>
    <cellStyle name="Warning Text 8" xfId="29524"/>
    <cellStyle name="Warning Text 9" xfId="29525"/>
    <cellStyle name="センター" xfId="29526"/>
    <cellStyle name="เครื่องหมายจุลภาค 10" xfId="29554"/>
    <cellStyle name="เครื่องหมายจุลภาค 10 2" xfId="29555"/>
    <cellStyle name="เครื่องหมายจุลภาค 10 3" xfId="29556"/>
    <cellStyle name="เครื่องหมายจุลภาค 10 4" xfId="29557"/>
    <cellStyle name="เครื่องหมายจุลภาค 11" xfId="29558"/>
    <cellStyle name="เครื่องหมายจุลภาค 11 2" xfId="29559"/>
    <cellStyle name="เครื่องหมายจุลภาค 11 3" xfId="29560"/>
    <cellStyle name="เครื่องหมายจุลภาค 11 4" xfId="29561"/>
    <cellStyle name="เครื่องหมายจุลภาค 12" xfId="29562"/>
    <cellStyle name="เครื่องหมายจุลภาค 12 2" xfId="29563"/>
    <cellStyle name="เครื่องหมายจุลภาค 12 2 2" xfId="29564"/>
    <cellStyle name="เครื่องหมายจุลภาค 12 3" xfId="29565"/>
    <cellStyle name="เครื่องหมายจุลภาค 13" xfId="29566"/>
    <cellStyle name="เครื่องหมายจุลภาค 13 2" xfId="29567"/>
    <cellStyle name="เครื่องหมายจุลภาค 13 2 2" xfId="29568"/>
    <cellStyle name="เครื่องหมายจุลภาค 13 3" xfId="29569"/>
    <cellStyle name="เครื่องหมายจุลภาค 14" xfId="29570"/>
    <cellStyle name="เครื่องหมายจุลภาค 14 2" xfId="29571"/>
    <cellStyle name="เครื่องหมายจุลภาค 14 2 2" xfId="29572"/>
    <cellStyle name="เครื่องหมายจุลภาค 14 3" xfId="29573"/>
    <cellStyle name="เครื่องหมายจุลภาค 15" xfId="29574"/>
    <cellStyle name="เครื่องหมายจุลภาค 15 2" xfId="29575"/>
    <cellStyle name="เครื่องหมายจุลภาค 15 2 2" xfId="29576"/>
    <cellStyle name="เครื่องหมายจุลภาค 15 3" xfId="29577"/>
    <cellStyle name="เครื่องหมายจุลภาค 16" xfId="29578"/>
    <cellStyle name="เครื่องหมายจุลภาค 16 2" xfId="29579"/>
    <cellStyle name="เครื่องหมายจุลภาค 16 2 2" xfId="29580"/>
    <cellStyle name="เครื่องหมายจุลภาค 16 3" xfId="29581"/>
    <cellStyle name="เครื่องหมายจุลภาค 2" xfId="29582"/>
    <cellStyle name="เครื่องหมายจุลภาค 2 10" xfId="29583"/>
    <cellStyle name="เครื่องหมายจุลภาค 2 2" xfId="29584"/>
    <cellStyle name="เครื่องหมายจุลภาค 2 2 2" xfId="29585"/>
    <cellStyle name="เครื่องหมายจุลภาค 2 2 2 2" xfId="29586"/>
    <cellStyle name="เครื่องหมายจุลภาค 2 2 2 3" xfId="29587"/>
    <cellStyle name="เครื่องหมายจุลภาค 2 2 3" xfId="29588"/>
    <cellStyle name="เครื่องหมายจุลภาค 2 2 3 2" xfId="29589"/>
    <cellStyle name="เครื่องหมายจุลภาค 2 2 4" xfId="29590"/>
    <cellStyle name="เครื่องหมายจุลภาค 2 2 5" xfId="29591"/>
    <cellStyle name="เครื่องหมายจุลภาค 2 3" xfId="29592"/>
    <cellStyle name="เครื่องหมายจุลภาค 2 3 2" xfId="29593"/>
    <cellStyle name="เครื่องหมายจุลภาค 2 3 3" xfId="29594"/>
    <cellStyle name="เครื่องหมายจุลภาค 2 3 4" xfId="29595"/>
    <cellStyle name="เครื่องหมายจุลภาค 2 4" xfId="29596"/>
    <cellStyle name="เครื่องหมายจุลภาค 2 4 2" xfId="29597"/>
    <cellStyle name="เครื่องหมายจุลภาค 2 4 3" xfId="29598"/>
    <cellStyle name="เครื่องหมายจุลภาค 2 4 4" xfId="29599"/>
    <cellStyle name="เครื่องหมายจุลภาค 2 5" xfId="29600"/>
    <cellStyle name="เครื่องหมายจุลภาค 2 5 2" xfId="29601"/>
    <cellStyle name="เครื่องหมายจุลภาค 2 5 3" xfId="29602"/>
    <cellStyle name="เครื่องหมายจุลภาค 2 5 4" xfId="29603"/>
    <cellStyle name="เครื่องหมายจุลภาค 2 6" xfId="29604"/>
    <cellStyle name="เครื่องหมายจุลภาค 2 7" xfId="29605"/>
    <cellStyle name="เครื่องหมายจุลภาค 2 8" xfId="29606"/>
    <cellStyle name="เครื่องหมายจุลภาค 2 8 2" xfId="29607"/>
    <cellStyle name="เครื่องหมายจุลภาค 2 8 2 2" xfId="29608"/>
    <cellStyle name="เครื่องหมายจุลภาค 2 9" xfId="29609"/>
    <cellStyle name="เครื่องหมายจุลภาค 2 9 2" xfId="29610"/>
    <cellStyle name="เครื่องหมายจุลภาค 21" xfId="29611"/>
    <cellStyle name="เครื่องหมายจุลภาค 21 2" xfId="29612"/>
    <cellStyle name="เครื่องหมายจุลภาค 21 2 2" xfId="29613"/>
    <cellStyle name="เครื่องหมายจุลภาค 21 3" xfId="29614"/>
    <cellStyle name="เครื่องหมายจุลภาค 22" xfId="29615"/>
    <cellStyle name="เครื่องหมายจุลภาค 22 2" xfId="29616"/>
    <cellStyle name="เครื่องหมายจุลภาค 22 2 2" xfId="29617"/>
    <cellStyle name="เครื่องหมายจุลภาค 22 3" xfId="29618"/>
    <cellStyle name="เครื่องหมายจุลภาค 23" xfId="29619"/>
    <cellStyle name="เครื่องหมายจุลภาค 23 2" xfId="29620"/>
    <cellStyle name="เครื่องหมายจุลภาค 23 2 2" xfId="29621"/>
    <cellStyle name="เครื่องหมายจุลภาค 23 3" xfId="29622"/>
    <cellStyle name="เครื่องหมายจุลภาค 24" xfId="29623"/>
    <cellStyle name="เครื่องหมายจุลภาค 24 2" xfId="29624"/>
    <cellStyle name="เครื่องหมายจุลภาค 24 2 2" xfId="29625"/>
    <cellStyle name="เครื่องหมายจุลภาค 24 3" xfId="29626"/>
    <cellStyle name="เครื่องหมายจุลภาค 3" xfId="29627"/>
    <cellStyle name="เครื่องหมายจุลภาค 3 10" xfId="29628"/>
    <cellStyle name="เครื่องหมายจุลภาค 3 11" xfId="29629"/>
    <cellStyle name="เครื่องหมายจุลภาค 3 12" xfId="29630"/>
    <cellStyle name="เครื่องหมายจุลภาค 3 13" xfId="29631"/>
    <cellStyle name="เครื่องหมายจุลภาค 3 14" xfId="29632"/>
    <cellStyle name="เครื่องหมายจุลภาค 3 15" xfId="29633"/>
    <cellStyle name="เครื่องหมายจุลภาค 3 15 2" xfId="29634"/>
    <cellStyle name="เครื่องหมายจุลภาค 3 16" xfId="29635"/>
    <cellStyle name="เครื่องหมายจุลภาค 3 2" xfId="29636"/>
    <cellStyle name="เครื่องหมายจุลภาค 3 2 2" xfId="29637"/>
    <cellStyle name="เครื่องหมายจุลภาค 3 2 3" xfId="29638"/>
    <cellStyle name="เครื่องหมายจุลภาค 3 2 4" xfId="29639"/>
    <cellStyle name="เครื่องหมายจุลภาค 3 2 5" xfId="29640"/>
    <cellStyle name="เครื่องหมายจุลภาค 3 2 6" xfId="29641"/>
    <cellStyle name="เครื่องหมายจุลภาค 3 2 7" xfId="29642"/>
    <cellStyle name="เครื่องหมายจุลภาค 3 2 8" xfId="29643"/>
    <cellStyle name="เครื่องหมายจุลภาค 3 2 9" xfId="29644"/>
    <cellStyle name="เครื่องหมายจุลภาค 3 3" xfId="29645"/>
    <cellStyle name="เครื่องหมายจุลภาค 3 3 10" xfId="29646"/>
    <cellStyle name="เครื่องหมายจุลภาค 3 3 10 2" xfId="29647"/>
    <cellStyle name="เครื่องหมายจุลภาค 3 3 11" xfId="29648"/>
    <cellStyle name="เครื่องหมายจุลภาค 3 3 2" xfId="29649"/>
    <cellStyle name="เครื่องหมายจุลภาค 3 3 3" xfId="29650"/>
    <cellStyle name="เครื่องหมายจุลภาค 3 3 4" xfId="29651"/>
    <cellStyle name="เครื่องหมายจุลภาค 3 3 5" xfId="29652"/>
    <cellStyle name="เครื่องหมายจุลภาค 3 3 6" xfId="29653"/>
    <cellStyle name="เครื่องหมายจุลภาค 3 3 7" xfId="29654"/>
    <cellStyle name="เครื่องหมายจุลภาค 3 3 8" xfId="29655"/>
    <cellStyle name="เครื่องหมายจุลภาค 3 3 9" xfId="29656"/>
    <cellStyle name="เครื่องหมายจุลภาค 3 4" xfId="29657"/>
    <cellStyle name="เครื่องหมายจุลภาค 3 4 2" xfId="29658"/>
    <cellStyle name="เครื่องหมายจุลภาค 3 5" xfId="29659"/>
    <cellStyle name="เครื่องหมายจุลภาค 3 5 2" xfId="29660"/>
    <cellStyle name="เครื่องหมายจุลภาค 3 5 2 2" xfId="29661"/>
    <cellStyle name="เครื่องหมายจุลภาค 3 6" xfId="29662"/>
    <cellStyle name="เครื่องหมายจุลภาค 3 7" xfId="29663"/>
    <cellStyle name="เครื่องหมายจุลภาค 3 8" xfId="29664"/>
    <cellStyle name="เครื่องหมายจุลภาค 3 9" xfId="29665"/>
    <cellStyle name="เครื่องหมายจุลภาค 4" xfId="29666"/>
    <cellStyle name="เครื่องหมายจุลภาค 4 2" xfId="29667"/>
    <cellStyle name="เครื่องหมายจุลภาค 4 2 2" xfId="29668"/>
    <cellStyle name="เครื่องหมายจุลภาค 4 2 2 2" xfId="29669"/>
    <cellStyle name="เครื่องหมายจุลภาค 4 2 3" xfId="29670"/>
    <cellStyle name="เครื่องหมายจุลภาค 4 3" xfId="29671"/>
    <cellStyle name="เครื่องหมายจุลภาค 4 4" xfId="29672"/>
    <cellStyle name="เครื่องหมายจุลภาค 4 5" xfId="29673"/>
    <cellStyle name="เครื่องหมายจุลภาค 5" xfId="29674"/>
    <cellStyle name="เครื่องหมายจุลภาค 5 2" xfId="29675"/>
    <cellStyle name="เครื่องหมายจุลภาค 5 3" xfId="29676"/>
    <cellStyle name="เครื่องหมายจุลภาค 5 4" xfId="29677"/>
    <cellStyle name="เครื่องหมายจุลภาค 6" xfId="29678"/>
    <cellStyle name="เครื่องหมายจุลภาค 6 2" xfId="29679"/>
    <cellStyle name="เครื่องหมายจุลภาค 7" xfId="29680"/>
    <cellStyle name="เครื่องหมายจุลภาค 7 2" xfId="29681"/>
    <cellStyle name="เครื่องหมายจุลภาค 7 3" xfId="29682"/>
    <cellStyle name="เครื่องหมายจุลภาค 7 3 2" xfId="29683"/>
    <cellStyle name="เครื่องหมายจุลภาค 7 3 2 2" xfId="29684"/>
    <cellStyle name="เครื่องหมายจุลภาค 7 3 3" xfId="29685"/>
    <cellStyle name="เครื่องหมายจุลภาค 7 4" xfId="29686"/>
    <cellStyle name="เครื่องหมายจุลภาค 7 4 2" xfId="29687"/>
    <cellStyle name="เครื่องหมายจุลภาค 7 5" xfId="29688"/>
    <cellStyle name="เครื่องหมายจุลภาค 8" xfId="29689"/>
    <cellStyle name="เครื่องหมายจุลภาค 8 2" xfId="29690"/>
    <cellStyle name="เครื่องหมายจุลภาค 8 3" xfId="29691"/>
    <cellStyle name="เครื่องหมายจุลภาค 8 4" xfId="29692"/>
    <cellStyle name="เครื่องหมายจุลภาค 9" xfId="29693"/>
    <cellStyle name="เครื่องหมายจุลภาค 9 2" xfId="29694"/>
    <cellStyle name="เครื่องหมายจุลภาค 9 3" xfId="29695"/>
    <cellStyle name="เครื่องหมายจุลภาค 9 4" xfId="29696"/>
    <cellStyle name="เครื่องหมายจุลภาค_50055-BOQ-A-Architect" xfId="29697"/>
    <cellStyle name="เชื่อมโยงหลายมิติ" xfId="29705"/>
    <cellStyle name="เซลล์ตรวจสอบ" xfId="29706"/>
    <cellStyle name="เซลล์ตรวจสอบ 2" xfId="29707"/>
    <cellStyle name="เซลล์ตรวจสอบ 3" xfId="29708"/>
    <cellStyle name="เซลล์ตรวจสอบ 4" xfId="29709"/>
    <cellStyle name="เซลล์ตรวจสอบ 5" xfId="29710"/>
    <cellStyle name="เซลล์ตรวจสอบ 6" xfId="29711"/>
    <cellStyle name="เซลล์ตรวจสอบ 7" xfId="29712"/>
    <cellStyle name="เซลล์ที่มีการเชื่อมโยง" xfId="29713"/>
    <cellStyle name="เซลล์ที่มีการเชื่อมโยง 2" xfId="29714"/>
    <cellStyle name="เซลล์ที่มีการเชื่อมโยง 3" xfId="29715"/>
    <cellStyle name="เซลล์ที่มีการเชื่อมโยง 4" xfId="29716"/>
    <cellStyle name="เซลล์ที่มีการเชื่อมโยง 5" xfId="29717"/>
    <cellStyle name="เซลล์ที่มีการเชื่อมโยง 6" xfId="29718"/>
    <cellStyle name="เซลล์ที่มีการเชื่อมโยง 7" xfId="29719"/>
    <cellStyle name="เปอร์เซ็นต์ 18" xfId="30323"/>
    <cellStyle name="เปอร์เซ็นต์ 2" xfId="30324"/>
    <cellStyle name="เปอร์เซ็นต์ 2 2" xfId="30325"/>
    <cellStyle name="เปอร์เซ็นต์ 2 3" xfId="30326"/>
    <cellStyle name="เปอร์เซ็นต์ 2 4" xfId="30327"/>
    <cellStyle name="เปอร์เซ็นต์ 2 4 2" xfId="30328"/>
    <cellStyle name="เปอร์เซ็นต์ 2 5" xfId="30329"/>
    <cellStyle name="เปอร์เซ็นต์ 2 6" xfId="30330"/>
    <cellStyle name="เปอร์เซ็นต์ 2 7" xfId="30331"/>
    <cellStyle name="เปอร์เซ็นต์ 2 8" xfId="30332"/>
    <cellStyle name="เปอร์เซ็นต์ 3" xfId="30333"/>
    <cellStyle name="เปอร์เซ็นต์ 3 2" xfId="30334"/>
    <cellStyle name="เปอร์เซ็นต์ 3 2 2" xfId="30335"/>
    <cellStyle name="เปอร์เซ็นต์ 3 2 2 2" xfId="30336"/>
    <cellStyle name="เปอร์เซ็นต์ 3 2 3" xfId="30337"/>
    <cellStyle name="เปอร์เซ็นต์ 3 3" xfId="30338"/>
    <cellStyle name="เปอร์เซ็นต์ 3 3 2" xfId="30339"/>
    <cellStyle name="เปอร์เซ็นต์ 3 4" xfId="30340"/>
    <cellStyle name="เปอร์เซ็นต์ 4" xfId="30341"/>
    <cellStyle name="เปอร์เซ็นต์ 4 2" xfId="30342"/>
    <cellStyle name="เปอร์เซ็นต์ 5" xfId="30343"/>
    <cellStyle name="เปอร์เซ็นต์ 6" xfId="30344"/>
    <cellStyle name="แย่" xfId="30358"/>
    <cellStyle name="แย่ 2" xfId="30359"/>
    <cellStyle name="แย่ 3" xfId="30360"/>
    <cellStyle name="แย่ 4" xfId="30361"/>
    <cellStyle name="แย่ 5" xfId="30362"/>
    <cellStyle name="แย่ 6" xfId="30363"/>
    <cellStyle name="แย่ 7" xfId="30364"/>
    <cellStyle name="แสดงผล" xfId="30416"/>
    <cellStyle name="แสดงผล 2" xfId="30417"/>
    <cellStyle name="แสดงผล 2 2" xfId="30418"/>
    <cellStyle name="แสดงผล 3" xfId="30419"/>
    <cellStyle name="แสดงผล 3 2" xfId="30420"/>
    <cellStyle name="แสดงผล 4" xfId="30421"/>
    <cellStyle name="แสดงผล 4 2" xfId="30422"/>
    <cellStyle name="แสดงผล 5" xfId="30423"/>
    <cellStyle name="แสดงผล 5 2" xfId="30424"/>
    <cellStyle name="แสดงผล 6" xfId="30425"/>
    <cellStyle name="แสดงผล 6 2" xfId="30426"/>
    <cellStyle name="แสดงผล 7" xfId="30427"/>
    <cellStyle name="แสดงผล 7 2" xfId="30428"/>
    <cellStyle name="การคำนวณ" xfId="29527"/>
    <cellStyle name="การคำนวณ 2" xfId="29528"/>
    <cellStyle name="การคำนวณ 2 2" xfId="29529"/>
    <cellStyle name="การคำนวณ 3" xfId="29530"/>
    <cellStyle name="การคำนวณ 3 2" xfId="29531"/>
    <cellStyle name="การคำนวณ 4" xfId="29532"/>
    <cellStyle name="การคำนวณ 4 2" xfId="29533"/>
    <cellStyle name="การคำนวณ 5" xfId="29534"/>
    <cellStyle name="การคำนวณ 5 2" xfId="29535"/>
    <cellStyle name="การคำนวณ 6" xfId="29536"/>
    <cellStyle name="การคำนวณ 6 2" xfId="29537"/>
    <cellStyle name="การคำนวณ 7" xfId="29538"/>
    <cellStyle name="การคำนวณ 7 2" xfId="29539"/>
    <cellStyle name="ข้อความเตือน" xfId="29540"/>
    <cellStyle name="ข้อความเตือน 2" xfId="29541"/>
    <cellStyle name="ข้อความเตือน 3" xfId="29542"/>
    <cellStyle name="ข้อความเตือน 4" xfId="29543"/>
    <cellStyle name="ข้อความเตือน 5" xfId="29544"/>
    <cellStyle name="ข้อความเตือน 6" xfId="29545"/>
    <cellStyle name="ข้อความเตือน 7" xfId="29546"/>
    <cellStyle name="ข้อความอธิบาย" xfId="29547"/>
    <cellStyle name="ข้อความอธิบาย 2" xfId="29548"/>
    <cellStyle name="ข้อความอธิบาย 3" xfId="29549"/>
    <cellStyle name="ข้อความอธิบาย 4" xfId="29550"/>
    <cellStyle name="ข้อความอธิบาย 5" xfId="29551"/>
    <cellStyle name="ข้อความอธิบาย 6" xfId="29552"/>
    <cellStyle name="ข้อความอธิบาย 7" xfId="29553"/>
    <cellStyle name="ชื่อเรื่อง" xfId="29698"/>
    <cellStyle name="ชื่อเรื่อง 2" xfId="29699"/>
    <cellStyle name="ชื่อเรื่อง 3" xfId="29700"/>
    <cellStyle name="ชื่อเรื่อง 4" xfId="29701"/>
    <cellStyle name="ชื่อเรื่อง 5" xfId="29702"/>
    <cellStyle name="ชื่อเรื่อง 6" xfId="29703"/>
    <cellStyle name="ชื่อเรื่อง 7" xfId="29704"/>
    <cellStyle name="ณfน๔_NTCณ๘ป๙ (2)" xfId="29720"/>
    <cellStyle name="ดี" xfId="29721"/>
    <cellStyle name="ดี 2" xfId="29722"/>
    <cellStyle name="ดี 3" xfId="29723"/>
    <cellStyle name="ดี 4" xfId="29724"/>
    <cellStyle name="ดี 5" xfId="29725"/>
    <cellStyle name="ดี 6" xfId="29726"/>
    <cellStyle name="ดี 7" xfId="29727"/>
    <cellStyle name="ตามการเชื่อมโยงหลายมิติ" xfId="29728"/>
    <cellStyle name="น้บะภฒ_95" xfId="29729"/>
    <cellStyle name="ปกติ 10" xfId="29730"/>
    <cellStyle name="ปกติ 10 2" xfId="29731"/>
    <cellStyle name="ปกติ 10 2 2" xfId="29732"/>
    <cellStyle name="ปกติ 10 2 2 2" xfId="29733"/>
    <cellStyle name="ปกติ 10 2 3" xfId="29734"/>
    <cellStyle name="ปกติ 10 3" xfId="29735"/>
    <cellStyle name="ปกติ 10 3 2" xfId="29736"/>
    <cellStyle name="ปกติ 10 3 2 2" xfId="29737"/>
    <cellStyle name="ปกติ 10 3 3" xfId="29738"/>
    <cellStyle name="ปกติ 10 4" xfId="29739"/>
    <cellStyle name="ปกติ 100" xfId="29740"/>
    <cellStyle name="ปกติ 101" xfId="29741"/>
    <cellStyle name="ปกติ 102" xfId="29742"/>
    <cellStyle name="ปกติ 103" xfId="29743"/>
    <cellStyle name="ปกติ 104" xfId="29744"/>
    <cellStyle name="ปกติ 105" xfId="29745"/>
    <cellStyle name="ปกติ 106" xfId="29746"/>
    <cellStyle name="ปกติ 107" xfId="29747"/>
    <cellStyle name="ปกติ 108" xfId="29748"/>
    <cellStyle name="ปกติ 11" xfId="29749"/>
    <cellStyle name="ปกติ 11 2" xfId="29750"/>
    <cellStyle name="ปกติ 11 2 2" xfId="29751"/>
    <cellStyle name="ปกติ 11 2 2 2" xfId="29752"/>
    <cellStyle name="ปกติ 11 2 3" xfId="29753"/>
    <cellStyle name="ปกติ 11 3" xfId="29754"/>
    <cellStyle name="ปกติ 11 4" xfId="29755"/>
    <cellStyle name="ปกติ 12" xfId="29756"/>
    <cellStyle name="ปกติ 13" xfId="29757"/>
    <cellStyle name="ปกติ 14" xfId="29758"/>
    <cellStyle name="ปกติ 15" xfId="29759"/>
    <cellStyle name="ปกติ 16" xfId="29760"/>
    <cellStyle name="ปกติ 17" xfId="29761"/>
    <cellStyle name="ปกติ 18" xfId="29762"/>
    <cellStyle name="ปกติ 19" xfId="29763"/>
    <cellStyle name="ปกติ 2" xfId="29764"/>
    <cellStyle name="ปกติ 2 10" xfId="29765"/>
    <cellStyle name="ปกติ 2 10 2" xfId="29766"/>
    <cellStyle name="ปกติ 2 100" xfId="29767"/>
    <cellStyle name="ปกติ 2 101" xfId="29768"/>
    <cellStyle name="ปกติ 2 102" xfId="29769"/>
    <cellStyle name="ปกติ 2 103" xfId="29770"/>
    <cellStyle name="ปกติ 2 104" xfId="29771"/>
    <cellStyle name="ปกติ 2 105" xfId="29772"/>
    <cellStyle name="ปกติ 2 106" xfId="29773"/>
    <cellStyle name="ปกติ 2 107" xfId="29774"/>
    <cellStyle name="ปกติ 2 108" xfId="29775"/>
    <cellStyle name="ปกติ 2 109" xfId="29776"/>
    <cellStyle name="ปกติ 2 11" xfId="29777"/>
    <cellStyle name="ปกติ 2 110" xfId="29778"/>
    <cellStyle name="ปกติ 2 111" xfId="29779"/>
    <cellStyle name="ปกติ 2 112" xfId="29780"/>
    <cellStyle name="ปกติ 2 113" xfId="29781"/>
    <cellStyle name="ปกติ 2 114" xfId="29782"/>
    <cellStyle name="ปกติ 2 115" xfId="29783"/>
    <cellStyle name="ปกติ 2 116" xfId="29784"/>
    <cellStyle name="ปกติ 2 117" xfId="29785"/>
    <cellStyle name="ปกติ 2 118" xfId="29786"/>
    <cellStyle name="ปกติ 2 119" xfId="29787"/>
    <cellStyle name="ปกติ 2 12" xfId="29788"/>
    <cellStyle name="ปกติ 2 120" xfId="29789"/>
    <cellStyle name="ปกติ 2 121" xfId="29790"/>
    <cellStyle name="ปกติ 2 122" xfId="29791"/>
    <cellStyle name="ปกติ 2 123" xfId="29792"/>
    <cellStyle name="ปกติ 2 124" xfId="29793"/>
    <cellStyle name="ปกติ 2 125" xfId="29794"/>
    <cellStyle name="ปกติ 2 126" xfId="29795"/>
    <cellStyle name="ปกติ 2 127" xfId="29796"/>
    <cellStyle name="ปกติ 2 128" xfId="29797"/>
    <cellStyle name="ปกติ 2 129" xfId="29798"/>
    <cellStyle name="ปกติ 2 13" xfId="29799"/>
    <cellStyle name="ปกติ 2 130" xfId="29800"/>
    <cellStyle name="ปกติ 2 131" xfId="29801"/>
    <cellStyle name="ปกติ 2 132" xfId="29802"/>
    <cellStyle name="ปกติ 2 132 2" xfId="29803"/>
    <cellStyle name="ปกติ 2 133" xfId="29804"/>
    <cellStyle name="ปกติ 2 133 2" xfId="29805"/>
    <cellStyle name="ปกติ 2 134" xfId="29806"/>
    <cellStyle name="ปกติ 2 135" xfId="29807"/>
    <cellStyle name="ปกติ 2 136" xfId="29808"/>
    <cellStyle name="ปกติ 2 14" xfId="29809"/>
    <cellStyle name="ปกติ 2 15" xfId="29810"/>
    <cellStyle name="ปกติ 2 16" xfId="29811"/>
    <cellStyle name="ปกติ 2 17" xfId="29812"/>
    <cellStyle name="ปกติ 2 18" xfId="29813"/>
    <cellStyle name="ปกติ 2 19" xfId="29814"/>
    <cellStyle name="ปกติ 2 2" xfId="29815"/>
    <cellStyle name="ปกติ 2 2 10" xfId="29816"/>
    <cellStyle name="ปกติ 2 2 2" xfId="29817"/>
    <cellStyle name="ปกติ 2 2 2 10" xfId="29818"/>
    <cellStyle name="ปกติ 2 2 2 2" xfId="29819"/>
    <cellStyle name="ปกติ 2 2 2 2 2" xfId="29820"/>
    <cellStyle name="ปกติ 2 2 2 2 3" xfId="29821"/>
    <cellStyle name="ปกติ 2 2 2 2 4" xfId="29822"/>
    <cellStyle name="ปกติ 2 2 2 3" xfId="29823"/>
    <cellStyle name="ปกติ 2 2 2 4" xfId="29824"/>
    <cellStyle name="ปกติ 2 2 2 5" xfId="29825"/>
    <cellStyle name="ปกติ 2 2 2 6" xfId="29826"/>
    <cellStyle name="ปกติ 2 2 2 7" xfId="29827"/>
    <cellStyle name="ปกติ 2 2 2 8" xfId="29828"/>
    <cellStyle name="ปกติ 2 2 2 9" xfId="29829"/>
    <cellStyle name="ปกติ 2 2 2_Maintenance Plan Inteqc" xfId="29830"/>
    <cellStyle name="ปกติ 2 2 3" xfId="29831"/>
    <cellStyle name="ปกติ 2 2 4" xfId="29832"/>
    <cellStyle name="ปกติ 2 2 5" xfId="29833"/>
    <cellStyle name="ปกติ 2 2 6" xfId="29834"/>
    <cellStyle name="ปกติ 2 2 7" xfId="29835"/>
    <cellStyle name="ปกติ 2 2 8" xfId="29836"/>
    <cellStyle name="ปกติ 2 2 9" xfId="29837"/>
    <cellStyle name="ปกติ 2 20" xfId="29838"/>
    <cellStyle name="ปกติ 2 21" xfId="29839"/>
    <cellStyle name="ปกติ 2 22" xfId="29840"/>
    <cellStyle name="ปกติ 2 23" xfId="29841"/>
    <cellStyle name="ปกติ 2 24" xfId="29842"/>
    <cellStyle name="ปกติ 2 25" xfId="29843"/>
    <cellStyle name="ปกติ 2 26" xfId="29844"/>
    <cellStyle name="ปกติ 2 27" xfId="29845"/>
    <cellStyle name="ปกติ 2 28" xfId="29846"/>
    <cellStyle name="ปกติ 2 29" xfId="29847"/>
    <cellStyle name="ปกติ 2 3" xfId="29848"/>
    <cellStyle name="ปกติ 2 3 2" xfId="29849"/>
    <cellStyle name="ปกติ 2 3 3" xfId="29850"/>
    <cellStyle name="ปกติ 2 3 4" xfId="29851"/>
    <cellStyle name="ปกติ 2 30" xfId="29852"/>
    <cellStyle name="ปกติ 2 31" xfId="29853"/>
    <cellStyle name="ปกติ 2 32" xfId="29854"/>
    <cellStyle name="ปกติ 2 33" xfId="29855"/>
    <cellStyle name="ปกติ 2 34" xfId="29856"/>
    <cellStyle name="ปกติ 2 35" xfId="29857"/>
    <cellStyle name="ปกติ 2 36" xfId="29858"/>
    <cellStyle name="ปกติ 2 37" xfId="29859"/>
    <cellStyle name="ปกติ 2 38" xfId="29860"/>
    <cellStyle name="ปกติ 2 39" xfId="29861"/>
    <cellStyle name="ปกติ 2 4" xfId="29862"/>
    <cellStyle name="ปกติ 2 4 2" xfId="29863"/>
    <cellStyle name="ปกติ 2 4 2 2" xfId="29864"/>
    <cellStyle name="ปกติ 2 4 3" xfId="29865"/>
    <cellStyle name="ปกติ 2 4 3 2" xfId="29866"/>
    <cellStyle name="ปกติ 2 4 4" xfId="29867"/>
    <cellStyle name="ปกติ 2 4 4 2" xfId="29868"/>
    <cellStyle name="ปกติ 2 4 4 3" xfId="29869"/>
    <cellStyle name="ปกติ 2 4 5" xfId="29870"/>
    <cellStyle name="ปกติ 2 40" xfId="29871"/>
    <cellStyle name="ปกติ 2 41" xfId="29872"/>
    <cellStyle name="ปกติ 2 42" xfId="29873"/>
    <cellStyle name="ปกติ 2 43" xfId="29874"/>
    <cellStyle name="ปกติ 2 44" xfId="29875"/>
    <cellStyle name="ปกติ 2 45" xfId="29876"/>
    <cellStyle name="ปกติ 2 46" xfId="29877"/>
    <cellStyle name="ปกติ 2 47" xfId="29878"/>
    <cellStyle name="ปกติ 2 48" xfId="29879"/>
    <cellStyle name="ปกติ 2 49" xfId="29880"/>
    <cellStyle name="ปกติ 2 5" xfId="29881"/>
    <cellStyle name="ปกติ 2 5 2" xfId="29882"/>
    <cellStyle name="ปกติ 2 5 2 2" xfId="29883"/>
    <cellStyle name="ปกติ 2 5 2 3" xfId="29884"/>
    <cellStyle name="ปกติ 2 5 2 4" xfId="29885"/>
    <cellStyle name="ปกติ 2 5 3" xfId="29886"/>
    <cellStyle name="ปกติ 2 5 3 2" xfId="29887"/>
    <cellStyle name="ปกติ 2 5 4" xfId="29888"/>
    <cellStyle name="ปกติ 2 5 5" xfId="29889"/>
    <cellStyle name="ปกติ 2 50" xfId="29890"/>
    <cellStyle name="ปกติ 2 51" xfId="29891"/>
    <cellStyle name="ปกติ 2 52" xfId="29892"/>
    <cellStyle name="ปกติ 2 53" xfId="29893"/>
    <cellStyle name="ปกติ 2 54" xfId="29894"/>
    <cellStyle name="ปกติ 2 55" xfId="29895"/>
    <cellStyle name="ปกติ 2 56" xfId="29896"/>
    <cellStyle name="ปกติ 2 57" xfId="29897"/>
    <cellStyle name="ปกติ 2 58" xfId="29898"/>
    <cellStyle name="ปกติ 2 59" xfId="29899"/>
    <cellStyle name="ปกติ 2 6" xfId="29900"/>
    <cellStyle name="ปกติ 2 6 2" xfId="29901"/>
    <cellStyle name="ปกติ 2 6 2 2" xfId="29902"/>
    <cellStyle name="ปกติ 2 6 2 3" xfId="29903"/>
    <cellStyle name="ปกติ 2 6 2 4" xfId="29904"/>
    <cellStyle name="ปกติ 2 6 3" xfId="29905"/>
    <cellStyle name="ปกติ 2 6 3 2" xfId="29906"/>
    <cellStyle name="ปกติ 2 6 4" xfId="29907"/>
    <cellStyle name="ปกติ 2 6 5" xfId="29908"/>
    <cellStyle name="ปกติ 2 60" xfId="29909"/>
    <cellStyle name="ปกติ 2 61" xfId="29910"/>
    <cellStyle name="ปกติ 2 62" xfId="29911"/>
    <cellStyle name="ปกติ 2 63" xfId="29912"/>
    <cellStyle name="ปกติ 2 64" xfId="29913"/>
    <cellStyle name="ปกติ 2 64 2" xfId="29914"/>
    <cellStyle name="ปกติ 2 65" xfId="29915"/>
    <cellStyle name="ปกติ 2 66" xfId="29916"/>
    <cellStyle name="ปกติ 2 67" xfId="29917"/>
    <cellStyle name="ปกติ 2 68" xfId="29918"/>
    <cellStyle name="ปกติ 2 69" xfId="29919"/>
    <cellStyle name="ปกติ 2 7" xfId="29920"/>
    <cellStyle name="ปกติ 2 7 2" xfId="29921"/>
    <cellStyle name="ปกติ 2 7 3" xfId="29922"/>
    <cellStyle name="ปกติ 2 7 4" xfId="29923"/>
    <cellStyle name="ปกติ 2 70" xfId="29924"/>
    <cellStyle name="ปกติ 2 71" xfId="29925"/>
    <cellStyle name="ปกติ 2 72" xfId="29926"/>
    <cellStyle name="ปกติ 2 73" xfId="29927"/>
    <cellStyle name="ปกติ 2 74" xfId="29928"/>
    <cellStyle name="ปกติ 2 75" xfId="29929"/>
    <cellStyle name="ปกติ 2 76" xfId="29930"/>
    <cellStyle name="ปกติ 2 77" xfId="29931"/>
    <cellStyle name="ปกติ 2 78" xfId="29932"/>
    <cellStyle name="ปกติ 2 79" xfId="29933"/>
    <cellStyle name="ปกติ 2 8" xfId="29934"/>
    <cellStyle name="ปกติ 2 8 2" xfId="29935"/>
    <cellStyle name="ปกติ 2 8 3" xfId="29936"/>
    <cellStyle name="ปกติ 2 8 4" xfId="29937"/>
    <cellStyle name="ปกติ 2 80" xfId="29938"/>
    <cellStyle name="ปกติ 2 81" xfId="29939"/>
    <cellStyle name="ปกติ 2 82" xfId="29940"/>
    <cellStyle name="ปกติ 2 83" xfId="29941"/>
    <cellStyle name="ปกติ 2 84" xfId="29942"/>
    <cellStyle name="ปกติ 2 85" xfId="29943"/>
    <cellStyle name="ปกติ 2 86" xfId="29944"/>
    <cellStyle name="ปกติ 2 87" xfId="29945"/>
    <cellStyle name="ปกติ 2 88" xfId="29946"/>
    <cellStyle name="ปกติ 2 89" xfId="29947"/>
    <cellStyle name="ปกติ 2 9" xfId="29948"/>
    <cellStyle name="ปกติ 2 9 2" xfId="29949"/>
    <cellStyle name="ปกติ 2 9 3" xfId="29950"/>
    <cellStyle name="ปกติ 2 9 4" xfId="29951"/>
    <cellStyle name="ปกติ 2 90" xfId="29952"/>
    <cellStyle name="ปกติ 2 91" xfId="29953"/>
    <cellStyle name="ปกติ 2 92" xfId="29954"/>
    <cellStyle name="ปกติ 2 93" xfId="29955"/>
    <cellStyle name="ปกติ 2 94" xfId="29956"/>
    <cellStyle name="ปกติ 2 95" xfId="29957"/>
    <cellStyle name="ปกติ 2 96" xfId="29958"/>
    <cellStyle name="ปกติ 2 97" xfId="29959"/>
    <cellStyle name="ปกติ 2 98" xfId="29960"/>
    <cellStyle name="ปกติ 2 99" xfId="29961"/>
    <cellStyle name="ปกติ 2_2.Format FMEA Rev.07 (13-10-09) new" xfId="29962"/>
    <cellStyle name="ปกติ 20" xfId="29963"/>
    <cellStyle name="ปกติ 21" xfId="29964"/>
    <cellStyle name="ปกติ 22" xfId="29965"/>
    <cellStyle name="ปกติ 23" xfId="29966"/>
    <cellStyle name="ปกติ 24" xfId="29967"/>
    <cellStyle name="ปกติ 25" xfId="29968"/>
    <cellStyle name="ปกติ 26" xfId="29969"/>
    <cellStyle name="ปกติ 27" xfId="29970"/>
    <cellStyle name="ปกติ 28" xfId="29971"/>
    <cellStyle name="ปกติ 29" xfId="29972"/>
    <cellStyle name="ปกติ 3" xfId="29973"/>
    <cellStyle name="ปกติ 3 10" xfId="29974"/>
    <cellStyle name="ปกติ 3 11" xfId="29975"/>
    <cellStyle name="ปกติ 3 12" xfId="29976"/>
    <cellStyle name="ปกติ 3 13" xfId="29977"/>
    <cellStyle name="ปกติ 3 14" xfId="29978"/>
    <cellStyle name="ปกติ 3 15" xfId="29979"/>
    <cellStyle name="ปกติ 3 15 2" xfId="29980"/>
    <cellStyle name="ปกติ 3 16" xfId="29981"/>
    <cellStyle name="ปกติ 3 17" xfId="29982"/>
    <cellStyle name="ปกติ 3 18" xfId="29983"/>
    <cellStyle name="ปกติ 3 19" xfId="29984"/>
    <cellStyle name="ปกติ 3 2" xfId="29985"/>
    <cellStyle name="ปกติ 3 2 10" xfId="29986"/>
    <cellStyle name="ปกติ 3 2 11" xfId="29987"/>
    <cellStyle name="ปกติ 3 2 12" xfId="29988"/>
    <cellStyle name="ปกติ 3 2 13" xfId="29989"/>
    <cellStyle name="ปกติ 3 2 14" xfId="29990"/>
    <cellStyle name="ปกติ 3 2 15" xfId="29991"/>
    <cellStyle name="ปกติ 3 2 16" xfId="29992"/>
    <cellStyle name="ปกติ 3 2 17" xfId="29993"/>
    <cellStyle name="ปกติ 3 2 18" xfId="29994"/>
    <cellStyle name="ปกติ 3 2 19" xfId="29995"/>
    <cellStyle name="ปกติ 3 2 2" xfId="29996"/>
    <cellStyle name="ปกติ 3 2 2 10" xfId="29997"/>
    <cellStyle name="ปกติ 3 2 2 11" xfId="29998"/>
    <cellStyle name="ปกติ 3 2 2 12" xfId="29999"/>
    <cellStyle name="ปกติ 3 2 2 13" xfId="30000"/>
    <cellStyle name="ปกติ 3 2 2 14" xfId="30001"/>
    <cellStyle name="ปกติ 3 2 2 15" xfId="30002"/>
    <cellStyle name="ปกติ 3 2 2 16" xfId="30003"/>
    <cellStyle name="ปกติ 3 2 2 17" xfId="30004"/>
    <cellStyle name="ปกติ 3 2 2 18" xfId="30005"/>
    <cellStyle name="ปกติ 3 2 2 19" xfId="30006"/>
    <cellStyle name="ปกติ 3 2 2 2" xfId="30007"/>
    <cellStyle name="ปกติ 3 2 2 20" xfId="30008"/>
    <cellStyle name="ปกติ 3 2 2 21" xfId="30009"/>
    <cellStyle name="ปกติ 3 2 2 22" xfId="30010"/>
    <cellStyle name="ปกติ 3 2 2 23" xfId="30011"/>
    <cellStyle name="ปกติ 3 2 2 24" xfId="30012"/>
    <cellStyle name="ปกติ 3 2 2 25" xfId="30013"/>
    <cellStyle name="ปกติ 3 2 2 26" xfId="30014"/>
    <cellStyle name="ปกติ 3 2 2 27" xfId="30015"/>
    <cellStyle name="ปกติ 3 2 2 28" xfId="30016"/>
    <cellStyle name="ปกติ 3 2 2 29" xfId="30017"/>
    <cellStyle name="ปกติ 3 2 2 3" xfId="30018"/>
    <cellStyle name="ปกติ 3 2 2 30" xfId="30019"/>
    <cellStyle name="ปกติ 3 2 2 4" xfId="30020"/>
    <cellStyle name="ปกติ 3 2 2 5" xfId="30021"/>
    <cellStyle name="ปกติ 3 2 2 6" xfId="30022"/>
    <cellStyle name="ปกติ 3 2 2 7" xfId="30023"/>
    <cellStyle name="ปกติ 3 2 2 8" xfId="30024"/>
    <cellStyle name="ปกติ 3 2 2 8 2" xfId="30025"/>
    <cellStyle name="ปกติ 3 2 2 9" xfId="30026"/>
    <cellStyle name="ปกติ 3 2 20" xfId="30027"/>
    <cellStyle name="ปกติ 3 2 21" xfId="30028"/>
    <cellStyle name="ปกติ 3 2 22" xfId="30029"/>
    <cellStyle name="ปกติ 3 2 23" xfId="30030"/>
    <cellStyle name="ปกติ 3 2 24" xfId="30031"/>
    <cellStyle name="ปกติ 3 2 24 2" xfId="30032"/>
    <cellStyle name="ปกติ 3 2 24 2 2" xfId="30033"/>
    <cellStyle name="ปกติ 3 2 24 3" xfId="30034"/>
    <cellStyle name="ปกติ 3 2 25" xfId="30035"/>
    <cellStyle name="ปกติ 3 2 25 2" xfId="30036"/>
    <cellStyle name="ปกติ 3 2 25 2 2" xfId="30037"/>
    <cellStyle name="ปกติ 3 2 25 3" xfId="30038"/>
    <cellStyle name="ปกติ 3 2 26" xfId="30039"/>
    <cellStyle name="ปกติ 3 2 26 2" xfId="30040"/>
    <cellStyle name="ปกติ 3 2 26 2 2" xfId="30041"/>
    <cellStyle name="ปกติ 3 2 26 3" xfId="30042"/>
    <cellStyle name="ปกติ 3 2 27" xfId="30043"/>
    <cellStyle name="ปกติ 3 2 27 2" xfId="30044"/>
    <cellStyle name="ปกติ 3 2 27 2 2" xfId="30045"/>
    <cellStyle name="ปกติ 3 2 27 3" xfId="30046"/>
    <cellStyle name="ปกติ 3 2 28" xfId="30047"/>
    <cellStyle name="ปกติ 3 2 28 2" xfId="30048"/>
    <cellStyle name="ปกติ 3 2 28 2 2" xfId="30049"/>
    <cellStyle name="ปกติ 3 2 28 3" xfId="30050"/>
    <cellStyle name="ปกติ 3 2 29" xfId="30051"/>
    <cellStyle name="ปกติ 3 2 3" xfId="30052"/>
    <cellStyle name="ปกติ 3 2 30" xfId="30053"/>
    <cellStyle name="ปกติ 3 2 31" xfId="30054"/>
    <cellStyle name="ปกติ 3 2 4" xfId="30055"/>
    <cellStyle name="ปกติ 3 2 5" xfId="30056"/>
    <cellStyle name="ปกติ 3 2 6" xfId="30057"/>
    <cellStyle name="ปกติ 3 2 7" xfId="30058"/>
    <cellStyle name="ปกติ 3 2 8" xfId="30059"/>
    <cellStyle name="ปกติ 3 2 9" xfId="30060"/>
    <cellStyle name="ปกติ 3 20" xfId="30061"/>
    <cellStyle name="ปกติ 3 21" xfId="30062"/>
    <cellStyle name="ปกติ 3 22" xfId="30063"/>
    <cellStyle name="ปกติ 3 23" xfId="30064"/>
    <cellStyle name="ปกติ 3 24" xfId="30065"/>
    <cellStyle name="ปกติ 3 25" xfId="30066"/>
    <cellStyle name="ปกติ 3 26" xfId="30067"/>
    <cellStyle name="ปกติ 3 27" xfId="30068"/>
    <cellStyle name="ปกติ 3 28" xfId="30069"/>
    <cellStyle name="ปกติ 3 29" xfId="30070"/>
    <cellStyle name="ปกติ 3 3" xfId="30071"/>
    <cellStyle name="ปกติ 3 3 2" xfId="30072"/>
    <cellStyle name="ปกติ 3 3 3" xfId="30073"/>
    <cellStyle name="ปกติ 3 3 3 2" xfId="30074"/>
    <cellStyle name="ปกติ 3 3 4" xfId="30075"/>
    <cellStyle name="ปกติ 3 3 5" xfId="30076"/>
    <cellStyle name="ปกติ 3 3 6" xfId="30077"/>
    <cellStyle name="ปกติ 3 3 7" xfId="30078"/>
    <cellStyle name="ปกติ 3 3 8" xfId="30079"/>
    <cellStyle name="ปกติ 3 3 9" xfId="30080"/>
    <cellStyle name="ปกติ 3 30" xfId="30081"/>
    <cellStyle name="ปกติ 3 31" xfId="30082"/>
    <cellStyle name="ปกติ 3 32" xfId="30083"/>
    <cellStyle name="ปกติ 3 33" xfId="30084"/>
    <cellStyle name="ปกติ 3 34" xfId="30085"/>
    <cellStyle name="ปกติ 3 35" xfId="30086"/>
    <cellStyle name="ปกติ 3 4" xfId="30087"/>
    <cellStyle name="ปกติ 3 4 2" xfId="30088"/>
    <cellStyle name="ปกติ 3 4 3" xfId="30089"/>
    <cellStyle name="ปกติ 3 4 4" xfId="30090"/>
    <cellStyle name="ปกติ 3 5" xfId="30091"/>
    <cellStyle name="ปกติ 3 6" xfId="30092"/>
    <cellStyle name="ปกติ 3 7" xfId="30093"/>
    <cellStyle name="ปกติ 3 8" xfId="30094"/>
    <cellStyle name="ปกติ 3 9" xfId="30095"/>
    <cellStyle name="ปกติ 3 9 2" xfId="30096"/>
    <cellStyle name="ปกติ 30" xfId="30097"/>
    <cellStyle name="ปกติ 31" xfId="30098"/>
    <cellStyle name="ปกติ 32" xfId="30099"/>
    <cellStyle name="ปกติ 33" xfId="30100"/>
    <cellStyle name="ปกติ 34" xfId="30101"/>
    <cellStyle name="ปกติ 35" xfId="30102"/>
    <cellStyle name="ปกติ 36" xfId="30103"/>
    <cellStyle name="ปกติ 37" xfId="30104"/>
    <cellStyle name="ปกติ 38" xfId="30105"/>
    <cellStyle name="ปกติ 39" xfId="30106"/>
    <cellStyle name="ปกติ 4" xfId="30107"/>
    <cellStyle name="ปกติ 4 10" xfId="30108"/>
    <cellStyle name="ปกติ 4 11" xfId="30109"/>
    <cellStyle name="ปกติ 4 12" xfId="30110"/>
    <cellStyle name="ปกติ 4 13" xfId="30111"/>
    <cellStyle name="ปกติ 4 14" xfId="30112"/>
    <cellStyle name="ปกติ 4 15" xfId="30113"/>
    <cellStyle name="ปกติ 4 16" xfId="30114"/>
    <cellStyle name="ปกติ 4 17" xfId="30115"/>
    <cellStyle name="ปกติ 4 18" xfId="30116"/>
    <cellStyle name="ปกติ 4 19" xfId="30117"/>
    <cellStyle name="ปกติ 4 2" xfId="30118"/>
    <cellStyle name="ปกติ 4 2 10" xfId="30119"/>
    <cellStyle name="ปกติ 4 2 2" xfId="30120"/>
    <cellStyle name="ปกติ 4 2 3" xfId="30121"/>
    <cellStyle name="ปกติ 4 2 4" xfId="30122"/>
    <cellStyle name="ปกติ 4 2 5" xfId="30123"/>
    <cellStyle name="ปกติ 4 2 6" xfId="30124"/>
    <cellStyle name="ปกติ 4 2 7" xfId="30125"/>
    <cellStyle name="ปกติ 4 2 8" xfId="30126"/>
    <cellStyle name="ปกติ 4 2 9" xfId="30127"/>
    <cellStyle name="ปกติ 4 20" xfId="30128"/>
    <cellStyle name="ปกติ 4 21" xfId="30129"/>
    <cellStyle name="ปกติ 4 22" xfId="30130"/>
    <cellStyle name="ปกติ 4 23" xfId="30131"/>
    <cellStyle name="ปกติ 4 24" xfId="30132"/>
    <cellStyle name="ปกติ 4 24 2" xfId="30133"/>
    <cellStyle name="ปกติ 4 24 2 2" xfId="30134"/>
    <cellStyle name="ปกติ 4 24 3" xfId="30135"/>
    <cellStyle name="ปกติ 4 25" xfId="30136"/>
    <cellStyle name="ปกติ 4 25 2" xfId="30137"/>
    <cellStyle name="ปกติ 4 25 2 2" xfId="30138"/>
    <cellStyle name="ปกติ 4 25 3" xfId="30139"/>
    <cellStyle name="ปกติ 4 26" xfId="30140"/>
    <cellStyle name="ปกติ 4 26 2" xfId="30141"/>
    <cellStyle name="ปกติ 4 26 2 2" xfId="30142"/>
    <cellStyle name="ปกติ 4 26 3" xfId="30143"/>
    <cellStyle name="ปกติ 4 27" xfId="30144"/>
    <cellStyle name="ปกติ 4 27 2" xfId="30145"/>
    <cellStyle name="ปกติ 4 27 2 2" xfId="30146"/>
    <cellStyle name="ปกติ 4 27 3" xfId="30147"/>
    <cellStyle name="ปกติ 4 28" xfId="30148"/>
    <cellStyle name="ปกติ 4 28 2" xfId="30149"/>
    <cellStyle name="ปกติ 4 28 2 2" xfId="30150"/>
    <cellStyle name="ปกติ 4 28 3" xfId="30151"/>
    <cellStyle name="ปกติ 4 29" xfId="30152"/>
    <cellStyle name="ปกติ 4 3" xfId="30153"/>
    <cellStyle name="ปกติ 4 30" xfId="30154"/>
    <cellStyle name="ปกติ 4 31" xfId="30155"/>
    <cellStyle name="ปกติ 4 4" xfId="30156"/>
    <cellStyle name="ปกติ 4 5" xfId="30157"/>
    <cellStyle name="ปกติ 4 6" xfId="30158"/>
    <cellStyle name="ปกติ 4 7" xfId="30159"/>
    <cellStyle name="ปกติ 4 8" xfId="30160"/>
    <cellStyle name="ปกติ 4 9" xfId="30161"/>
    <cellStyle name="ปกติ 40" xfId="30162"/>
    <cellStyle name="ปกติ 41" xfId="30163"/>
    <cellStyle name="ปกติ 42" xfId="30164"/>
    <cellStyle name="ปกติ 43" xfId="30165"/>
    <cellStyle name="ปกติ 44" xfId="30166"/>
    <cellStyle name="ปกติ 45" xfId="30167"/>
    <cellStyle name="ปกติ 46" xfId="30168"/>
    <cellStyle name="ปกติ 47" xfId="30169"/>
    <cellStyle name="ปกติ 48" xfId="30170"/>
    <cellStyle name="ปกติ 49" xfId="30171"/>
    <cellStyle name="ปกติ 5" xfId="30172"/>
    <cellStyle name="ปกติ 5 10" xfId="30173"/>
    <cellStyle name="ปกติ 5 11" xfId="30174"/>
    <cellStyle name="ปกติ 5 12" xfId="30175"/>
    <cellStyle name="ปกติ 5 13" xfId="30176"/>
    <cellStyle name="ปกติ 5 14" xfId="30177"/>
    <cellStyle name="ปกติ 5 15" xfId="30178"/>
    <cellStyle name="ปกติ 5 16" xfId="30179"/>
    <cellStyle name="ปกติ 5 17" xfId="30180"/>
    <cellStyle name="ปกติ 5 18" xfId="30181"/>
    <cellStyle name="ปกติ 5 19" xfId="30182"/>
    <cellStyle name="ปกติ 5 2" xfId="30183"/>
    <cellStyle name="ปกติ 5 2 10" xfId="30184"/>
    <cellStyle name="ปกติ 5 2 11" xfId="30185"/>
    <cellStyle name="ปกติ 5 2 12" xfId="30186"/>
    <cellStyle name="ปกติ 5 2 13" xfId="30187"/>
    <cellStyle name="ปกติ 5 2 14" xfId="30188"/>
    <cellStyle name="ปกติ 5 2 15" xfId="30189"/>
    <cellStyle name="ปกติ 5 2 16" xfId="30190"/>
    <cellStyle name="ปกติ 5 2 17" xfId="30191"/>
    <cellStyle name="ปกติ 5 2 18" xfId="30192"/>
    <cellStyle name="ปกติ 5 2 19" xfId="30193"/>
    <cellStyle name="ปกติ 5 2 2" xfId="30194"/>
    <cellStyle name="ปกติ 5 2 20" xfId="30195"/>
    <cellStyle name="ปกติ 5 2 21" xfId="30196"/>
    <cellStyle name="ปกติ 5 2 22" xfId="30197"/>
    <cellStyle name="ปกติ 5 2 23" xfId="30198"/>
    <cellStyle name="ปกติ 5 2 24" xfId="30199"/>
    <cellStyle name="ปกติ 5 2 25" xfId="30200"/>
    <cellStyle name="ปกติ 5 2 26" xfId="30201"/>
    <cellStyle name="ปกติ 5 2 27" xfId="30202"/>
    <cellStyle name="ปกติ 5 2 28" xfId="30203"/>
    <cellStyle name="ปกติ 5 2 29" xfId="30204"/>
    <cellStyle name="ปกติ 5 2 3" xfId="30205"/>
    <cellStyle name="ปกติ 5 2 30" xfId="30206"/>
    <cellStyle name="ปกติ 5 2 4" xfId="30207"/>
    <cellStyle name="ปกติ 5 2 5" xfId="30208"/>
    <cellStyle name="ปกติ 5 2 6" xfId="30209"/>
    <cellStyle name="ปกติ 5 2 7" xfId="30210"/>
    <cellStyle name="ปกติ 5 2 8" xfId="30211"/>
    <cellStyle name="ปกติ 5 2 9" xfId="30212"/>
    <cellStyle name="ปกติ 5 20" xfId="30213"/>
    <cellStyle name="ปกติ 5 21" xfId="30214"/>
    <cellStyle name="ปกติ 5 22" xfId="30215"/>
    <cellStyle name="ปกติ 5 23" xfId="30216"/>
    <cellStyle name="ปกติ 5 24" xfId="30217"/>
    <cellStyle name="ปกติ 5 25" xfId="30218"/>
    <cellStyle name="ปกติ 5 26" xfId="30219"/>
    <cellStyle name="ปกติ 5 27" xfId="30220"/>
    <cellStyle name="ปกติ 5 28" xfId="30221"/>
    <cellStyle name="ปกติ 5 29" xfId="30222"/>
    <cellStyle name="ปกติ 5 3" xfId="30223"/>
    <cellStyle name="ปกติ 5 30" xfId="30224"/>
    <cellStyle name="ปกติ 5 31" xfId="30225"/>
    <cellStyle name="ปกติ 5 4" xfId="30226"/>
    <cellStyle name="ปกติ 5 5" xfId="30227"/>
    <cellStyle name="ปกติ 5 6" xfId="30228"/>
    <cellStyle name="ปกติ 5 7" xfId="30229"/>
    <cellStyle name="ปกติ 5 8" xfId="30230"/>
    <cellStyle name="ปกติ 5 9" xfId="30231"/>
    <cellStyle name="ปกติ 50" xfId="30232"/>
    <cellStyle name="ปกติ 51" xfId="30233"/>
    <cellStyle name="ปกติ 52" xfId="30234"/>
    <cellStyle name="ปกติ 53" xfId="30235"/>
    <cellStyle name="ปกติ 54" xfId="30236"/>
    <cellStyle name="ปกติ 55" xfId="30237"/>
    <cellStyle name="ปกติ 56" xfId="30238"/>
    <cellStyle name="ปกติ 57" xfId="30239"/>
    <cellStyle name="ปกติ 58" xfId="30240"/>
    <cellStyle name="ปกติ 59" xfId="30241"/>
    <cellStyle name="ปกติ 6" xfId="30242"/>
    <cellStyle name="ปกติ 6 2" xfId="30243"/>
    <cellStyle name="ปกติ 6 3" xfId="30244"/>
    <cellStyle name="ปกติ 6 4" xfId="30245"/>
    <cellStyle name="ปกติ 60" xfId="30246"/>
    <cellStyle name="ปกติ 61" xfId="30247"/>
    <cellStyle name="ปกติ 62" xfId="30248"/>
    <cellStyle name="ปกติ 63" xfId="30249"/>
    <cellStyle name="ปกติ 64" xfId="30250"/>
    <cellStyle name="ปกติ 65" xfId="30251"/>
    <cellStyle name="ปกติ 66" xfId="30252"/>
    <cellStyle name="ปกติ 67" xfId="30253"/>
    <cellStyle name="ปกติ 68" xfId="30254"/>
    <cellStyle name="ปกติ 68 2" xfId="30255"/>
    <cellStyle name="ปกติ 68 2 2" xfId="30256"/>
    <cellStyle name="ปกติ 69" xfId="30257"/>
    <cellStyle name="ปกติ 7" xfId="30258"/>
    <cellStyle name="ปกติ 7 2" xfId="30259"/>
    <cellStyle name="ปกติ 7 2 2" xfId="30260"/>
    <cellStyle name="ปกติ 7 2 2 2" xfId="30261"/>
    <cellStyle name="ปกติ 7 2 3" xfId="30262"/>
    <cellStyle name="ปกติ 7 3" xfId="30263"/>
    <cellStyle name="ปกติ 7 4" xfId="30264"/>
    <cellStyle name="ปกติ 70" xfId="30265"/>
    <cellStyle name="ปกติ 71" xfId="30266"/>
    <cellStyle name="ปกติ 72" xfId="30267"/>
    <cellStyle name="ปกติ 73" xfId="30268"/>
    <cellStyle name="ปกติ 74" xfId="30269"/>
    <cellStyle name="ปกติ 75" xfId="30270"/>
    <cellStyle name="ปกติ 76" xfId="30271"/>
    <cellStyle name="ปกติ 77" xfId="30272"/>
    <cellStyle name="ปกติ 78" xfId="30273"/>
    <cellStyle name="ปกติ 79" xfId="30274"/>
    <cellStyle name="ปกติ 8" xfId="30275"/>
    <cellStyle name="ปกติ 8 2" xfId="30276"/>
    <cellStyle name="ปกติ 8 3" xfId="30277"/>
    <cellStyle name="ปกติ 8 4" xfId="30278"/>
    <cellStyle name="ปกติ 80" xfId="30279"/>
    <cellStyle name="ปกติ 81" xfId="30280"/>
    <cellStyle name="ปกติ 83" xfId="30281"/>
    <cellStyle name="ปกติ 84" xfId="30282"/>
    <cellStyle name="ปกติ 85" xfId="30283"/>
    <cellStyle name="ปกติ 86" xfId="30284"/>
    <cellStyle name="ปกติ 87" xfId="30285"/>
    <cellStyle name="ปกติ 88" xfId="30286"/>
    <cellStyle name="ปกติ 89" xfId="30287"/>
    <cellStyle name="ปกติ 9" xfId="30288"/>
    <cellStyle name="ปกติ 9 2" xfId="30289"/>
    <cellStyle name="ปกติ 9 3" xfId="30290"/>
    <cellStyle name="ปกติ 9 4" xfId="30291"/>
    <cellStyle name="ปกติ 90" xfId="30292"/>
    <cellStyle name="ปกติ 91" xfId="30293"/>
    <cellStyle name="ปกติ 92" xfId="30294"/>
    <cellStyle name="ปกติ 93" xfId="30295"/>
    <cellStyle name="ปกติ 94" xfId="30296"/>
    <cellStyle name="ปกติ 95" xfId="30297"/>
    <cellStyle name="ปกติ 96" xfId="30298"/>
    <cellStyle name="ปกติ 97" xfId="30299"/>
    <cellStyle name="ปกติ 98" xfId="30300"/>
    <cellStyle name="ปกติ 99" xfId="30301"/>
    <cellStyle name="ปกติ_     ราคาRm&amp;ฝุ่น25-6-52" xfId="30302"/>
    <cellStyle name="ป้อนค่า" xfId="30303"/>
    <cellStyle name="ป้อนค่า 2" xfId="30304"/>
    <cellStyle name="ป้อนค่า 2 2" xfId="30305"/>
    <cellStyle name="ป้อนค่า 3" xfId="30306"/>
    <cellStyle name="ป้อนค่า 3 2" xfId="30307"/>
    <cellStyle name="ป้อนค่า 4" xfId="30308"/>
    <cellStyle name="ป้อนค่า 4 2" xfId="30309"/>
    <cellStyle name="ป้อนค่า 5" xfId="30310"/>
    <cellStyle name="ป้อนค่า 5 2" xfId="30311"/>
    <cellStyle name="ป้อนค่า 6" xfId="30312"/>
    <cellStyle name="ป้อนค่า 6 2" xfId="30313"/>
    <cellStyle name="ป้อนค่า 7" xfId="30314"/>
    <cellStyle name="ป้อนค่า 7 2" xfId="30315"/>
    <cellStyle name="ปานกลาง" xfId="30316"/>
    <cellStyle name="ปานกลาง 2" xfId="30317"/>
    <cellStyle name="ปานกลาง 3" xfId="30318"/>
    <cellStyle name="ปานกลาง 4" xfId="30319"/>
    <cellStyle name="ปานกลาง 5" xfId="30320"/>
    <cellStyle name="ปานกลาง 6" xfId="30321"/>
    <cellStyle name="ปานกลาง 7" xfId="30322"/>
    <cellStyle name="ผลรวม" xfId="30345"/>
    <cellStyle name="ผลรวม 2" xfId="30346"/>
    <cellStyle name="ผลรวม 2 2" xfId="30347"/>
    <cellStyle name="ผลรวม 3" xfId="30348"/>
    <cellStyle name="ผลรวม 3 2" xfId="30349"/>
    <cellStyle name="ผลรวม 4" xfId="30350"/>
    <cellStyle name="ผลรวม 4 2" xfId="30351"/>
    <cellStyle name="ผลรวม 5" xfId="30352"/>
    <cellStyle name="ผลรวม 5 2" xfId="30353"/>
    <cellStyle name="ผลรวม 6" xfId="30354"/>
    <cellStyle name="ผลรวม 6 2" xfId="30355"/>
    <cellStyle name="ผลรวม 7" xfId="30356"/>
    <cellStyle name="ผลรวม 7 2" xfId="30357"/>
    <cellStyle name="ฤธถ [0]_95" xfId="30365"/>
    <cellStyle name="ฤธถ_95" xfId="30366"/>
    <cellStyle name="ล๋ศญ [0]_95" xfId="30367"/>
    <cellStyle name="ล๋ศญ_95" xfId="30368"/>
    <cellStyle name="ลักษณะ 1" xfId="30369"/>
    <cellStyle name="ลักษณะ 1 2" xfId="30370"/>
    <cellStyle name="ลักษณะ 1 2 2" xfId="30371"/>
    <cellStyle name="ลักษณะ 1 3" xfId="30372"/>
    <cellStyle name="วฅมุ_4ฟ๙ฝวภ๛" xfId="30373"/>
    <cellStyle name="ส่วนที่ถูกเน้น1" xfId="30374"/>
    <cellStyle name="ส่วนที่ถูกเน้น1 2" xfId="30375"/>
    <cellStyle name="ส่วนที่ถูกเน้น1 3" xfId="30376"/>
    <cellStyle name="ส่วนที่ถูกเน้น1 4" xfId="30377"/>
    <cellStyle name="ส่วนที่ถูกเน้น1 5" xfId="30378"/>
    <cellStyle name="ส่วนที่ถูกเน้น1 6" xfId="30379"/>
    <cellStyle name="ส่วนที่ถูกเน้น1 7" xfId="30380"/>
    <cellStyle name="ส่วนที่ถูกเน้น2" xfId="30381"/>
    <cellStyle name="ส่วนที่ถูกเน้น2 2" xfId="30382"/>
    <cellStyle name="ส่วนที่ถูกเน้น2 3" xfId="30383"/>
    <cellStyle name="ส่วนที่ถูกเน้น2 4" xfId="30384"/>
    <cellStyle name="ส่วนที่ถูกเน้น2 5" xfId="30385"/>
    <cellStyle name="ส่วนที่ถูกเน้น2 6" xfId="30386"/>
    <cellStyle name="ส่วนที่ถูกเน้น2 7" xfId="30387"/>
    <cellStyle name="ส่วนที่ถูกเน้น3" xfId="30388"/>
    <cellStyle name="ส่วนที่ถูกเน้น3 2" xfId="30389"/>
    <cellStyle name="ส่วนที่ถูกเน้น3 3" xfId="30390"/>
    <cellStyle name="ส่วนที่ถูกเน้น3 4" xfId="30391"/>
    <cellStyle name="ส่วนที่ถูกเน้น3 5" xfId="30392"/>
    <cellStyle name="ส่วนที่ถูกเน้น3 6" xfId="30393"/>
    <cellStyle name="ส่วนที่ถูกเน้น3 7" xfId="30394"/>
    <cellStyle name="ส่วนที่ถูกเน้น4" xfId="30395"/>
    <cellStyle name="ส่วนที่ถูกเน้น4 2" xfId="30396"/>
    <cellStyle name="ส่วนที่ถูกเน้น4 3" xfId="30397"/>
    <cellStyle name="ส่วนที่ถูกเน้น4 4" xfId="30398"/>
    <cellStyle name="ส่วนที่ถูกเน้น4 5" xfId="30399"/>
    <cellStyle name="ส่วนที่ถูกเน้น4 6" xfId="30400"/>
    <cellStyle name="ส่วนที่ถูกเน้น4 7" xfId="30401"/>
    <cellStyle name="ส่วนที่ถูกเน้น5" xfId="30402"/>
    <cellStyle name="ส่วนที่ถูกเน้น5 2" xfId="30403"/>
    <cellStyle name="ส่วนที่ถูกเน้น5 3" xfId="30404"/>
    <cellStyle name="ส่วนที่ถูกเน้น5 4" xfId="30405"/>
    <cellStyle name="ส่วนที่ถูกเน้น5 5" xfId="30406"/>
    <cellStyle name="ส่วนที่ถูกเน้น5 6" xfId="30407"/>
    <cellStyle name="ส่วนที่ถูกเน้น5 7" xfId="30408"/>
    <cellStyle name="ส่วนที่ถูกเน้น6" xfId="30409"/>
    <cellStyle name="ส่วนที่ถูกเน้น6 2" xfId="30410"/>
    <cellStyle name="ส่วนที่ถูกเน้น6 3" xfId="30411"/>
    <cellStyle name="ส่วนที่ถูกเน้น6 4" xfId="30412"/>
    <cellStyle name="ส่วนที่ถูกเน้น6 5" xfId="30413"/>
    <cellStyle name="ส่วนที่ถูกเน้น6 6" xfId="30414"/>
    <cellStyle name="ส่วนที่ถูกเน้น6 7" xfId="30415"/>
    <cellStyle name="หมายเหตุ" xfId="30429"/>
    <cellStyle name="หมายเหตุ 2" xfId="30430"/>
    <cellStyle name="หมายเหตุ 2 2" xfId="30431"/>
    <cellStyle name="หมายเหตุ 3" xfId="30432"/>
    <cellStyle name="หมายเหตุ 3 2" xfId="30433"/>
    <cellStyle name="หมายเหตุ 4" xfId="30434"/>
    <cellStyle name="หมายเหตุ 4 2" xfId="30435"/>
    <cellStyle name="หมายเหตุ 5" xfId="30436"/>
    <cellStyle name="หมายเหตุ 5 2" xfId="30437"/>
    <cellStyle name="หมายเหตุ 6" xfId="30438"/>
    <cellStyle name="หมายเหตุ 6 2" xfId="30439"/>
    <cellStyle name="หมายเหตุ 7" xfId="30440"/>
    <cellStyle name="หมายเหตุ 7 2" xfId="30441"/>
    <cellStyle name="หัวเรื่อง 1" xfId="30442"/>
    <cellStyle name="หัวเรื่อง 1 2" xfId="30443"/>
    <cellStyle name="หัวเรื่อง 1 3" xfId="30444"/>
    <cellStyle name="หัวเรื่อง 1 4" xfId="30445"/>
    <cellStyle name="หัวเรื่อง 1 5" xfId="30446"/>
    <cellStyle name="หัวเรื่อง 1 6" xfId="30447"/>
    <cellStyle name="หัวเรื่อง 1 7" xfId="30448"/>
    <cellStyle name="หัวเรื่อง 2" xfId="30449"/>
    <cellStyle name="หัวเรื่อง 2 2" xfId="30450"/>
    <cellStyle name="หัวเรื่อง 2 3" xfId="30451"/>
    <cellStyle name="หัวเรื่อง 2 4" xfId="30452"/>
    <cellStyle name="หัวเรื่อง 2 5" xfId="30453"/>
    <cellStyle name="หัวเรื่อง 2 6" xfId="30454"/>
    <cellStyle name="หัวเรื่อง 2 7" xfId="30455"/>
    <cellStyle name="หัวเรื่อง 3" xfId="30456"/>
    <cellStyle name="หัวเรื่อง 3 2" xfId="30457"/>
    <cellStyle name="หัวเรื่อง 3 3" xfId="30458"/>
    <cellStyle name="หัวเรื่อง 3 4" xfId="30459"/>
    <cellStyle name="หัวเรื่อง 3 5" xfId="30460"/>
    <cellStyle name="หัวเรื่อง 3 6" xfId="30461"/>
    <cellStyle name="หัวเรื่อง 3 7" xfId="30462"/>
    <cellStyle name="หัวเรื่อง 4" xfId="30463"/>
    <cellStyle name="หัวเรื่อง 4 2" xfId="30464"/>
    <cellStyle name="หัวเรื่อง 4 3" xfId="30465"/>
    <cellStyle name="หัวเรื่อง 4 4" xfId="30466"/>
    <cellStyle name="หัวเรื่อง 4 5" xfId="30467"/>
    <cellStyle name="หัวเรื่อง 4 6" xfId="30468"/>
    <cellStyle name="หัวเรื่อง 4 7" xfId="30469"/>
    <cellStyle name="똿뗦먛귟 [0.00]_PRODUCT DETAIL Q1" xfId="30470"/>
    <cellStyle name="똿뗦먛귟_PRODUCT DETAIL Q1" xfId="30471"/>
    <cellStyle name="믅됞 [0.00]_PRODUCT DETAIL Q1" xfId="30472"/>
    <cellStyle name="믅됞_PRODUCT DETAIL Q1" xfId="30473"/>
    <cellStyle name="백분율_95" xfId="30474"/>
    <cellStyle name="뷭?_BOOKSHIP" xfId="30475"/>
    <cellStyle name="콤마 [0]_1202" xfId="30476"/>
    <cellStyle name="콤마_1202" xfId="30477"/>
    <cellStyle name="통화 [0]_1202" xfId="30478"/>
    <cellStyle name="통화_10월2주 " xfId="30479"/>
    <cellStyle name="표준_(정보부문)월별인원계획" xfId="30480"/>
    <cellStyle name="一般_Book1" xfId="30481"/>
    <cellStyle name="千分位[0]_Book1" xfId="30482"/>
    <cellStyle name="千分位_Book1" xfId="30483"/>
    <cellStyle name="后继超级链接" xfId="30484"/>
    <cellStyle name="桁区切り [0.00]_††††† " xfId="30485"/>
    <cellStyle name="桁区切り_††††† " xfId="30486"/>
    <cellStyle name="標準_2005.12.22.ATLF2005Est.F2006Budget.Content" xfId="30487"/>
    <cellStyle name="貨幣 [0]_Book1" xfId="30488"/>
    <cellStyle name="貨幣_Book1" xfId="30489"/>
    <cellStyle name="超级链接" xfId="30490"/>
    <cellStyle name="通貨 [0.00]_††††† " xfId="30491"/>
    <cellStyle name="通貨_††††† " xfId="304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calcChain" Target="calcChain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RC9702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rarith\TC-S\Pumin\Lysine%20general%20support\TC1-Lab-Lys\My%20Documents\Kridchai\Business2001-2002\PTT%20support\E5%20Project\SKKL%20strain%20construction\SKKL-082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BC-B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orary%20Internet%20Files\Content.IE5\S3KOOQW1\PROJECT2004\MEGICIAN\TU-2003-98\TU-2003\TU-2003\DELTA-5\Del-21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ararith\TC-S\Pumin\Lysine%20general%20support\TC1-Lab-Lys\My%20Documents\Kridchai\Business2001-2002\PTT%20support\E5%20Project\SKKL%20strain%20construction\SKKL-082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g\NINGTO%20(E)\monthly\My%20Documents\Kridchai\Business2001-2002\PTT%20support\E5%20Project\SKKL%20strain%20construction\SKKL-082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ing\NINGTO%20(E)\monthly\My%20Documents\Kridchai\Business2001-2002\PTT%20support\E5%20Project\SKKL%20strain%20construction\SKKL-082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pdate%2024_07_05\monthly\My%20Documents\Kridchai\Business2001-2002\PTT%20support\E5%20Project\SKKL%20strain%20construction\SKKL-082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pdate%2024_07_05\monthly\My%20Documents\Kridchai\Business2001-2002\PTT%20support\E5%20Project\SKKL%20strain%20construction\SKKL-082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H-%2011%20-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g\NINGTO%20(E)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ing\NINGTO%20(E)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H-%2011%20-20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pdate%2024_07_05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ysine%20general%20support\TC1-Lab-Lys\My%20Documents\Kridchai\Business2001-2002\PTT%20support\E5%20Project\SKKL%20strain%20construction\SKKL-082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thly\My%20Documents\Kridchai\Business2001-2002\PTT%20support\E5%20Project\SKKL%20strain%20construction\SKKL-082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nthly\My%20Documents\Kridchai\Business2001-2002\PTT%20support\E5%20Project\SKKL%20strain%20construction\SKKL-082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1\new%20extruder\Decha\Decha2\projec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ISWORKSHEE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%20evaluation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rapong_w\Downloads\Diagram%20%20Network%20Scada%20T1%20Rev.4.1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TEQC%20FEED%202015\PLC%20and%20SCADA\PLC\IO%20T1%20and%20XY%20T2%20List\Tower1\T1%20OMRON%20PLC%20IO%20(New%20A,B,C,D)%2015112016_R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ithip_r\AppData\Local\Microsoft\Windows\Temporary%20Internet%20Files\Content.Outlook\D1Y01ZH2\&#3605;&#3629;&#3610;&#3649;&#3610;&#3610;&#3626;&#3635;&#3619;&#3623;&#3592;Survey_2557%20&#3648;&#3585;&#3637;&#3656;&#3618;&#3623;&#3585;&#3633;&#3610;&#3626;&#3623;&#3633;&#3626;&#3604;&#3636;&#3585;&#3634;&#361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nisa\&#3591;&#3634;&#3609;_mis\sunisa_k_new14-8-55\&#3591;&#3634;&#3609;&#3650;&#3588;&#3619;&#3591;&#3585;&#3634;&#3619;\&#3614;&#3633;&#3602;&#3609;&#3634;%20excel\&#3626;&#3641;&#3605;&#3619;%20excel\&#3626;&#3641;&#3605;&#3619;3\HR%20Budget%20Control%20Worksho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TEQC\Inteqc_Work\BOI\2.BOIEMT_updated31May255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rapong_w\Desktop\&#3591;&#3634;&#3609;%20Auto%20&#3588;&#3591;&#3588;&#3657;&#3634;&#3591;\Equipment%20Scada\INTEQC\Inteqc_Work\BOI\2.BOIEMT_updated31May255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ky2120\data%20of%20tc-2\Program%20Files\ExcelQM\A_TEMP\WEISS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g\NINGTO%20(E)\SI%20evaluation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ing\NINGTO%20(E)\SI%20evaluation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11\gh%20labo%20back\1201B%20(stability%20no%2064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inomoto\medium\GH\Seed%20abnormal%20growth%20investigation\Monthly_report_2005.10_Oct\Documents%20and%20Settings\Admin\Desktop\KPP%20rento%20test\Saccharification\Documents%20and%20Settings\EKHJ\My%20Documents\Lysine_project_2004\Previous_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jinomoto\medium\GH\Seed%20abnormal%20growth%20investigation\Monthly_report_2005.10_Oct\Documents%20and%20Settings\Admin\Desktop\KPP%20rento%20test\Saccharification\Documents%20and%20Settings\EKHJ\My%20Documents\Lysine_project_2004\Previous_l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901blan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RENZO\DOS\96027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\Fermentation%20Results\GH%20Result%202006\GH-%205%20-20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\Fermentation%20Results\GH%20Result%202006\GH-%205%20-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R\ESP%20form\Analysis%20report\L2\L%20-%202%20%20repor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I%20evaluation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ke-IO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_MOVE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LEC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\Ajinomoto\Cal_Fue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rapong_w\Desktop\&#3591;&#3634;&#3609;%20Auto%20&#3588;&#3591;&#3588;&#3657;&#3634;&#3591;\Equipment%20Scada\Project\Ajinomoto\Cal_Fue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\g\NAPALAI46\BLOUU%2046-B\&#3592;&#3629;&#3604;&#3648;&#3611;&#3656;&#3634;&#3610;&#3629;&#3591;&#3610;&#3629;&#3609;\BREAK-04-46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pdate%2024_07_05\monthly\GH%20new%20slant%20pre%20test\Lysine%20general%20support\TC1-Lab-Lys\My%20Documents\Kridchai\Business2001-2002\PTT%20support\E5%20Project\SKKL%20strain%20construction\SKKL-082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-center\data%20of%20tc1\My%20Documents\Kridchai\Business2001-2002\PTT%20support\E5%20Project\SKKL%20strain%20construction\SKKL-082B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Content.IE5\P48LBCK8\Decha\Decha2\projec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ky2120\data%20of%20tc-2\Program%20Files\ExcelQM\A_TEMP\WEIS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%20evaluation\monthly\My%20Documents\Kridchai\Business2001-2002\PTT%20support\E5%20Project\SKKL%20strain%20construction\SKKL-082B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I%20evaluation\monthly\My%20Documents\Kridchai\Business2001-2002\PTT%20support\E5%20Project\SKKL%20strain%20construction\SKKL-082B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-center\data%20of%20tc1\Monthly_report_2005.09_Sep\TEC-05-O68-20_50percent%20E-5%20reduction%20continuous%20test%20in%20PPD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\g\OEE%20&#3648;&#3611;&#3656;&#3634;\BREKDOW\BREAK-03-09-4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Local\Microsoft\Windows\Temporary%20Internet%20Files\Content.Outlook\FEEA2J6E\&#3649;&#3610;&#3610;&#3615;&#3629;&#3619;&#3660;&#3617;&#3648;&#3629;&#3585;&#3626;&#3634;&#3619;&#3613;&#3656;&#3634;&#3618;&#3586;&#3634;&#3618;_Rev.10%20&#3614;.&#3618;.5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"/>
      <sheetName val="YD"/>
      <sheetName val="DOL"/>
      <sheetName val="Telemecanique"/>
      <sheetName val="Motor &amp; Electric Equipment List"/>
      <sheetName val="Motor_&amp;_Electric_Equipment_List"/>
      <sheetName val="8-原料耗用价格比较"/>
      <sheetName val="Sheet10"/>
      <sheetName val="Sheet19"/>
      <sheetName val="Totals"/>
      <sheetName val="LM-COST"/>
      <sheetName val="Sheet2"/>
      <sheetName val="Sheet16"/>
      <sheetName val="Sheet6"/>
      <sheetName val="Sheet5"/>
      <sheetName val="Masterpricelist"/>
      <sheetName val="Sheet11"/>
      <sheetName val="FInput"/>
      <sheetName val="Sheet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TOTAL"/>
      <sheetName val="宣1"/>
      <sheetName val="Sheet1"/>
      <sheetName val="extruder"/>
      <sheetName val="machine list"/>
      <sheetName val="Supporting CAPEX form"/>
      <sheetName val="data ทุกเดือ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U"/>
      <sheetName val="Table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Sheet1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 refreshError="1">
        <row r="1">
          <cell r="F1" t="str">
            <v>SKKL-LYSINE S-JAR FERMENTATION REPORT  No.SKKL-82B</v>
          </cell>
        </row>
        <row r="2">
          <cell r="O2" t="str">
            <v xml:space="preserve">In charge </v>
          </cell>
        </row>
        <row r="3">
          <cell r="A3" t="str">
            <v>OBJECTIVE                  :</v>
          </cell>
          <cell r="C3" t="str">
            <v xml:space="preserve">To evaluate quality of SKKKL-E.coli No.10 transformants from each stock culture prepared for commercial production in TL plant </v>
          </cell>
          <cell r="O3" t="str">
            <v>Kobchai Porndussadeekul</v>
          </cell>
        </row>
        <row r="4">
          <cell r="C4" t="str">
            <v xml:space="preserve"> (1st Prep.) under production flow.</v>
          </cell>
        </row>
        <row r="5">
          <cell r="A5" t="str">
            <v>BACTERIAL STRAINS :</v>
          </cell>
          <cell r="C5" t="str">
            <v xml:space="preserve"> E.coli No.10-(5th week, innoculation of 2nd seed was 3 times increased )  : 1st preparation &gt; TF#1, 2, 3, 4, 5   </v>
          </cell>
          <cell r="O5" t="str">
            <v>Date: April 17,2002</v>
          </cell>
        </row>
        <row r="7">
          <cell r="A7" t="str">
            <v>CARBON-SOURCE       :</v>
          </cell>
          <cell r="C7" t="str">
            <v xml:space="preserve">  Glucose </v>
          </cell>
          <cell r="G7" t="str">
            <v xml:space="preserve">Remark  1)TF#7 is also a referent strain which was proved to be as good as the control culture under </v>
          </cell>
        </row>
        <row r="8">
          <cell r="A8" t="str">
            <v xml:space="preserve">NITROGEN-SOURCE    :                    </v>
          </cell>
          <cell r="C8" t="str">
            <v xml:space="preserve">  MN (TN)</v>
          </cell>
          <cell r="G8" t="str">
            <v xml:space="preserve">                     the production flow (BLD-2's).</v>
          </cell>
        </row>
        <row r="9">
          <cell r="A9" t="str">
            <v>TEST ITEMS :</v>
          </cell>
          <cell r="G9" t="str">
            <v xml:space="preserve">     2) 2nd seed growth of the TF#7 was low due to too high initial  pH (~7.4)</v>
          </cell>
        </row>
        <row r="10">
          <cell r="A10" t="str">
            <v>Jar No.</v>
          </cell>
          <cell r="B10" t="str">
            <v xml:space="preserve">Stock Culture </v>
          </cell>
          <cell r="D10" t="str">
            <v>2nd - seed CT</v>
          </cell>
          <cell r="I10" t="str">
            <v>Jar No.</v>
          </cell>
          <cell r="L10" t="str">
            <v>1</v>
          </cell>
          <cell r="M10" t="str">
            <v>2</v>
          </cell>
          <cell r="N10" t="str">
            <v>3</v>
          </cell>
          <cell r="O10" t="str">
            <v>4</v>
          </cell>
          <cell r="P10">
            <v>5</v>
          </cell>
          <cell r="Q10">
            <v>6</v>
          </cell>
        </row>
        <row r="12">
          <cell r="B12" t="str">
            <v>No.</v>
          </cell>
          <cell r="D12" t="str">
            <v>(hour)</v>
          </cell>
          <cell r="I12" t="str">
            <v xml:space="preserve">Initial Osmotic Pressure      </v>
          </cell>
          <cell r="K12" t="str">
            <v>(mOsm)</v>
          </cell>
        </row>
        <row r="13">
          <cell r="A13">
            <v>1</v>
          </cell>
          <cell r="B13" t="str">
            <v>BLD2's Control(02)</v>
          </cell>
          <cell r="D13">
            <v>18.5</v>
          </cell>
          <cell r="I13" t="str">
            <v>Start volume</v>
          </cell>
          <cell r="K13" t="str">
            <v>(ml)</v>
          </cell>
          <cell r="L13">
            <v>300</v>
          </cell>
          <cell r="M13">
            <v>300</v>
          </cell>
          <cell r="N13">
            <v>300</v>
          </cell>
          <cell r="O13">
            <v>300</v>
          </cell>
          <cell r="P13">
            <v>300</v>
          </cell>
          <cell r="Q13">
            <v>300</v>
          </cell>
        </row>
        <row r="14">
          <cell r="A14">
            <v>2</v>
          </cell>
          <cell r="B14" t="str">
            <v>BLD2's Control(02)</v>
          </cell>
          <cell r="D14">
            <v>18.5</v>
          </cell>
          <cell r="I14" t="str">
            <v>Initial Sugar</v>
          </cell>
          <cell r="K14" t="str">
            <v>(g/dl)</v>
          </cell>
          <cell r="L14">
            <v>2.4</v>
          </cell>
          <cell r="M14">
            <v>2.4</v>
          </cell>
          <cell r="N14">
            <v>2.4</v>
          </cell>
          <cell r="O14">
            <v>2.4700000000000002</v>
          </cell>
          <cell r="P14">
            <v>2.65</v>
          </cell>
          <cell r="Q14">
            <v>2.82</v>
          </cell>
        </row>
        <row r="15">
          <cell r="A15">
            <v>3</v>
          </cell>
          <cell r="B15" t="str">
            <v>TF#1</v>
          </cell>
          <cell r="D15">
            <v>19</v>
          </cell>
          <cell r="I15" t="str">
            <v>Feed Volume</v>
          </cell>
          <cell r="J15" t="str">
            <v/>
          </cell>
          <cell r="K15" t="str">
            <v>(ml)</v>
          </cell>
          <cell r="L15">
            <v>293</v>
          </cell>
          <cell r="M15">
            <v>285</v>
          </cell>
          <cell r="N15">
            <v>310</v>
          </cell>
          <cell r="O15">
            <v>319</v>
          </cell>
          <cell r="P15">
            <v>256</v>
          </cell>
          <cell r="Q15">
            <v>284</v>
          </cell>
        </row>
        <row r="16">
          <cell r="A16">
            <v>4</v>
          </cell>
          <cell r="B16" t="str">
            <v>TF#2</v>
          </cell>
          <cell r="D16">
            <v>17.5</v>
          </cell>
          <cell r="I16" t="str">
            <v>Feed sugar concentration</v>
          </cell>
          <cell r="K16" t="str">
            <v>(g/dl)</v>
          </cell>
          <cell r="L16">
            <v>46</v>
          </cell>
          <cell r="M16">
            <v>46</v>
          </cell>
          <cell r="N16">
            <v>46</v>
          </cell>
          <cell r="O16">
            <v>46</v>
          </cell>
          <cell r="P16">
            <v>46</v>
          </cell>
          <cell r="Q16">
            <v>46</v>
          </cell>
        </row>
        <row r="17">
          <cell r="A17">
            <v>5</v>
          </cell>
          <cell r="B17" t="str">
            <v>TF#3</v>
          </cell>
          <cell r="D17">
            <v>17.5</v>
          </cell>
          <cell r="I17" t="str">
            <v>BPD -  volume</v>
          </cell>
          <cell r="K17" t="str">
            <v>(ml)</v>
          </cell>
          <cell r="L17">
            <v>204</v>
          </cell>
          <cell r="M17">
            <v>195</v>
          </cell>
          <cell r="N17">
            <v>190</v>
          </cell>
          <cell r="O17">
            <v>225</v>
          </cell>
          <cell r="P17">
            <v>202</v>
          </cell>
          <cell r="Q17">
            <v>201</v>
          </cell>
        </row>
        <row r="18">
          <cell r="A18">
            <v>4</v>
          </cell>
          <cell r="B18" t="str">
            <v>TF#7</v>
          </cell>
          <cell r="D18">
            <v>21.5</v>
          </cell>
          <cell r="I18" t="str">
            <v>BO   -  volume</v>
          </cell>
          <cell r="K18" t="str">
            <v>(ml)</v>
          </cell>
          <cell r="L18">
            <v>365</v>
          </cell>
          <cell r="M18">
            <v>345</v>
          </cell>
          <cell r="N18">
            <v>369</v>
          </cell>
          <cell r="O18">
            <v>366</v>
          </cell>
          <cell r="P18">
            <v>363</v>
          </cell>
          <cell r="Q18">
            <v>361</v>
          </cell>
        </row>
        <row r="19">
          <cell r="I19" t="str">
            <v xml:space="preserve">Sample cut         </v>
          </cell>
          <cell r="K19" t="str">
            <v>(ml)</v>
          </cell>
          <cell r="L19">
            <v>27.6</v>
          </cell>
          <cell r="M19">
            <v>29.8</v>
          </cell>
          <cell r="N19">
            <v>28.3</v>
          </cell>
          <cell r="O19">
            <v>28.2</v>
          </cell>
          <cell r="P19">
            <v>33.9</v>
          </cell>
          <cell r="Q19">
            <v>22.3</v>
          </cell>
        </row>
        <row r="20">
          <cell r="I20" t="str">
            <v xml:space="preserve">Af-Vol     </v>
          </cell>
          <cell r="K20" t="str">
            <v>(ml)</v>
          </cell>
          <cell r="L20">
            <v>7</v>
          </cell>
          <cell r="M20">
            <v>4.5</v>
          </cell>
          <cell r="N20">
            <v>8</v>
          </cell>
          <cell r="O20">
            <v>8.5</v>
          </cell>
          <cell r="P20">
            <v>6.5</v>
          </cell>
          <cell r="Q20">
            <v>5</v>
          </cell>
        </row>
        <row r="21">
          <cell r="A21" t="str">
            <v>MEDIUM COMPOSITION:</v>
          </cell>
          <cell r="C21" t="str">
            <v>BLD-2 Flow</v>
          </cell>
          <cell r="I21" t="str">
            <v xml:space="preserve">BPD Lysine-HCl       </v>
          </cell>
          <cell r="J21" t="str">
            <v/>
          </cell>
          <cell r="K21" t="str">
            <v>(g/dl)</v>
          </cell>
          <cell r="L21">
            <v>13.8</v>
          </cell>
          <cell r="M21">
            <v>14.2</v>
          </cell>
          <cell r="N21">
            <v>12.4</v>
          </cell>
          <cell r="O21">
            <v>13.2</v>
          </cell>
          <cell r="P21">
            <v>11.8</v>
          </cell>
          <cell r="Q21">
            <v>14.2</v>
          </cell>
        </row>
        <row r="22">
          <cell r="A22" t="str">
            <v>Composition</v>
          </cell>
          <cell r="B22" t="str">
            <v>Unit</v>
          </cell>
          <cell r="C22" t="str">
            <v>2nd</v>
          </cell>
          <cell r="D22" t="str">
            <v>Main</v>
          </cell>
          <cell r="E22" t="str">
            <v>Feed</v>
          </cell>
          <cell r="I22" t="str">
            <v>BO   Lysine-HCl</v>
          </cell>
          <cell r="J22" t="str">
            <v/>
          </cell>
          <cell r="K22" t="str">
            <v>(g/dl)</v>
          </cell>
          <cell r="L22">
            <v>16.2</v>
          </cell>
          <cell r="M22">
            <v>17.2</v>
          </cell>
          <cell r="N22">
            <v>15.8</v>
          </cell>
          <cell r="O22">
            <v>16.600000000000001</v>
          </cell>
          <cell r="P22">
            <v>13</v>
          </cell>
          <cell r="Q22">
            <v>16.600000000000001</v>
          </cell>
        </row>
        <row r="23">
          <cell r="C23" t="str">
            <v>Seed</v>
          </cell>
          <cell r="D23" t="str">
            <v>Medium</v>
          </cell>
          <cell r="E23" t="str">
            <v>Medium</v>
          </cell>
          <cell r="I23" t="str">
            <v xml:space="preserve">BPD - DCW                </v>
          </cell>
          <cell r="K23" t="str">
            <v>(g/dl)</v>
          </cell>
          <cell r="L23">
            <v>1.214</v>
          </cell>
          <cell r="M23">
            <v>1.246</v>
          </cell>
          <cell r="N23">
            <v>1.252</v>
          </cell>
          <cell r="O23">
            <v>1.292</v>
          </cell>
          <cell r="P23">
            <v>1.226</v>
          </cell>
          <cell r="Q23">
            <v>1.1839999999999999</v>
          </cell>
        </row>
        <row r="24">
          <cell r="A24" t="str">
            <v>Glucose</v>
          </cell>
          <cell r="B24" t="str">
            <v xml:space="preserve"> g/dl</v>
          </cell>
          <cell r="C24">
            <v>4</v>
          </cell>
          <cell r="D24">
            <v>2</v>
          </cell>
          <cell r="E24">
            <v>45</v>
          </cell>
          <cell r="I24" t="str">
            <v xml:space="preserve">B0   - DCW                </v>
          </cell>
          <cell r="K24" t="str">
            <v>(g/dl)</v>
          </cell>
          <cell r="L24">
            <v>1.1879999999999999</v>
          </cell>
          <cell r="M24">
            <v>1.252</v>
          </cell>
          <cell r="N24">
            <v>1.226</v>
          </cell>
          <cell r="O24">
            <v>1.232</v>
          </cell>
          <cell r="P24">
            <v>1.202</v>
          </cell>
          <cell r="Q24">
            <v>1.1659999999999999</v>
          </cell>
        </row>
        <row r="25">
          <cell r="A25" t="str">
            <v>Sucrose</v>
          </cell>
          <cell r="B25" t="str">
            <v xml:space="preserve"> g/dl</v>
          </cell>
          <cell r="C25" t="str">
            <v>-</v>
          </cell>
          <cell r="D25" t="str">
            <v>-</v>
          </cell>
          <cell r="E25" t="str">
            <v>-</v>
          </cell>
          <cell r="I25" t="str">
            <v xml:space="preserve">RS                 </v>
          </cell>
          <cell r="K25" t="str">
            <v>(g/dl)</v>
          </cell>
          <cell r="L25">
            <v>0.9</v>
          </cell>
          <cell r="M25">
            <v>0.9</v>
          </cell>
          <cell r="N25">
            <v>0.9</v>
          </cell>
          <cell r="O25">
            <v>0.9</v>
          </cell>
          <cell r="P25">
            <v>0.75</v>
          </cell>
          <cell r="Q25">
            <v>0.9</v>
          </cell>
          <cell r="R25" t="str">
            <v/>
          </cell>
        </row>
        <row r="26">
          <cell r="A26" t="str">
            <v>H3PO4</v>
          </cell>
          <cell r="B26" t="str">
            <v xml:space="preserve"> g/dl</v>
          </cell>
          <cell r="C26" t="str">
            <v>-</v>
          </cell>
          <cell r="D26" t="str">
            <v>-</v>
          </cell>
          <cell r="E26">
            <v>6.2E-2</v>
          </cell>
          <cell r="I26" t="str">
            <v>Culture time</v>
          </cell>
          <cell r="K26" t="str">
            <v>(hr)</v>
          </cell>
          <cell r="L26">
            <v>44.5</v>
          </cell>
          <cell r="M26">
            <v>44.5</v>
          </cell>
          <cell r="N26">
            <v>44.5</v>
          </cell>
          <cell r="O26">
            <v>44.5</v>
          </cell>
          <cell r="P26">
            <v>44.5</v>
          </cell>
          <cell r="Q26">
            <v>44.5</v>
          </cell>
        </row>
        <row r="27">
          <cell r="A27" t="str">
            <v>KH2PO4</v>
          </cell>
          <cell r="B27" t="str">
            <v xml:space="preserve"> g/dl</v>
          </cell>
          <cell r="C27">
            <v>0.1</v>
          </cell>
          <cell r="D27">
            <v>0.12</v>
          </cell>
          <cell r="E27" t="str">
            <v>-</v>
          </cell>
          <cell r="I27" t="str">
            <v>Contamination check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</row>
        <row r="28">
          <cell r="A28" t="str">
            <v>MgSO4.7H2O</v>
          </cell>
          <cell r="B28" t="str">
            <v xml:space="preserve"> g/dl</v>
          </cell>
          <cell r="C28">
            <v>0.1</v>
          </cell>
          <cell r="D28">
            <v>0.1</v>
          </cell>
          <cell r="E28" t="str">
            <v>-</v>
          </cell>
        </row>
        <row r="29">
          <cell r="A29" t="str">
            <v>FeSO4.7H2O</v>
          </cell>
          <cell r="B29" t="str">
            <v xml:space="preserve"> g/dl</v>
          </cell>
          <cell r="C29">
            <v>1E-3</v>
          </cell>
          <cell r="D29">
            <v>3.0000000000000001E-3</v>
          </cell>
          <cell r="E29" t="str">
            <v>-</v>
          </cell>
          <cell r="I29" t="str">
            <v>Corrected BO volume  (ml)</v>
          </cell>
          <cell r="L29">
            <v>385.7</v>
          </cell>
          <cell r="M29">
            <v>367.35</v>
          </cell>
          <cell r="N29">
            <v>390.22500000000002</v>
          </cell>
          <cell r="O29">
            <v>387.15</v>
          </cell>
          <cell r="P29">
            <v>388.42500000000001</v>
          </cell>
          <cell r="Q29">
            <v>377.72500000000002</v>
          </cell>
        </row>
        <row r="30">
          <cell r="A30" t="str">
            <v>MnSO4.4H2O</v>
          </cell>
          <cell r="B30" t="str">
            <v xml:space="preserve"> g/dl</v>
          </cell>
          <cell r="C30">
            <v>1E-3</v>
          </cell>
          <cell r="D30">
            <v>3.0000000000000001E-3</v>
          </cell>
          <cell r="E30" t="str">
            <v>-</v>
          </cell>
          <cell r="I30" t="str">
            <v>Evaporation ratio</v>
          </cell>
          <cell r="K30" t="str">
            <v>(%)</v>
          </cell>
          <cell r="L30">
            <v>99.406009783368276</v>
          </cell>
          <cell r="M30">
            <v>96.480257280686075</v>
          </cell>
          <cell r="N30">
            <v>94.793963032050186</v>
          </cell>
          <cell r="O30">
            <v>98.615050892708169</v>
          </cell>
          <cell r="P30">
            <v>106.88611426409382</v>
          </cell>
          <cell r="Q30">
            <v>99.170637021351681</v>
          </cell>
        </row>
        <row r="31">
          <cell r="A31" t="str">
            <v>NH4OH</v>
          </cell>
          <cell r="B31" t="str">
            <v xml:space="preserve"> g/dl</v>
          </cell>
          <cell r="C31" t="str">
            <v>pH Adjust.</v>
          </cell>
          <cell r="D31" t="str">
            <v>pH Adjust.</v>
          </cell>
          <cell r="E31" t="str">
            <v>-</v>
          </cell>
          <cell r="I31" t="str">
            <v xml:space="preserve">Total sugar        </v>
          </cell>
          <cell r="K31" t="str">
            <v>(g/B)</v>
          </cell>
          <cell r="L31">
            <v>141.97999999999999</v>
          </cell>
          <cell r="M31">
            <v>138.29999999999998</v>
          </cell>
          <cell r="N31">
            <v>149.79999999999998</v>
          </cell>
          <cell r="O31">
            <v>154.15</v>
          </cell>
          <cell r="P31">
            <v>125.71000000000001</v>
          </cell>
          <cell r="Q31">
            <v>139.1</v>
          </cell>
        </row>
        <row r="32">
          <cell r="A32" t="str">
            <v>(NH4)2SO4</v>
          </cell>
          <cell r="B32" t="str">
            <v xml:space="preserve"> g/dl</v>
          </cell>
          <cell r="C32">
            <v>0.8</v>
          </cell>
          <cell r="D32">
            <v>1</v>
          </cell>
          <cell r="E32">
            <v>9.07</v>
          </cell>
        </row>
        <row r="33">
          <cell r="A33" t="str">
            <v>Mameno (TN)</v>
          </cell>
          <cell r="B33" t="str">
            <v xml:space="preserve"> mg/dl</v>
          </cell>
          <cell r="C33">
            <v>60</v>
          </cell>
          <cell r="D33" t="str">
            <v>40(STD)</v>
          </cell>
          <cell r="E33" t="str">
            <v>-</v>
          </cell>
          <cell r="I33" t="str">
            <v>Lysine-HCl</v>
          </cell>
          <cell r="K33" t="str">
            <v>(g/B)</v>
          </cell>
          <cell r="L33">
            <v>90.63539999999999</v>
          </cell>
          <cell r="M33">
            <v>90.874200000000002</v>
          </cell>
          <cell r="N33">
            <v>85.215550000000007</v>
          </cell>
          <cell r="O33">
            <v>93.96690000000001</v>
          </cell>
          <cell r="P33">
            <v>74.331250000000011</v>
          </cell>
          <cell r="Q33">
            <v>91.244349999999997</v>
          </cell>
        </row>
        <row r="34">
          <cell r="A34" t="str">
            <v>Yeast Extract</v>
          </cell>
          <cell r="B34" t="str">
            <v>g/dl</v>
          </cell>
          <cell r="C34" t="str">
            <v>-</v>
          </cell>
          <cell r="D34" t="str">
            <v>-</v>
          </cell>
          <cell r="E34" t="str">
            <v>-</v>
          </cell>
          <cell r="I34" t="str">
            <v>&lt;including sugar for seed&gt;</v>
          </cell>
          <cell r="L34">
            <v>63.093638663382798</v>
          </cell>
          <cell r="M34">
            <v>64.923034716893795</v>
          </cell>
          <cell r="N34">
            <v>56.258211077676314</v>
          </cell>
          <cell r="O34">
            <v>60.303923317730082</v>
          </cell>
          <cell r="P34">
            <v>58.352933141365128</v>
          </cell>
          <cell r="Q34">
            <v>64.817023531634803</v>
          </cell>
        </row>
        <row r="35">
          <cell r="A35" t="str">
            <v>Threonine</v>
          </cell>
          <cell r="B35" t="str">
            <v xml:space="preserve"> mg/dl</v>
          </cell>
          <cell r="C35">
            <v>30</v>
          </cell>
          <cell r="D35" t="str">
            <v>-</v>
          </cell>
          <cell r="E35">
            <v>43</v>
          </cell>
        </row>
        <row r="36">
          <cell r="A36" t="str">
            <v>Threonine</v>
          </cell>
          <cell r="B36" t="str">
            <v xml:space="preserve">mg/dl </v>
          </cell>
          <cell r="C36">
            <v>30</v>
          </cell>
          <cell r="D36" t="str">
            <v>-</v>
          </cell>
          <cell r="E36">
            <v>43</v>
          </cell>
          <cell r="I36" t="str">
            <v>Lysine-HCl yield</v>
          </cell>
          <cell r="K36" t="str">
            <v xml:space="preserve">(%) </v>
          </cell>
          <cell r="L36">
            <v>63.836737568671644</v>
          </cell>
          <cell r="M36">
            <v>65.708026030368771</v>
          </cell>
          <cell r="N36">
            <v>56.886214953271043</v>
          </cell>
          <cell r="O36">
            <v>60.958092766785597</v>
          </cell>
          <cell r="P36">
            <v>59.129146448174374</v>
          </cell>
          <cell r="Q36">
            <v>65.596225736879944</v>
          </cell>
        </row>
        <row r="37">
          <cell r="A37" t="str">
            <v>Methionine</v>
          </cell>
          <cell r="B37" t="str">
            <v xml:space="preserve"> mg/dl</v>
          </cell>
          <cell r="C37" t="str">
            <v>-</v>
          </cell>
          <cell r="D37" t="str">
            <v>-</v>
          </cell>
          <cell r="E37" t="str">
            <v>-</v>
          </cell>
          <cell r="I37" t="str">
            <v>Lysine-HCl yield</v>
          </cell>
          <cell r="K37" t="str">
            <v>(%)</v>
          </cell>
          <cell r="L37">
            <v>63.836737568671644</v>
          </cell>
          <cell r="M37">
            <v>65.708026030368771</v>
          </cell>
          <cell r="N37">
            <v>56.886214953271043</v>
          </cell>
          <cell r="O37">
            <v>60.958092766785597</v>
          </cell>
          <cell r="P37">
            <v>59.129146448174374</v>
          </cell>
          <cell r="Q37">
            <v>65.596225736879944</v>
          </cell>
        </row>
        <row r="38">
          <cell r="A38" t="str">
            <v>Nicotinamide</v>
          </cell>
          <cell r="B38" t="str">
            <v xml:space="preserve"> mg/dl</v>
          </cell>
          <cell r="C38" t="str">
            <v>-</v>
          </cell>
          <cell r="D38" t="str">
            <v>-</v>
          </cell>
          <cell r="E38" t="str">
            <v>-</v>
          </cell>
        </row>
        <row r="39">
          <cell r="A39" t="str">
            <v>PABA</v>
          </cell>
          <cell r="B39" t="str">
            <v xml:space="preserve"> mg/l</v>
          </cell>
          <cell r="C39">
            <v>2</v>
          </cell>
          <cell r="D39" t="str">
            <v>-</v>
          </cell>
          <cell r="E39" t="str">
            <v>-</v>
          </cell>
          <cell r="I39" t="str">
            <v xml:space="preserve">DCW                </v>
          </cell>
          <cell r="K39" t="str">
            <v>(g/B)</v>
          </cell>
          <cell r="L39">
            <v>7.0586760000000002</v>
          </cell>
          <cell r="M39">
            <v>7.0289219999999997</v>
          </cell>
          <cell r="N39">
            <v>7.1629585000000002</v>
          </cell>
          <cell r="O39">
            <v>7.6766879999999995</v>
          </cell>
          <cell r="P39">
            <v>7.1453884999999993</v>
          </cell>
          <cell r="Q39">
            <v>6.7841134999999992</v>
          </cell>
        </row>
        <row r="40">
          <cell r="A40" t="str">
            <v>Antifoam &lt;GD-113&gt;</v>
          </cell>
          <cell r="B40" t="str">
            <v xml:space="preserve"> ml/dl</v>
          </cell>
          <cell r="C40">
            <v>0.01</v>
          </cell>
          <cell r="D40">
            <v>0.01</v>
          </cell>
          <cell r="E40">
            <v>0.01</v>
          </cell>
          <cell r="I40" t="str">
            <v>&lt;including sugar for seed&gt;</v>
          </cell>
          <cell r="L40">
            <v>4.9137263473862571</v>
          </cell>
          <cell r="M40">
            <v>5.0216557287804298</v>
          </cell>
          <cell r="N40">
            <v>4.7288931566320427</v>
          </cell>
          <cell r="O40">
            <v>4.9265688714445046</v>
          </cell>
          <cell r="P40">
            <v>5.6094089284060091</v>
          </cell>
          <cell r="Q40">
            <v>4.8192139499134052</v>
          </cell>
        </row>
        <row r="41">
          <cell r="A41" t="str">
            <v>Amix(U.S.A)</v>
          </cell>
          <cell r="B41" t="str">
            <v xml:space="preserve"> ml/dl</v>
          </cell>
          <cell r="C41" t="str">
            <v>-</v>
          </cell>
          <cell r="D41">
            <v>3</v>
          </cell>
          <cell r="E41" t="str">
            <v>-</v>
          </cell>
          <cell r="I41" t="str">
            <v xml:space="preserve">DCW yield               </v>
          </cell>
          <cell r="K41" t="str">
            <v xml:space="preserve">(%) </v>
          </cell>
          <cell r="L41">
            <v>4.971598816734752</v>
          </cell>
          <cell r="M41">
            <v>5.0823731019522782</v>
          </cell>
          <cell r="N41">
            <v>4.7816812416555416</v>
          </cell>
          <cell r="O41">
            <v>4.9800116769380471</v>
          </cell>
          <cell r="P41">
            <v>5.6840255349614184</v>
          </cell>
          <cell r="Q41">
            <v>4.8771484543493884</v>
          </cell>
        </row>
        <row r="43">
          <cell r="A43" t="str">
            <v>Condition</v>
          </cell>
          <cell r="B43" t="str">
            <v>1st Seed</v>
          </cell>
          <cell r="D43" t="str">
            <v>2nd Seed</v>
          </cell>
          <cell r="F43" t="str">
            <v>Main</v>
          </cell>
          <cell r="I43" t="str">
            <v xml:space="preserve">L/K                </v>
          </cell>
          <cell r="K43" t="str">
            <v/>
          </cell>
          <cell r="L43">
            <v>12.840283361922262</v>
          </cell>
          <cell r="M43">
            <v>12.928611243658702</v>
          </cell>
          <cell r="N43">
            <v>11.896697433050884</v>
          </cell>
          <cell r="O43">
            <v>12.240552175625741</v>
          </cell>
          <cell r="P43">
            <v>10.402688391261023</v>
          </cell>
          <cell r="Q43">
            <v>13.449708646531342</v>
          </cell>
        </row>
        <row r="44">
          <cell r="A44" t="str">
            <v>Antifoam (type)</v>
          </cell>
          <cell r="B44" t="str">
            <v>GD-113</v>
          </cell>
          <cell r="D44" t="str">
            <v>GD-113</v>
          </cell>
          <cell r="F44" t="str">
            <v>GD-113</v>
          </cell>
        </row>
        <row r="45">
          <cell r="A45" t="str">
            <v>pH adjustment</v>
          </cell>
          <cell r="B45" t="str">
            <v>6.5 &lt;KOH&gt;</v>
          </cell>
          <cell r="D45" t="str">
            <v>6.0 &lt;NH4OH&gt;</v>
          </cell>
          <cell r="F45" t="str">
            <v>Med.B : 5.0 &lt;NH4OH&gt;</v>
          </cell>
          <cell r="I45" t="str">
            <v xml:space="preserve">L/K/CT                 </v>
          </cell>
          <cell r="K45" t="str">
            <v/>
          </cell>
          <cell r="L45">
            <v>0.28854569352634296</v>
          </cell>
          <cell r="M45">
            <v>0.2905305897451394</v>
          </cell>
          <cell r="N45">
            <v>0.26734151534945805</v>
          </cell>
          <cell r="O45">
            <v>0.27506858821630881</v>
          </cell>
          <cell r="P45">
            <v>0.2337682784553039</v>
          </cell>
          <cell r="Q45">
            <v>0.30224064374227733</v>
          </cell>
        </row>
        <row r="46">
          <cell r="A46" t="str">
            <v>Inoculum(ml)</v>
          </cell>
          <cell r="B46" t="str">
            <v>0.30 (PS OD=0.08)</v>
          </cell>
          <cell r="D46" t="str">
            <v>7.0 **(5th week-1st seed)</v>
          </cell>
          <cell r="F46">
            <v>40.799999999999997</v>
          </cell>
        </row>
        <row r="47">
          <cell r="A47" t="str">
            <v>Initial Volume (ml)</v>
          </cell>
          <cell r="B47">
            <v>300</v>
          </cell>
          <cell r="D47">
            <v>300</v>
          </cell>
          <cell r="F47">
            <v>300</v>
          </cell>
          <cell r="I47" t="str">
            <v xml:space="preserve">T/K                </v>
          </cell>
          <cell r="K47" t="str">
            <v/>
          </cell>
          <cell r="L47">
            <v>20.114253721236107</v>
          </cell>
          <cell r="M47">
            <v>19.675847875392556</v>
          </cell>
          <cell r="N47">
            <v>20.913146432441284</v>
          </cell>
          <cell r="O47">
            <v>20.080274201582768</v>
          </cell>
          <cell r="P47">
            <v>17.593165158199589</v>
          </cell>
          <cell r="Q47">
            <v>20.503784319056575</v>
          </cell>
        </row>
        <row r="48">
          <cell r="A48" t="str">
            <v>End OD ( x 26 )</v>
          </cell>
          <cell r="B48">
            <v>0.46</v>
          </cell>
          <cell r="D48">
            <v>0.39500000000000002</v>
          </cell>
        </row>
        <row r="49">
          <cell r="A49" t="str">
            <v>Sterilization (C,min)</v>
          </cell>
          <cell r="B49" t="str">
            <v>120 , 20</v>
          </cell>
          <cell r="D49" t="str">
            <v>120 , 20</v>
          </cell>
          <cell r="F49" t="str">
            <v>120 , 20</v>
          </cell>
          <cell r="I49" t="str">
            <v xml:space="preserve">T/K/CT                    </v>
          </cell>
          <cell r="K49" t="str">
            <v/>
          </cell>
          <cell r="L49">
            <v>0.45200570160081138</v>
          </cell>
          <cell r="M49">
            <v>0.44215388484028217</v>
          </cell>
          <cell r="N49">
            <v>0.46995834679643333</v>
          </cell>
          <cell r="O49">
            <v>0.45124211688950039</v>
          </cell>
          <cell r="P49">
            <v>0.39535202602695707</v>
          </cell>
          <cell r="Q49">
            <v>0.4607591981810466</v>
          </cell>
        </row>
        <row r="50">
          <cell r="A50" t="str">
            <v>Cultivation Temp.(C)</v>
          </cell>
          <cell r="B50">
            <v>37</v>
          </cell>
          <cell r="D50">
            <v>37</v>
          </cell>
          <cell r="F50">
            <v>37</v>
          </cell>
        </row>
        <row r="51">
          <cell r="A51" t="str">
            <v>Aeration (vvm)</v>
          </cell>
          <cell r="B51">
            <v>0.5</v>
          </cell>
          <cell r="D51">
            <v>0.5</v>
          </cell>
          <cell r="F51" t="str">
            <v>1/2 ----&gt; 1</v>
          </cell>
          <cell r="I51" t="str">
            <v xml:space="preserve">TS/CT                        </v>
          </cell>
          <cell r="K51" t="str">
            <v/>
          </cell>
          <cell r="L51">
            <v>3.1905617977528089</v>
          </cell>
          <cell r="M51">
            <v>3.1078651685393255</v>
          </cell>
          <cell r="N51">
            <v>3.3662921348314603</v>
          </cell>
          <cell r="O51">
            <v>3.464044943820225</v>
          </cell>
          <cell r="P51">
            <v>2.8249438202247195</v>
          </cell>
          <cell r="Q51">
            <v>3.1258426966292134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 refreshError="1">
        <row r="1">
          <cell r="F1" t="str">
            <v>SKKL-LYSINE S-JAR FERMENTATION REPORT  No.SKKL-82B</v>
          </cell>
        </row>
        <row r="2">
          <cell r="O2" t="str">
            <v xml:space="preserve">In charge </v>
          </cell>
        </row>
        <row r="3">
          <cell r="A3" t="str">
            <v>OBJECTIVE                  :</v>
          </cell>
          <cell r="C3" t="str">
            <v xml:space="preserve">To evaluate quality of SKKKL-E.coli No.10 transformants from each stock culture prepared for commercial production in TL plant </v>
          </cell>
          <cell r="O3" t="str">
            <v>Kobchai Porndussadeekul</v>
          </cell>
        </row>
        <row r="4">
          <cell r="C4" t="str">
            <v xml:space="preserve"> (1st Prep.) under production flow.</v>
          </cell>
        </row>
        <row r="5">
          <cell r="A5" t="str">
            <v>BACTERIAL STRAINS :</v>
          </cell>
          <cell r="C5" t="str">
            <v xml:space="preserve"> E.coli No.10-(5th week, innoculation of 2nd seed was 3 times increased )  : 1st preparation &gt; TF#1, 2, 3, 4, 5   </v>
          </cell>
          <cell r="O5" t="str">
            <v>Date: April 17,2002</v>
          </cell>
        </row>
        <row r="7">
          <cell r="A7" t="str">
            <v>CARBON-SOURCE       :</v>
          </cell>
          <cell r="C7" t="str">
            <v xml:space="preserve">  Glucose </v>
          </cell>
          <cell r="G7" t="str">
            <v xml:space="preserve">Remark  1)TF#7 is also a referent strain which was proved to be as good as the control culture under </v>
          </cell>
        </row>
        <row r="8">
          <cell r="A8" t="str">
            <v xml:space="preserve">NITROGEN-SOURCE    :                    </v>
          </cell>
          <cell r="C8" t="str">
            <v xml:space="preserve">  MN (TN)</v>
          </cell>
          <cell r="G8" t="str">
            <v xml:space="preserve">                     the production flow (BLD-2's).</v>
          </cell>
        </row>
        <row r="9">
          <cell r="A9" t="str">
            <v>TEST ITEMS :</v>
          </cell>
          <cell r="G9" t="str">
            <v xml:space="preserve">     2) 2nd seed growth of the TF#7 was low due to too high initial  pH (~7.4)</v>
          </cell>
        </row>
        <row r="10">
          <cell r="A10" t="str">
            <v>Jar No.</v>
          </cell>
          <cell r="B10" t="str">
            <v xml:space="preserve">Stock Culture </v>
          </cell>
          <cell r="D10" t="str">
            <v>2nd - seed CT</v>
          </cell>
          <cell r="I10" t="str">
            <v>Jar No.</v>
          </cell>
          <cell r="L10" t="str">
            <v>1</v>
          </cell>
          <cell r="M10" t="str">
            <v>2</v>
          </cell>
          <cell r="N10" t="str">
            <v>3</v>
          </cell>
          <cell r="O10" t="str">
            <v>4</v>
          </cell>
          <cell r="P10">
            <v>5</v>
          </cell>
          <cell r="Q10">
            <v>6</v>
          </cell>
        </row>
        <row r="12">
          <cell r="B12" t="str">
            <v>No.</v>
          </cell>
          <cell r="D12" t="str">
            <v>(hour)</v>
          </cell>
          <cell r="I12" t="str">
            <v xml:space="preserve">Initial Osmotic Pressure      </v>
          </cell>
          <cell r="K12" t="str">
            <v>(mOsm)</v>
          </cell>
        </row>
        <row r="13">
          <cell r="A13">
            <v>1</v>
          </cell>
          <cell r="B13" t="str">
            <v>BLD2's Control(02)</v>
          </cell>
          <cell r="D13">
            <v>18.5</v>
          </cell>
          <cell r="I13" t="str">
            <v>Start volume</v>
          </cell>
          <cell r="K13" t="str">
            <v>(ml)</v>
          </cell>
          <cell r="L13">
            <v>300</v>
          </cell>
          <cell r="M13">
            <v>300</v>
          </cell>
          <cell r="N13">
            <v>300</v>
          </cell>
          <cell r="O13">
            <v>300</v>
          </cell>
          <cell r="P13">
            <v>300</v>
          </cell>
          <cell r="Q13">
            <v>300</v>
          </cell>
        </row>
        <row r="14">
          <cell r="A14">
            <v>2</v>
          </cell>
          <cell r="B14" t="str">
            <v>BLD2's Control(02)</v>
          </cell>
          <cell r="D14">
            <v>18.5</v>
          </cell>
          <cell r="I14" t="str">
            <v>Initial Sugar</v>
          </cell>
          <cell r="K14" t="str">
            <v>(g/dl)</v>
          </cell>
          <cell r="L14">
            <v>2.4</v>
          </cell>
          <cell r="M14">
            <v>2.4</v>
          </cell>
          <cell r="N14">
            <v>2.4</v>
          </cell>
          <cell r="O14">
            <v>2.4700000000000002</v>
          </cell>
          <cell r="P14">
            <v>2.65</v>
          </cell>
          <cell r="Q14">
            <v>2.82</v>
          </cell>
        </row>
        <row r="15">
          <cell r="A15">
            <v>3</v>
          </cell>
          <cell r="B15" t="str">
            <v>TF#1</v>
          </cell>
          <cell r="D15">
            <v>19</v>
          </cell>
          <cell r="I15" t="str">
            <v>Feed Volume</v>
          </cell>
          <cell r="J15" t="str">
            <v/>
          </cell>
          <cell r="K15" t="str">
            <v>(ml)</v>
          </cell>
          <cell r="L15">
            <v>293</v>
          </cell>
          <cell r="M15">
            <v>285</v>
          </cell>
          <cell r="N15">
            <v>310</v>
          </cell>
          <cell r="O15">
            <v>319</v>
          </cell>
          <cell r="P15">
            <v>256</v>
          </cell>
          <cell r="Q15">
            <v>284</v>
          </cell>
        </row>
        <row r="16">
          <cell r="A16">
            <v>4</v>
          </cell>
          <cell r="B16" t="str">
            <v>TF#2</v>
          </cell>
          <cell r="D16">
            <v>17.5</v>
          </cell>
          <cell r="I16" t="str">
            <v>Feed sugar concentration</v>
          </cell>
          <cell r="K16" t="str">
            <v>(g/dl)</v>
          </cell>
          <cell r="L16">
            <v>46</v>
          </cell>
          <cell r="M16">
            <v>46</v>
          </cell>
          <cell r="N16">
            <v>46</v>
          </cell>
          <cell r="O16">
            <v>46</v>
          </cell>
          <cell r="P16">
            <v>46</v>
          </cell>
          <cell r="Q16">
            <v>46</v>
          </cell>
        </row>
        <row r="17">
          <cell r="A17">
            <v>5</v>
          </cell>
          <cell r="B17" t="str">
            <v>TF#3</v>
          </cell>
          <cell r="D17">
            <v>17.5</v>
          </cell>
          <cell r="I17" t="str">
            <v>BPD -  volume</v>
          </cell>
          <cell r="K17" t="str">
            <v>(ml)</v>
          </cell>
          <cell r="L17">
            <v>204</v>
          </cell>
          <cell r="M17">
            <v>195</v>
          </cell>
          <cell r="N17">
            <v>190</v>
          </cell>
          <cell r="O17">
            <v>225</v>
          </cell>
          <cell r="P17">
            <v>202</v>
          </cell>
          <cell r="Q17">
            <v>201</v>
          </cell>
        </row>
        <row r="18">
          <cell r="A18">
            <v>4</v>
          </cell>
          <cell r="B18" t="str">
            <v>TF#7</v>
          </cell>
          <cell r="D18">
            <v>21.5</v>
          </cell>
          <cell r="I18" t="str">
            <v>BO   -  volume</v>
          </cell>
          <cell r="K18" t="str">
            <v>(ml)</v>
          </cell>
          <cell r="L18">
            <v>365</v>
          </cell>
          <cell r="M18">
            <v>345</v>
          </cell>
          <cell r="N18">
            <v>369</v>
          </cell>
          <cell r="O18">
            <v>366</v>
          </cell>
          <cell r="P18">
            <v>363</v>
          </cell>
          <cell r="Q18">
            <v>361</v>
          </cell>
        </row>
        <row r="19">
          <cell r="I19" t="str">
            <v xml:space="preserve">Sample cut         </v>
          </cell>
          <cell r="K19" t="str">
            <v>(ml)</v>
          </cell>
          <cell r="L19">
            <v>27.6</v>
          </cell>
          <cell r="M19">
            <v>29.8</v>
          </cell>
          <cell r="N19">
            <v>28.3</v>
          </cell>
          <cell r="O19">
            <v>28.2</v>
          </cell>
          <cell r="P19">
            <v>33.9</v>
          </cell>
          <cell r="Q19">
            <v>22.3</v>
          </cell>
        </row>
        <row r="20">
          <cell r="I20" t="str">
            <v xml:space="preserve">Af-Vol     </v>
          </cell>
          <cell r="K20" t="str">
            <v>(ml)</v>
          </cell>
          <cell r="L20">
            <v>7</v>
          </cell>
          <cell r="M20">
            <v>4.5</v>
          </cell>
          <cell r="N20">
            <v>8</v>
          </cell>
          <cell r="O20">
            <v>8.5</v>
          </cell>
          <cell r="P20">
            <v>6.5</v>
          </cell>
          <cell r="Q20">
            <v>5</v>
          </cell>
        </row>
        <row r="21">
          <cell r="A21" t="str">
            <v>MEDIUM COMPOSITION:</v>
          </cell>
          <cell r="C21" t="str">
            <v>BLD-2 Flow</v>
          </cell>
          <cell r="I21" t="str">
            <v xml:space="preserve">BPD Lysine-HCl       </v>
          </cell>
          <cell r="J21" t="str">
            <v/>
          </cell>
          <cell r="K21" t="str">
            <v>(g/dl)</v>
          </cell>
          <cell r="L21">
            <v>13.8</v>
          </cell>
          <cell r="M21">
            <v>14.2</v>
          </cell>
          <cell r="N21">
            <v>12.4</v>
          </cell>
          <cell r="O21">
            <v>13.2</v>
          </cell>
          <cell r="P21">
            <v>11.8</v>
          </cell>
          <cell r="Q21">
            <v>14.2</v>
          </cell>
        </row>
        <row r="22">
          <cell r="A22" t="str">
            <v>Composition</v>
          </cell>
          <cell r="B22" t="str">
            <v>Unit</v>
          </cell>
          <cell r="C22" t="str">
            <v>2nd</v>
          </cell>
          <cell r="D22" t="str">
            <v>Main</v>
          </cell>
          <cell r="E22" t="str">
            <v>Feed</v>
          </cell>
          <cell r="I22" t="str">
            <v>BO   Lysine-HCl</v>
          </cell>
          <cell r="J22" t="str">
            <v/>
          </cell>
          <cell r="K22" t="str">
            <v>(g/dl)</v>
          </cell>
          <cell r="L22">
            <v>16.2</v>
          </cell>
          <cell r="M22">
            <v>17.2</v>
          </cell>
          <cell r="N22">
            <v>15.8</v>
          </cell>
          <cell r="O22">
            <v>16.600000000000001</v>
          </cell>
          <cell r="P22">
            <v>13</v>
          </cell>
          <cell r="Q22">
            <v>16.600000000000001</v>
          </cell>
        </row>
        <row r="23">
          <cell r="C23" t="str">
            <v>Seed</v>
          </cell>
          <cell r="D23" t="str">
            <v>Medium</v>
          </cell>
          <cell r="E23" t="str">
            <v>Medium</v>
          </cell>
          <cell r="I23" t="str">
            <v xml:space="preserve">BPD - DCW                </v>
          </cell>
          <cell r="K23" t="str">
            <v>(g/dl)</v>
          </cell>
          <cell r="L23">
            <v>1.214</v>
          </cell>
          <cell r="M23">
            <v>1.246</v>
          </cell>
          <cell r="N23">
            <v>1.252</v>
          </cell>
          <cell r="O23">
            <v>1.292</v>
          </cell>
          <cell r="P23">
            <v>1.226</v>
          </cell>
          <cell r="Q23">
            <v>1.1839999999999999</v>
          </cell>
        </row>
        <row r="24">
          <cell r="A24" t="str">
            <v>Glucose</v>
          </cell>
          <cell r="B24" t="str">
            <v xml:space="preserve"> g/dl</v>
          </cell>
          <cell r="C24">
            <v>4</v>
          </cell>
          <cell r="D24">
            <v>2</v>
          </cell>
          <cell r="E24">
            <v>45</v>
          </cell>
          <cell r="I24" t="str">
            <v xml:space="preserve">B0   - DCW                </v>
          </cell>
          <cell r="K24" t="str">
            <v>(g/dl)</v>
          </cell>
          <cell r="L24">
            <v>1.1879999999999999</v>
          </cell>
          <cell r="M24">
            <v>1.252</v>
          </cell>
          <cell r="N24">
            <v>1.226</v>
          </cell>
          <cell r="O24">
            <v>1.232</v>
          </cell>
          <cell r="P24">
            <v>1.202</v>
          </cell>
          <cell r="Q24">
            <v>1.1659999999999999</v>
          </cell>
        </row>
        <row r="25">
          <cell r="A25" t="str">
            <v>Sucrose</v>
          </cell>
          <cell r="B25" t="str">
            <v xml:space="preserve"> g/dl</v>
          </cell>
          <cell r="C25" t="str">
            <v>-</v>
          </cell>
          <cell r="D25" t="str">
            <v>-</v>
          </cell>
          <cell r="E25" t="str">
            <v>-</v>
          </cell>
          <cell r="I25" t="str">
            <v xml:space="preserve">RS                 </v>
          </cell>
          <cell r="K25" t="str">
            <v>(g/dl)</v>
          </cell>
          <cell r="L25">
            <v>0.9</v>
          </cell>
          <cell r="M25">
            <v>0.9</v>
          </cell>
          <cell r="N25">
            <v>0.9</v>
          </cell>
          <cell r="O25">
            <v>0.9</v>
          </cell>
          <cell r="P25">
            <v>0.75</v>
          </cell>
          <cell r="Q25">
            <v>0.9</v>
          </cell>
          <cell r="R25" t="str">
            <v/>
          </cell>
        </row>
        <row r="26">
          <cell r="A26" t="str">
            <v>H3PO4</v>
          </cell>
          <cell r="B26" t="str">
            <v xml:space="preserve"> g/dl</v>
          </cell>
          <cell r="C26" t="str">
            <v>-</v>
          </cell>
          <cell r="D26" t="str">
            <v>-</v>
          </cell>
          <cell r="E26">
            <v>6.2E-2</v>
          </cell>
          <cell r="I26" t="str">
            <v>Culture time</v>
          </cell>
          <cell r="K26" t="str">
            <v>(hr)</v>
          </cell>
          <cell r="L26">
            <v>44.5</v>
          </cell>
          <cell r="M26">
            <v>44.5</v>
          </cell>
          <cell r="N26">
            <v>44.5</v>
          </cell>
          <cell r="O26">
            <v>44.5</v>
          </cell>
          <cell r="P26">
            <v>44.5</v>
          </cell>
          <cell r="Q26">
            <v>44.5</v>
          </cell>
        </row>
        <row r="27">
          <cell r="A27" t="str">
            <v>KH2PO4</v>
          </cell>
          <cell r="B27" t="str">
            <v xml:space="preserve"> g/dl</v>
          </cell>
          <cell r="C27">
            <v>0.1</v>
          </cell>
          <cell r="D27">
            <v>0.12</v>
          </cell>
          <cell r="E27" t="str">
            <v>-</v>
          </cell>
          <cell r="I27" t="str">
            <v>Contamination check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</row>
        <row r="28">
          <cell r="A28" t="str">
            <v>MgSO4.7H2O</v>
          </cell>
          <cell r="B28" t="str">
            <v xml:space="preserve"> g/dl</v>
          </cell>
          <cell r="C28">
            <v>0.1</v>
          </cell>
          <cell r="D28">
            <v>0.1</v>
          </cell>
          <cell r="E28" t="str">
            <v>-</v>
          </cell>
        </row>
        <row r="29">
          <cell r="A29" t="str">
            <v>FeSO4.7H2O</v>
          </cell>
          <cell r="B29" t="str">
            <v xml:space="preserve"> g/dl</v>
          </cell>
          <cell r="C29">
            <v>1E-3</v>
          </cell>
          <cell r="D29">
            <v>3.0000000000000001E-3</v>
          </cell>
          <cell r="E29" t="str">
            <v>-</v>
          </cell>
          <cell r="I29" t="str">
            <v>Corrected BO volume  (ml)</v>
          </cell>
          <cell r="L29">
            <v>385.7</v>
          </cell>
          <cell r="M29">
            <v>367.35</v>
          </cell>
          <cell r="N29">
            <v>390.22500000000002</v>
          </cell>
          <cell r="O29">
            <v>387.15</v>
          </cell>
          <cell r="P29">
            <v>388.42500000000001</v>
          </cell>
          <cell r="Q29">
            <v>377.72500000000002</v>
          </cell>
        </row>
        <row r="30">
          <cell r="A30" t="str">
            <v>MnSO4.4H2O</v>
          </cell>
          <cell r="B30" t="str">
            <v xml:space="preserve"> g/dl</v>
          </cell>
          <cell r="C30">
            <v>1E-3</v>
          </cell>
          <cell r="D30">
            <v>3.0000000000000001E-3</v>
          </cell>
          <cell r="E30" t="str">
            <v>-</v>
          </cell>
          <cell r="I30" t="str">
            <v>Evaporation ratio</v>
          </cell>
          <cell r="K30" t="str">
            <v>(%)</v>
          </cell>
          <cell r="L30">
            <v>99.406009783368276</v>
          </cell>
          <cell r="M30">
            <v>96.480257280686075</v>
          </cell>
          <cell r="N30">
            <v>94.793963032050186</v>
          </cell>
          <cell r="O30">
            <v>98.615050892708169</v>
          </cell>
          <cell r="P30">
            <v>106.88611426409382</v>
          </cell>
          <cell r="Q30">
            <v>99.170637021351681</v>
          </cell>
        </row>
        <row r="31">
          <cell r="A31" t="str">
            <v>NH4OH</v>
          </cell>
          <cell r="B31" t="str">
            <v xml:space="preserve"> g/dl</v>
          </cell>
          <cell r="C31" t="str">
            <v>pH Adjust.</v>
          </cell>
          <cell r="D31" t="str">
            <v>pH Adjust.</v>
          </cell>
          <cell r="E31" t="str">
            <v>-</v>
          </cell>
          <cell r="I31" t="str">
            <v xml:space="preserve">Total sugar        </v>
          </cell>
          <cell r="K31" t="str">
            <v>(g/B)</v>
          </cell>
          <cell r="L31">
            <v>141.97999999999999</v>
          </cell>
          <cell r="M31">
            <v>138.29999999999998</v>
          </cell>
          <cell r="N31">
            <v>149.79999999999998</v>
          </cell>
          <cell r="O31">
            <v>154.15</v>
          </cell>
          <cell r="P31">
            <v>125.71000000000001</v>
          </cell>
          <cell r="Q31">
            <v>139.1</v>
          </cell>
        </row>
        <row r="32">
          <cell r="A32" t="str">
            <v>(NH4)2SO4</v>
          </cell>
          <cell r="B32" t="str">
            <v xml:space="preserve"> g/dl</v>
          </cell>
          <cell r="C32">
            <v>0.8</v>
          </cell>
          <cell r="D32">
            <v>1</v>
          </cell>
          <cell r="E32">
            <v>9.07</v>
          </cell>
        </row>
        <row r="33">
          <cell r="A33" t="str">
            <v>Mameno (TN)</v>
          </cell>
          <cell r="B33" t="str">
            <v xml:space="preserve"> mg/dl</v>
          </cell>
          <cell r="C33">
            <v>60</v>
          </cell>
          <cell r="D33" t="str">
            <v>40(STD)</v>
          </cell>
          <cell r="E33" t="str">
            <v>-</v>
          </cell>
          <cell r="I33" t="str">
            <v>Lysine-HCl</v>
          </cell>
          <cell r="K33" t="str">
            <v>(g/B)</v>
          </cell>
          <cell r="L33">
            <v>90.63539999999999</v>
          </cell>
          <cell r="M33">
            <v>90.874200000000002</v>
          </cell>
          <cell r="N33">
            <v>85.215550000000007</v>
          </cell>
          <cell r="O33">
            <v>93.96690000000001</v>
          </cell>
          <cell r="P33">
            <v>74.331250000000011</v>
          </cell>
          <cell r="Q33">
            <v>91.244349999999997</v>
          </cell>
        </row>
        <row r="34">
          <cell r="A34" t="str">
            <v>Yeast Extract</v>
          </cell>
          <cell r="B34" t="str">
            <v>g/dl</v>
          </cell>
          <cell r="C34" t="str">
            <v>-</v>
          </cell>
          <cell r="D34" t="str">
            <v>-</v>
          </cell>
          <cell r="E34" t="str">
            <v>-</v>
          </cell>
          <cell r="I34" t="str">
            <v>&lt;including sugar for seed&gt;</v>
          </cell>
          <cell r="L34">
            <v>63.093638663382798</v>
          </cell>
          <cell r="M34">
            <v>64.923034716893795</v>
          </cell>
          <cell r="N34">
            <v>56.258211077676314</v>
          </cell>
          <cell r="O34">
            <v>60.303923317730082</v>
          </cell>
          <cell r="P34">
            <v>58.352933141365128</v>
          </cell>
          <cell r="Q34">
            <v>64.817023531634803</v>
          </cell>
        </row>
        <row r="35">
          <cell r="A35" t="str">
            <v>Threonine</v>
          </cell>
          <cell r="B35" t="str">
            <v xml:space="preserve"> mg/dl</v>
          </cell>
          <cell r="C35">
            <v>30</v>
          </cell>
          <cell r="D35" t="str">
            <v>-</v>
          </cell>
          <cell r="E35">
            <v>43</v>
          </cell>
        </row>
        <row r="36">
          <cell r="A36" t="str">
            <v>Threonine</v>
          </cell>
          <cell r="B36" t="str">
            <v xml:space="preserve">mg/dl </v>
          </cell>
          <cell r="C36">
            <v>30</v>
          </cell>
          <cell r="D36" t="str">
            <v>-</v>
          </cell>
          <cell r="E36">
            <v>43</v>
          </cell>
          <cell r="I36" t="str">
            <v>Lysine-HCl yield</v>
          </cell>
          <cell r="K36" t="str">
            <v xml:space="preserve">(%) </v>
          </cell>
          <cell r="L36">
            <v>63.836737568671644</v>
          </cell>
          <cell r="M36">
            <v>65.708026030368771</v>
          </cell>
          <cell r="N36">
            <v>56.886214953271043</v>
          </cell>
          <cell r="O36">
            <v>60.958092766785597</v>
          </cell>
          <cell r="P36">
            <v>59.129146448174374</v>
          </cell>
          <cell r="Q36">
            <v>65.596225736879944</v>
          </cell>
        </row>
        <row r="37">
          <cell r="A37" t="str">
            <v>Methionine</v>
          </cell>
          <cell r="B37" t="str">
            <v xml:space="preserve"> mg/dl</v>
          </cell>
          <cell r="C37" t="str">
            <v>-</v>
          </cell>
          <cell r="D37" t="str">
            <v>-</v>
          </cell>
          <cell r="E37" t="str">
            <v>-</v>
          </cell>
          <cell r="I37" t="str">
            <v>Lysine-HCl yield</v>
          </cell>
          <cell r="K37" t="str">
            <v>(%)</v>
          </cell>
          <cell r="L37">
            <v>63.836737568671644</v>
          </cell>
          <cell r="M37">
            <v>65.708026030368771</v>
          </cell>
          <cell r="N37">
            <v>56.886214953271043</v>
          </cell>
          <cell r="O37">
            <v>60.958092766785597</v>
          </cell>
          <cell r="P37">
            <v>59.129146448174374</v>
          </cell>
          <cell r="Q37">
            <v>65.596225736879944</v>
          </cell>
        </row>
        <row r="38">
          <cell r="A38" t="str">
            <v>Nicotinamide</v>
          </cell>
          <cell r="B38" t="str">
            <v xml:space="preserve"> mg/dl</v>
          </cell>
          <cell r="C38" t="str">
            <v>-</v>
          </cell>
          <cell r="D38" t="str">
            <v>-</v>
          </cell>
          <cell r="E38" t="str">
            <v>-</v>
          </cell>
        </row>
        <row r="39">
          <cell r="A39" t="str">
            <v>PABA</v>
          </cell>
          <cell r="B39" t="str">
            <v xml:space="preserve"> mg/l</v>
          </cell>
          <cell r="C39">
            <v>2</v>
          </cell>
          <cell r="D39" t="str">
            <v>-</v>
          </cell>
          <cell r="E39" t="str">
            <v>-</v>
          </cell>
          <cell r="I39" t="str">
            <v xml:space="preserve">DCW                </v>
          </cell>
          <cell r="K39" t="str">
            <v>(g/B)</v>
          </cell>
          <cell r="L39">
            <v>7.0586760000000002</v>
          </cell>
          <cell r="M39">
            <v>7.0289219999999997</v>
          </cell>
          <cell r="N39">
            <v>7.1629585000000002</v>
          </cell>
          <cell r="O39">
            <v>7.6766879999999995</v>
          </cell>
          <cell r="P39">
            <v>7.1453884999999993</v>
          </cell>
          <cell r="Q39">
            <v>6.7841134999999992</v>
          </cell>
        </row>
        <row r="40">
          <cell r="A40" t="str">
            <v>Antifoam &lt;GD-113&gt;</v>
          </cell>
          <cell r="B40" t="str">
            <v xml:space="preserve"> ml/dl</v>
          </cell>
          <cell r="C40">
            <v>0.01</v>
          </cell>
          <cell r="D40">
            <v>0.01</v>
          </cell>
          <cell r="E40">
            <v>0.01</v>
          </cell>
          <cell r="I40" t="str">
            <v>&lt;including sugar for seed&gt;</v>
          </cell>
          <cell r="L40">
            <v>4.9137263473862571</v>
          </cell>
          <cell r="M40">
            <v>5.0216557287804298</v>
          </cell>
          <cell r="N40">
            <v>4.7288931566320427</v>
          </cell>
          <cell r="O40">
            <v>4.9265688714445046</v>
          </cell>
          <cell r="P40">
            <v>5.6094089284060091</v>
          </cell>
          <cell r="Q40">
            <v>4.8192139499134052</v>
          </cell>
        </row>
        <row r="41">
          <cell r="A41" t="str">
            <v>Amix(U.S.A)</v>
          </cell>
          <cell r="B41" t="str">
            <v xml:space="preserve"> ml/dl</v>
          </cell>
          <cell r="C41" t="str">
            <v>-</v>
          </cell>
          <cell r="D41">
            <v>3</v>
          </cell>
          <cell r="E41" t="str">
            <v>-</v>
          </cell>
          <cell r="I41" t="str">
            <v xml:space="preserve">DCW yield               </v>
          </cell>
          <cell r="K41" t="str">
            <v xml:space="preserve">(%) </v>
          </cell>
          <cell r="L41">
            <v>4.971598816734752</v>
          </cell>
          <cell r="M41">
            <v>5.0823731019522782</v>
          </cell>
          <cell r="N41">
            <v>4.7816812416555416</v>
          </cell>
          <cell r="O41">
            <v>4.9800116769380471</v>
          </cell>
          <cell r="P41">
            <v>5.6840255349614184</v>
          </cell>
          <cell r="Q41">
            <v>4.8771484543493884</v>
          </cell>
        </row>
        <row r="43">
          <cell r="A43" t="str">
            <v>Condition</v>
          </cell>
          <cell r="B43" t="str">
            <v>1st Seed</v>
          </cell>
          <cell r="D43" t="str">
            <v>2nd Seed</v>
          </cell>
          <cell r="F43" t="str">
            <v>Main</v>
          </cell>
          <cell r="I43" t="str">
            <v xml:space="preserve">L/K                </v>
          </cell>
          <cell r="K43" t="str">
            <v/>
          </cell>
          <cell r="L43">
            <v>12.840283361922262</v>
          </cell>
          <cell r="M43">
            <v>12.928611243658702</v>
          </cell>
          <cell r="N43">
            <v>11.896697433050884</v>
          </cell>
          <cell r="O43">
            <v>12.240552175625741</v>
          </cell>
          <cell r="P43">
            <v>10.402688391261023</v>
          </cell>
          <cell r="Q43">
            <v>13.449708646531342</v>
          </cell>
        </row>
        <row r="44">
          <cell r="A44" t="str">
            <v>Antifoam (type)</v>
          </cell>
          <cell r="B44" t="str">
            <v>GD-113</v>
          </cell>
          <cell r="D44" t="str">
            <v>GD-113</v>
          </cell>
          <cell r="F44" t="str">
            <v>GD-113</v>
          </cell>
        </row>
        <row r="45">
          <cell r="A45" t="str">
            <v>pH adjustment</v>
          </cell>
          <cell r="B45" t="str">
            <v>6.5 &lt;KOH&gt;</v>
          </cell>
          <cell r="D45" t="str">
            <v>6.0 &lt;NH4OH&gt;</v>
          </cell>
          <cell r="F45" t="str">
            <v>Med.B : 5.0 &lt;NH4OH&gt;</v>
          </cell>
          <cell r="I45" t="str">
            <v xml:space="preserve">L/K/CT                 </v>
          </cell>
          <cell r="K45" t="str">
            <v/>
          </cell>
          <cell r="L45">
            <v>0.28854569352634296</v>
          </cell>
          <cell r="M45">
            <v>0.2905305897451394</v>
          </cell>
          <cell r="N45">
            <v>0.26734151534945805</v>
          </cell>
          <cell r="O45">
            <v>0.27506858821630881</v>
          </cell>
          <cell r="P45">
            <v>0.2337682784553039</v>
          </cell>
          <cell r="Q45">
            <v>0.30224064374227733</v>
          </cell>
        </row>
        <row r="46">
          <cell r="A46" t="str">
            <v>Inoculum(ml)</v>
          </cell>
          <cell r="B46" t="str">
            <v>0.30 (PS OD=0.08)</v>
          </cell>
          <cell r="D46" t="str">
            <v>7.0 **(5th week-1st seed)</v>
          </cell>
          <cell r="F46">
            <v>40.799999999999997</v>
          </cell>
        </row>
        <row r="47">
          <cell r="A47" t="str">
            <v>Initial Volume (ml)</v>
          </cell>
          <cell r="B47">
            <v>300</v>
          </cell>
          <cell r="D47">
            <v>300</v>
          </cell>
          <cell r="F47">
            <v>300</v>
          </cell>
          <cell r="I47" t="str">
            <v xml:space="preserve">T/K                </v>
          </cell>
          <cell r="K47" t="str">
            <v/>
          </cell>
          <cell r="L47">
            <v>20.114253721236107</v>
          </cell>
          <cell r="M47">
            <v>19.675847875392556</v>
          </cell>
          <cell r="N47">
            <v>20.913146432441284</v>
          </cell>
          <cell r="O47">
            <v>20.080274201582768</v>
          </cell>
          <cell r="P47">
            <v>17.593165158199589</v>
          </cell>
          <cell r="Q47">
            <v>20.503784319056575</v>
          </cell>
        </row>
        <row r="48">
          <cell r="A48" t="str">
            <v>End OD ( x 26 )</v>
          </cell>
          <cell r="B48">
            <v>0.46</v>
          </cell>
          <cell r="D48">
            <v>0.39500000000000002</v>
          </cell>
        </row>
        <row r="49">
          <cell r="A49" t="str">
            <v>Sterilization (C,min)</v>
          </cell>
          <cell r="B49" t="str">
            <v>120 , 20</v>
          </cell>
          <cell r="D49" t="str">
            <v>120 , 20</v>
          </cell>
          <cell r="F49" t="str">
            <v>120 , 20</v>
          </cell>
          <cell r="I49" t="str">
            <v xml:space="preserve">T/K/CT                    </v>
          </cell>
          <cell r="K49" t="str">
            <v/>
          </cell>
          <cell r="L49">
            <v>0.45200570160081138</v>
          </cell>
          <cell r="M49">
            <v>0.44215388484028217</v>
          </cell>
          <cell r="N49">
            <v>0.46995834679643333</v>
          </cell>
          <cell r="O49">
            <v>0.45124211688950039</v>
          </cell>
          <cell r="P49">
            <v>0.39535202602695707</v>
          </cell>
          <cell r="Q49">
            <v>0.4607591981810466</v>
          </cell>
        </row>
        <row r="50">
          <cell r="A50" t="str">
            <v>Cultivation Temp.(C)</v>
          </cell>
          <cell r="B50">
            <v>37</v>
          </cell>
          <cell r="D50">
            <v>37</v>
          </cell>
          <cell r="F50">
            <v>37</v>
          </cell>
        </row>
        <row r="51">
          <cell r="A51" t="str">
            <v>Aeration (vvm)</v>
          </cell>
          <cell r="B51">
            <v>0.5</v>
          </cell>
          <cell r="D51">
            <v>0.5</v>
          </cell>
          <cell r="F51" t="str">
            <v>1/2 ----&gt; 1</v>
          </cell>
          <cell r="I51" t="str">
            <v xml:space="preserve">TS/CT                        </v>
          </cell>
          <cell r="K51" t="str">
            <v/>
          </cell>
          <cell r="L51">
            <v>3.1905617977528089</v>
          </cell>
          <cell r="M51">
            <v>3.1078651685393255</v>
          </cell>
          <cell r="N51">
            <v>3.3662921348314603</v>
          </cell>
          <cell r="O51">
            <v>3.464044943820225</v>
          </cell>
          <cell r="P51">
            <v>2.8249438202247195</v>
          </cell>
          <cell r="Q51">
            <v>3.1258426966292134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H-10-05"/>
      <sheetName val="test"/>
      <sheetName val="CP test"/>
      <sheetName val="project meeting calendar"/>
      <sheetName val="data"/>
    </sheetNames>
    <sheetDataSet>
      <sheetData sheetId="0" refreshError="1"/>
      <sheetData sheetId="1">
        <row r="6">
          <cell r="B6">
            <v>49492</v>
          </cell>
          <cell r="C6" t="str">
            <v>J</v>
          </cell>
          <cell r="D6">
            <v>104</v>
          </cell>
          <cell r="E6">
            <v>53.23</v>
          </cell>
          <cell r="F6">
            <v>5.86</v>
          </cell>
          <cell r="G6">
            <v>59.089999999999996</v>
          </cell>
          <cell r="H6">
            <v>7</v>
          </cell>
          <cell r="I6">
            <v>16.62</v>
          </cell>
          <cell r="J6">
            <v>7</v>
          </cell>
          <cell r="K6">
            <v>16.88</v>
          </cell>
          <cell r="P6">
            <v>224</v>
          </cell>
          <cell r="Q6">
            <v>17.489999999999998</v>
          </cell>
          <cell r="R6">
            <v>17.8</v>
          </cell>
          <cell r="S6">
            <v>41.522600000000004</v>
          </cell>
          <cell r="T6">
            <v>98.25842696629212</v>
          </cell>
          <cell r="U6">
            <v>70.270096463022526</v>
          </cell>
          <cell r="V6">
            <v>38.5</v>
          </cell>
        </row>
        <row r="7">
          <cell r="B7">
            <v>49493</v>
          </cell>
          <cell r="C7" t="str">
            <v>D</v>
          </cell>
          <cell r="D7">
            <v>80</v>
          </cell>
          <cell r="E7">
            <v>41.04</v>
          </cell>
          <cell r="F7">
            <v>4.3499999999999996</v>
          </cell>
          <cell r="G7">
            <v>45.39</v>
          </cell>
          <cell r="H7">
            <v>5</v>
          </cell>
          <cell r="I7">
            <v>16.309999999999999</v>
          </cell>
          <cell r="J7">
            <v>5</v>
          </cell>
          <cell r="K7">
            <v>16.920000000000002</v>
          </cell>
          <cell r="P7">
            <v>171</v>
          </cell>
          <cell r="Q7">
            <v>17.690000000000001</v>
          </cell>
          <cell r="R7">
            <v>17.8</v>
          </cell>
          <cell r="S7">
            <v>31.911400000000004</v>
          </cell>
          <cell r="T7">
            <v>99.382022471910119</v>
          </cell>
          <cell r="U7">
            <v>70.304912976426536</v>
          </cell>
          <cell r="V7">
            <v>41</v>
          </cell>
        </row>
        <row r="8">
          <cell r="B8">
            <v>49494</v>
          </cell>
          <cell r="C8" t="str">
            <v>F</v>
          </cell>
          <cell r="D8">
            <v>106</v>
          </cell>
          <cell r="E8">
            <v>54.47</v>
          </cell>
          <cell r="F8">
            <v>5.69</v>
          </cell>
          <cell r="G8">
            <v>60.16</v>
          </cell>
          <cell r="H8">
            <v>7</v>
          </cell>
          <cell r="I8">
            <v>16.170000000000002</v>
          </cell>
          <cell r="J8">
            <v>7</v>
          </cell>
          <cell r="K8">
            <v>16.7</v>
          </cell>
          <cell r="P8">
            <v>229</v>
          </cell>
          <cell r="Q8">
            <v>17.309999999999999</v>
          </cell>
          <cell r="R8">
            <v>17.71</v>
          </cell>
          <cell r="S8">
            <v>41.940799999999996</v>
          </cell>
          <cell r="T8">
            <v>97.741389045736867</v>
          </cell>
          <cell r="U8">
            <v>69.715425531914889</v>
          </cell>
          <cell r="V8">
            <v>40</v>
          </cell>
        </row>
        <row r="9">
          <cell r="B9">
            <v>49495</v>
          </cell>
          <cell r="C9" t="str">
            <v>I</v>
          </cell>
          <cell r="D9">
            <v>108</v>
          </cell>
          <cell r="E9">
            <v>55.57</v>
          </cell>
          <cell r="F9">
            <v>5.79</v>
          </cell>
          <cell r="G9">
            <v>61.36</v>
          </cell>
          <cell r="H9">
            <v>7</v>
          </cell>
          <cell r="I9">
            <v>15.98</v>
          </cell>
          <cell r="J9">
            <v>7</v>
          </cell>
          <cell r="K9">
            <v>16.43</v>
          </cell>
          <cell r="L9">
            <v>2</v>
          </cell>
          <cell r="M9">
            <v>16.760000000000002</v>
          </cell>
          <cell r="P9">
            <v>229</v>
          </cell>
          <cell r="Q9">
            <v>17.670000000000002</v>
          </cell>
          <cell r="R9">
            <v>17.899999999999999</v>
          </cell>
          <cell r="S9">
            <v>43.068200000000004</v>
          </cell>
          <cell r="T9">
            <v>98.715083798882702</v>
          </cell>
          <cell r="U9">
            <v>70.189374185136913</v>
          </cell>
          <cell r="V9">
            <v>39.5</v>
          </cell>
        </row>
        <row r="10">
          <cell r="B10">
            <v>49496</v>
          </cell>
          <cell r="C10" t="str">
            <v>A</v>
          </cell>
          <cell r="D10">
            <v>82</v>
          </cell>
          <cell r="E10">
            <v>42.21</v>
          </cell>
          <cell r="F10">
            <v>4.24</v>
          </cell>
          <cell r="G10">
            <v>46.45</v>
          </cell>
          <cell r="H10">
            <v>5</v>
          </cell>
          <cell r="I10">
            <v>16.43</v>
          </cell>
          <cell r="J10">
            <v>5</v>
          </cell>
          <cell r="K10">
            <v>16.86</v>
          </cell>
          <cell r="L10">
            <v>2</v>
          </cell>
          <cell r="M10">
            <v>17.190000000000001</v>
          </cell>
          <cell r="P10">
            <v>179</v>
          </cell>
          <cell r="Q10">
            <v>17.309999999999999</v>
          </cell>
          <cell r="R10">
            <v>17.84</v>
          </cell>
          <cell r="S10">
            <v>32.993199999999995</v>
          </cell>
          <cell r="T10">
            <v>97.029147982062767</v>
          </cell>
          <cell r="U10">
            <v>71.029494079655535</v>
          </cell>
          <cell r="V10">
            <v>40</v>
          </cell>
        </row>
        <row r="11">
          <cell r="B11">
            <v>49497</v>
          </cell>
          <cell r="C11" t="str">
            <v>E</v>
          </cell>
          <cell r="D11">
            <v>107</v>
          </cell>
          <cell r="E11">
            <v>55.18</v>
          </cell>
          <cell r="F11">
            <v>5.59</v>
          </cell>
          <cell r="G11">
            <v>60.769999999999996</v>
          </cell>
          <cell r="H11">
            <v>7</v>
          </cell>
          <cell r="I11">
            <v>16.59</v>
          </cell>
          <cell r="J11">
            <v>7</v>
          </cell>
          <cell r="K11">
            <v>16.78</v>
          </cell>
          <cell r="P11">
            <v>238</v>
          </cell>
          <cell r="Q11">
            <v>17.04</v>
          </cell>
          <cell r="S11">
            <v>42.891099999999994</v>
          </cell>
          <cell r="T11" t="e">
            <v>#DIV/0!</v>
          </cell>
          <cell r="U11">
            <v>70.57939772914267</v>
          </cell>
          <cell r="V11">
            <v>39.5</v>
          </cell>
        </row>
        <row r="12">
          <cell r="B12">
            <v>49498</v>
          </cell>
          <cell r="C12" t="str">
            <v>B</v>
          </cell>
          <cell r="D12">
            <v>82.5</v>
          </cell>
          <cell r="E12">
            <v>42.64</v>
          </cell>
          <cell r="F12">
            <v>4.09</v>
          </cell>
          <cell r="G12">
            <v>46.730000000000004</v>
          </cell>
          <cell r="H12">
            <v>5</v>
          </cell>
          <cell r="I12">
            <v>16.59</v>
          </cell>
          <cell r="J12">
            <v>5</v>
          </cell>
          <cell r="K12">
            <v>17.02</v>
          </cell>
          <cell r="P12">
            <v>177</v>
          </cell>
          <cell r="Q12">
            <v>17.8</v>
          </cell>
          <cell r="S12">
            <v>33.186500000000002</v>
          </cell>
          <cell r="T12" t="e">
            <v>#DIV/0!</v>
          </cell>
          <cell r="U12">
            <v>71.017547613952487</v>
          </cell>
          <cell r="V12">
            <v>41</v>
          </cell>
        </row>
        <row r="13">
          <cell r="B13">
            <v>49499</v>
          </cell>
          <cell r="C13" t="str">
            <v>H</v>
          </cell>
          <cell r="D13">
            <v>106</v>
          </cell>
          <cell r="E13">
            <v>54.73</v>
          </cell>
          <cell r="F13">
            <v>5.55</v>
          </cell>
          <cell r="G13">
            <v>60.279999999999994</v>
          </cell>
          <cell r="H13">
            <v>7</v>
          </cell>
          <cell r="I13">
            <v>16.28</v>
          </cell>
          <cell r="J13">
            <v>7</v>
          </cell>
          <cell r="K13">
            <v>16.68</v>
          </cell>
          <cell r="P13">
            <v>225</v>
          </cell>
          <cell r="Q13">
            <v>17.12</v>
          </cell>
          <cell r="S13">
            <v>40.827199999999998</v>
          </cell>
          <cell r="T13" t="e">
            <v>#DIV/0!</v>
          </cell>
          <cell r="U13">
            <v>67.729263437292644</v>
          </cell>
          <cell r="V13">
            <v>39.5</v>
          </cell>
        </row>
        <row r="14">
          <cell r="B14">
            <v>49500</v>
          </cell>
          <cell r="C14" t="str">
            <v>G</v>
          </cell>
          <cell r="D14">
            <v>106</v>
          </cell>
          <cell r="E14">
            <v>54.21</v>
          </cell>
          <cell r="F14">
            <v>5.56</v>
          </cell>
          <cell r="G14">
            <v>59.77</v>
          </cell>
          <cell r="H14">
            <v>7</v>
          </cell>
          <cell r="I14">
            <v>15.88</v>
          </cell>
          <cell r="J14">
            <v>7</v>
          </cell>
          <cell r="K14">
            <v>16.329999999999998</v>
          </cell>
          <cell r="P14">
            <v>233</v>
          </cell>
          <cell r="Q14">
            <v>17.059999999999999</v>
          </cell>
          <cell r="S14">
            <v>42.0045</v>
          </cell>
          <cell r="T14" t="e">
            <v>#DIV/0!</v>
          </cell>
          <cell r="U14">
            <v>70.276894763259151</v>
          </cell>
          <cell r="V14">
            <v>39</v>
          </cell>
        </row>
        <row r="15">
          <cell r="B15">
            <v>49501</v>
          </cell>
          <cell r="C15" t="str">
            <v>C</v>
          </cell>
          <cell r="D15">
            <v>82</v>
          </cell>
          <cell r="E15">
            <v>41.71</v>
          </cell>
          <cell r="F15">
            <v>4.0599999999999996</v>
          </cell>
          <cell r="G15">
            <v>45.77</v>
          </cell>
          <cell r="H15">
            <v>5</v>
          </cell>
          <cell r="I15">
            <v>16.09</v>
          </cell>
          <cell r="J15">
            <v>5</v>
          </cell>
          <cell r="K15">
            <v>16.510000000000002</v>
          </cell>
          <cell r="P15">
            <v>184</v>
          </cell>
          <cell r="Q15">
            <v>17.079999999999998</v>
          </cell>
          <cell r="S15">
            <v>33.057199999999995</v>
          </cell>
          <cell r="T15" t="e">
            <v>#DIV/0!</v>
          </cell>
          <cell r="U15">
            <v>72.224601267205585</v>
          </cell>
          <cell r="V15">
            <v>39</v>
          </cell>
        </row>
        <row r="16">
          <cell r="B16">
            <v>49502</v>
          </cell>
          <cell r="C16" t="str">
            <v>J</v>
          </cell>
          <cell r="D16" t="str">
            <v>Cut</v>
          </cell>
          <cell r="S16">
            <v>0</v>
          </cell>
          <cell r="T16" t="e">
            <v>#DIV/0!</v>
          </cell>
          <cell r="U16" t="e">
            <v>#DIV/0!</v>
          </cell>
        </row>
      </sheetData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H-10-05"/>
      <sheetName val="test"/>
      <sheetName val="CP test"/>
    </sheetNames>
    <sheetDataSet>
      <sheetData sheetId="0" refreshError="1"/>
      <sheetData sheetId="1">
        <row r="6">
          <cell r="B6">
            <v>49492</v>
          </cell>
          <cell r="G6">
            <v>59.089999999999996</v>
          </cell>
          <cell r="U6">
            <v>70.270096463022526</v>
          </cell>
        </row>
        <row r="7">
          <cell r="G7">
            <v>45.39</v>
          </cell>
          <cell r="U7">
            <v>70.304912976426536</v>
          </cell>
        </row>
        <row r="8">
          <cell r="G8">
            <v>60.16</v>
          </cell>
          <cell r="U8">
            <v>69.715425531914889</v>
          </cell>
        </row>
        <row r="9">
          <cell r="G9">
            <v>61.36</v>
          </cell>
          <cell r="U9">
            <v>70.189374185136913</v>
          </cell>
        </row>
        <row r="10">
          <cell r="G10">
            <v>46.45</v>
          </cell>
          <cell r="U10">
            <v>71.029494079655535</v>
          </cell>
        </row>
        <row r="11">
          <cell r="G11">
            <v>60.769999999999996</v>
          </cell>
          <cell r="U11">
            <v>70.57939772914267</v>
          </cell>
        </row>
        <row r="12">
          <cell r="G12">
            <v>46.730000000000004</v>
          </cell>
          <cell r="U12">
            <v>71.017547613952487</v>
          </cell>
        </row>
        <row r="13">
          <cell r="G13">
            <v>60.279999999999994</v>
          </cell>
          <cell r="U13">
            <v>67.729263437292644</v>
          </cell>
        </row>
        <row r="14">
          <cell r="G14">
            <v>59.77</v>
          </cell>
          <cell r="U14">
            <v>70.276894763259151</v>
          </cell>
        </row>
        <row r="15">
          <cell r="G15">
            <v>45.77</v>
          </cell>
          <cell r="U15">
            <v>72.224601267205585</v>
          </cell>
        </row>
        <row r="16">
          <cell r="U16" t="e">
            <v>#DIV/0!</v>
          </cell>
        </row>
      </sheetData>
      <sheetData sheetId="2" refreshError="1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Table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 refreshError="1">
        <row r="1">
          <cell r="F1" t="str">
            <v>SKKL-LYSINE S-JAR FERMENTATION REPORT  No.SKKL-82B</v>
          </cell>
        </row>
        <row r="2">
          <cell r="O2" t="str">
            <v xml:space="preserve">In charge </v>
          </cell>
        </row>
        <row r="3">
          <cell r="A3" t="str">
            <v>OBJECTIVE                  :</v>
          </cell>
          <cell r="C3" t="str">
            <v xml:space="preserve">To evaluate quality of SKKKL-E.coli No.10 transformants from each stock culture prepared for commercial production in TL plant </v>
          </cell>
          <cell r="O3" t="str">
            <v>Kobchai Porndussadeekul</v>
          </cell>
        </row>
        <row r="4">
          <cell r="C4" t="str">
            <v xml:space="preserve"> (1st Prep.) under production flow.</v>
          </cell>
        </row>
        <row r="5">
          <cell r="A5" t="str">
            <v>BACTERIAL STRAINS :</v>
          </cell>
          <cell r="C5" t="str">
            <v xml:space="preserve"> E.coli No.10-(5th week, innoculation of 2nd seed was 3 times increased )  : 1st preparation &gt; TF#1, 2, 3, 4, 5   </v>
          </cell>
          <cell r="O5" t="str">
            <v>Date: April 17,2002</v>
          </cell>
        </row>
        <row r="7">
          <cell r="A7" t="str">
            <v>CARBON-SOURCE       :</v>
          </cell>
          <cell r="C7" t="str">
            <v xml:space="preserve">  Glucose </v>
          </cell>
          <cell r="G7" t="str">
            <v xml:space="preserve">Remark  1)TF#7 is also a referent strain which was proved to be as good as the control culture under </v>
          </cell>
        </row>
        <row r="8">
          <cell r="A8" t="str">
            <v xml:space="preserve">NITROGEN-SOURCE    :                    </v>
          </cell>
          <cell r="C8" t="str">
            <v xml:space="preserve">  MN (TN)</v>
          </cell>
          <cell r="G8" t="str">
            <v xml:space="preserve">                     the production flow (BLD-2's).</v>
          </cell>
        </row>
        <row r="9">
          <cell r="A9" t="str">
            <v>TEST ITEMS :</v>
          </cell>
          <cell r="G9" t="str">
            <v xml:space="preserve">     2) 2nd seed growth of the TF#7 was low due to too high initial  pH (~7.4)</v>
          </cell>
        </row>
        <row r="10">
          <cell r="A10" t="str">
            <v>Jar No.</v>
          </cell>
          <cell r="B10" t="str">
            <v xml:space="preserve">Stock Culture </v>
          </cell>
          <cell r="D10" t="str">
            <v>2nd - seed CT</v>
          </cell>
          <cell r="I10" t="str">
            <v>Jar No.</v>
          </cell>
          <cell r="L10" t="str">
            <v>1</v>
          </cell>
          <cell r="M10" t="str">
            <v>2</v>
          </cell>
          <cell r="N10" t="str">
            <v>3</v>
          </cell>
          <cell r="O10" t="str">
            <v>4</v>
          </cell>
          <cell r="P10">
            <v>5</v>
          </cell>
          <cell r="Q10">
            <v>6</v>
          </cell>
        </row>
        <row r="12">
          <cell r="B12" t="str">
            <v>No.</v>
          </cell>
          <cell r="D12" t="str">
            <v>(hour)</v>
          </cell>
          <cell r="I12" t="str">
            <v xml:space="preserve">Initial Osmotic Pressure      </v>
          </cell>
          <cell r="K12" t="str">
            <v>(mOsm)</v>
          </cell>
        </row>
        <row r="13">
          <cell r="A13">
            <v>1</v>
          </cell>
          <cell r="B13" t="str">
            <v>BLD2's Control(02)</v>
          </cell>
          <cell r="D13">
            <v>18.5</v>
          </cell>
          <cell r="I13" t="str">
            <v>Start volume</v>
          </cell>
          <cell r="K13" t="str">
            <v>(ml)</v>
          </cell>
          <cell r="L13">
            <v>300</v>
          </cell>
          <cell r="M13">
            <v>300</v>
          </cell>
          <cell r="N13">
            <v>300</v>
          </cell>
          <cell r="O13">
            <v>300</v>
          </cell>
          <cell r="P13">
            <v>300</v>
          </cell>
          <cell r="Q13">
            <v>300</v>
          </cell>
        </row>
        <row r="14">
          <cell r="A14">
            <v>2</v>
          </cell>
          <cell r="B14" t="str">
            <v>BLD2's Control(02)</v>
          </cell>
          <cell r="D14">
            <v>18.5</v>
          </cell>
          <cell r="I14" t="str">
            <v>Initial Sugar</v>
          </cell>
          <cell r="K14" t="str">
            <v>(g/dl)</v>
          </cell>
          <cell r="L14">
            <v>2.4</v>
          </cell>
          <cell r="M14">
            <v>2.4</v>
          </cell>
          <cell r="N14">
            <v>2.4</v>
          </cell>
          <cell r="O14">
            <v>2.4700000000000002</v>
          </cell>
          <cell r="P14">
            <v>2.65</v>
          </cell>
          <cell r="Q14">
            <v>2.82</v>
          </cell>
        </row>
        <row r="15">
          <cell r="A15">
            <v>3</v>
          </cell>
          <cell r="B15" t="str">
            <v>TF#1</v>
          </cell>
          <cell r="D15">
            <v>19</v>
          </cell>
          <cell r="I15" t="str">
            <v>Feed Volume</v>
          </cell>
          <cell r="J15" t="str">
            <v/>
          </cell>
          <cell r="K15" t="str">
            <v>(ml)</v>
          </cell>
          <cell r="L15">
            <v>293</v>
          </cell>
          <cell r="M15">
            <v>285</v>
          </cell>
          <cell r="N15">
            <v>310</v>
          </cell>
          <cell r="O15">
            <v>319</v>
          </cell>
          <cell r="P15">
            <v>256</v>
          </cell>
          <cell r="Q15">
            <v>284</v>
          </cell>
        </row>
        <row r="16">
          <cell r="A16">
            <v>4</v>
          </cell>
          <cell r="B16" t="str">
            <v>TF#2</v>
          </cell>
          <cell r="D16">
            <v>17.5</v>
          </cell>
          <cell r="I16" t="str">
            <v>Feed sugar concentration</v>
          </cell>
          <cell r="K16" t="str">
            <v>(g/dl)</v>
          </cell>
          <cell r="L16">
            <v>46</v>
          </cell>
          <cell r="M16">
            <v>46</v>
          </cell>
          <cell r="N16">
            <v>46</v>
          </cell>
          <cell r="O16">
            <v>46</v>
          </cell>
          <cell r="P16">
            <v>46</v>
          </cell>
          <cell r="Q16">
            <v>46</v>
          </cell>
        </row>
        <row r="17">
          <cell r="A17">
            <v>5</v>
          </cell>
          <cell r="B17" t="str">
            <v>TF#3</v>
          </cell>
          <cell r="D17">
            <v>17.5</v>
          </cell>
          <cell r="I17" t="str">
            <v>BPD -  volume</v>
          </cell>
          <cell r="K17" t="str">
            <v>(ml)</v>
          </cell>
          <cell r="L17">
            <v>204</v>
          </cell>
          <cell r="M17">
            <v>195</v>
          </cell>
          <cell r="N17">
            <v>190</v>
          </cell>
          <cell r="O17">
            <v>225</v>
          </cell>
          <cell r="P17">
            <v>202</v>
          </cell>
          <cell r="Q17">
            <v>201</v>
          </cell>
        </row>
        <row r="18">
          <cell r="A18">
            <v>4</v>
          </cell>
          <cell r="B18" t="str">
            <v>TF#7</v>
          </cell>
          <cell r="D18">
            <v>21.5</v>
          </cell>
          <cell r="I18" t="str">
            <v>BO   -  volume</v>
          </cell>
          <cell r="K18" t="str">
            <v>(ml)</v>
          </cell>
          <cell r="L18">
            <v>365</v>
          </cell>
          <cell r="M18">
            <v>345</v>
          </cell>
          <cell r="N18">
            <v>369</v>
          </cell>
          <cell r="O18">
            <v>366</v>
          </cell>
          <cell r="P18">
            <v>363</v>
          </cell>
          <cell r="Q18">
            <v>361</v>
          </cell>
        </row>
        <row r="19">
          <cell r="I19" t="str">
            <v xml:space="preserve">Sample cut         </v>
          </cell>
          <cell r="K19" t="str">
            <v>(ml)</v>
          </cell>
          <cell r="L19">
            <v>27.6</v>
          </cell>
          <cell r="M19">
            <v>29.8</v>
          </cell>
          <cell r="N19">
            <v>28.3</v>
          </cell>
          <cell r="O19">
            <v>28.2</v>
          </cell>
          <cell r="P19">
            <v>33.9</v>
          </cell>
          <cell r="Q19">
            <v>22.3</v>
          </cell>
        </row>
        <row r="20">
          <cell r="I20" t="str">
            <v xml:space="preserve">Af-Vol     </v>
          </cell>
          <cell r="K20" t="str">
            <v>(ml)</v>
          </cell>
          <cell r="L20">
            <v>7</v>
          </cell>
          <cell r="M20">
            <v>4.5</v>
          </cell>
          <cell r="N20">
            <v>8</v>
          </cell>
          <cell r="O20">
            <v>8.5</v>
          </cell>
          <cell r="P20">
            <v>6.5</v>
          </cell>
          <cell r="Q20">
            <v>5</v>
          </cell>
        </row>
        <row r="21">
          <cell r="A21" t="str">
            <v>MEDIUM COMPOSITION:</v>
          </cell>
          <cell r="C21" t="str">
            <v>BLD-2 Flow</v>
          </cell>
          <cell r="I21" t="str">
            <v xml:space="preserve">BPD Lysine-HCl       </v>
          </cell>
          <cell r="J21" t="str">
            <v/>
          </cell>
          <cell r="K21" t="str">
            <v>(g/dl)</v>
          </cell>
          <cell r="L21">
            <v>13.8</v>
          </cell>
          <cell r="M21">
            <v>14.2</v>
          </cell>
          <cell r="N21">
            <v>12.4</v>
          </cell>
          <cell r="O21">
            <v>13.2</v>
          </cell>
          <cell r="P21">
            <v>11.8</v>
          </cell>
          <cell r="Q21">
            <v>14.2</v>
          </cell>
        </row>
        <row r="22">
          <cell r="A22" t="str">
            <v>Composition</v>
          </cell>
          <cell r="B22" t="str">
            <v>Unit</v>
          </cell>
          <cell r="C22" t="str">
            <v>2nd</v>
          </cell>
          <cell r="D22" t="str">
            <v>Main</v>
          </cell>
          <cell r="E22" t="str">
            <v>Feed</v>
          </cell>
          <cell r="I22" t="str">
            <v>BO   Lysine-HCl</v>
          </cell>
          <cell r="J22" t="str">
            <v/>
          </cell>
          <cell r="K22" t="str">
            <v>(g/dl)</v>
          </cell>
          <cell r="L22">
            <v>16.2</v>
          </cell>
          <cell r="M22">
            <v>17.2</v>
          </cell>
          <cell r="N22">
            <v>15.8</v>
          </cell>
          <cell r="O22">
            <v>16.600000000000001</v>
          </cell>
          <cell r="P22">
            <v>13</v>
          </cell>
          <cell r="Q22">
            <v>16.600000000000001</v>
          </cell>
        </row>
        <row r="23">
          <cell r="C23" t="str">
            <v>Seed</v>
          </cell>
          <cell r="D23" t="str">
            <v>Medium</v>
          </cell>
          <cell r="E23" t="str">
            <v>Medium</v>
          </cell>
          <cell r="I23" t="str">
            <v xml:space="preserve">BPD - DCW                </v>
          </cell>
          <cell r="K23" t="str">
            <v>(g/dl)</v>
          </cell>
          <cell r="L23">
            <v>1.214</v>
          </cell>
          <cell r="M23">
            <v>1.246</v>
          </cell>
          <cell r="N23">
            <v>1.252</v>
          </cell>
          <cell r="O23">
            <v>1.292</v>
          </cell>
          <cell r="P23">
            <v>1.226</v>
          </cell>
          <cell r="Q23">
            <v>1.1839999999999999</v>
          </cell>
        </row>
        <row r="24">
          <cell r="A24" t="str">
            <v>Glucose</v>
          </cell>
          <cell r="B24" t="str">
            <v xml:space="preserve"> g/dl</v>
          </cell>
          <cell r="C24">
            <v>4</v>
          </cell>
          <cell r="D24">
            <v>2</v>
          </cell>
          <cell r="E24">
            <v>45</v>
          </cell>
          <cell r="I24" t="str">
            <v xml:space="preserve">B0   - DCW                </v>
          </cell>
          <cell r="K24" t="str">
            <v>(g/dl)</v>
          </cell>
          <cell r="L24">
            <v>1.1879999999999999</v>
          </cell>
          <cell r="M24">
            <v>1.252</v>
          </cell>
          <cell r="N24">
            <v>1.226</v>
          </cell>
          <cell r="O24">
            <v>1.232</v>
          </cell>
          <cell r="P24">
            <v>1.202</v>
          </cell>
          <cell r="Q24">
            <v>1.1659999999999999</v>
          </cell>
        </row>
        <row r="25">
          <cell r="A25" t="str">
            <v>Sucrose</v>
          </cell>
          <cell r="B25" t="str">
            <v xml:space="preserve"> g/dl</v>
          </cell>
          <cell r="C25" t="str">
            <v>-</v>
          </cell>
          <cell r="D25" t="str">
            <v>-</v>
          </cell>
          <cell r="E25" t="str">
            <v>-</v>
          </cell>
          <cell r="I25" t="str">
            <v xml:space="preserve">RS                 </v>
          </cell>
          <cell r="K25" t="str">
            <v>(g/dl)</v>
          </cell>
          <cell r="L25">
            <v>0.9</v>
          </cell>
          <cell r="M25">
            <v>0.9</v>
          </cell>
          <cell r="N25">
            <v>0.9</v>
          </cell>
          <cell r="O25">
            <v>0.9</v>
          </cell>
          <cell r="P25">
            <v>0.75</v>
          </cell>
          <cell r="Q25">
            <v>0.9</v>
          </cell>
          <cell r="R25" t="str">
            <v/>
          </cell>
        </row>
        <row r="26">
          <cell r="A26" t="str">
            <v>H3PO4</v>
          </cell>
          <cell r="B26" t="str">
            <v xml:space="preserve"> g/dl</v>
          </cell>
          <cell r="C26" t="str">
            <v>-</v>
          </cell>
          <cell r="D26" t="str">
            <v>-</v>
          </cell>
          <cell r="E26">
            <v>6.2E-2</v>
          </cell>
          <cell r="I26" t="str">
            <v>Culture time</v>
          </cell>
          <cell r="K26" t="str">
            <v>(hr)</v>
          </cell>
          <cell r="L26">
            <v>44.5</v>
          </cell>
          <cell r="M26">
            <v>44.5</v>
          </cell>
          <cell r="N26">
            <v>44.5</v>
          </cell>
          <cell r="O26">
            <v>44.5</v>
          </cell>
          <cell r="P26">
            <v>44.5</v>
          </cell>
          <cell r="Q26">
            <v>44.5</v>
          </cell>
        </row>
        <row r="27">
          <cell r="A27" t="str">
            <v>KH2PO4</v>
          </cell>
          <cell r="B27" t="str">
            <v xml:space="preserve"> g/dl</v>
          </cell>
          <cell r="C27">
            <v>0.1</v>
          </cell>
          <cell r="D27">
            <v>0.12</v>
          </cell>
          <cell r="E27" t="str">
            <v>-</v>
          </cell>
          <cell r="I27" t="str">
            <v>Contamination check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</row>
        <row r="28">
          <cell r="A28" t="str">
            <v>MgSO4.7H2O</v>
          </cell>
          <cell r="B28" t="str">
            <v xml:space="preserve"> g/dl</v>
          </cell>
          <cell r="C28">
            <v>0.1</v>
          </cell>
          <cell r="D28">
            <v>0.1</v>
          </cell>
          <cell r="E28" t="str">
            <v>-</v>
          </cell>
        </row>
        <row r="29">
          <cell r="A29" t="str">
            <v>FeSO4.7H2O</v>
          </cell>
          <cell r="B29" t="str">
            <v xml:space="preserve"> g/dl</v>
          </cell>
          <cell r="C29">
            <v>1E-3</v>
          </cell>
          <cell r="D29">
            <v>3.0000000000000001E-3</v>
          </cell>
          <cell r="E29" t="str">
            <v>-</v>
          </cell>
          <cell r="I29" t="str">
            <v>Corrected BO volume  (ml)</v>
          </cell>
          <cell r="L29">
            <v>385.7</v>
          </cell>
          <cell r="M29">
            <v>367.35</v>
          </cell>
          <cell r="N29">
            <v>390.22500000000002</v>
          </cell>
          <cell r="O29">
            <v>387.15</v>
          </cell>
          <cell r="P29">
            <v>388.42500000000001</v>
          </cell>
          <cell r="Q29">
            <v>377.72500000000002</v>
          </cell>
        </row>
        <row r="30">
          <cell r="A30" t="str">
            <v>MnSO4.4H2O</v>
          </cell>
          <cell r="B30" t="str">
            <v xml:space="preserve"> g/dl</v>
          </cell>
          <cell r="C30">
            <v>1E-3</v>
          </cell>
          <cell r="D30">
            <v>3.0000000000000001E-3</v>
          </cell>
          <cell r="E30" t="str">
            <v>-</v>
          </cell>
          <cell r="I30" t="str">
            <v>Evaporation ratio</v>
          </cell>
          <cell r="K30" t="str">
            <v>(%)</v>
          </cell>
          <cell r="L30">
            <v>99.406009783368276</v>
          </cell>
          <cell r="M30">
            <v>96.480257280686075</v>
          </cell>
          <cell r="N30">
            <v>94.793963032050186</v>
          </cell>
          <cell r="O30">
            <v>98.615050892708169</v>
          </cell>
          <cell r="P30">
            <v>106.88611426409382</v>
          </cell>
          <cell r="Q30">
            <v>99.170637021351681</v>
          </cell>
        </row>
        <row r="31">
          <cell r="A31" t="str">
            <v>NH4OH</v>
          </cell>
          <cell r="B31" t="str">
            <v xml:space="preserve"> g/dl</v>
          </cell>
          <cell r="C31" t="str">
            <v>pH Adjust.</v>
          </cell>
          <cell r="D31" t="str">
            <v>pH Adjust.</v>
          </cell>
          <cell r="E31" t="str">
            <v>-</v>
          </cell>
          <cell r="I31" t="str">
            <v xml:space="preserve">Total sugar        </v>
          </cell>
          <cell r="K31" t="str">
            <v>(g/B)</v>
          </cell>
          <cell r="L31">
            <v>141.97999999999999</v>
          </cell>
          <cell r="M31">
            <v>138.29999999999998</v>
          </cell>
          <cell r="N31">
            <v>149.79999999999998</v>
          </cell>
          <cell r="O31">
            <v>154.15</v>
          </cell>
          <cell r="P31">
            <v>125.71000000000001</v>
          </cell>
          <cell r="Q31">
            <v>139.1</v>
          </cell>
        </row>
        <row r="32">
          <cell r="A32" t="str">
            <v>(NH4)2SO4</v>
          </cell>
          <cell r="B32" t="str">
            <v xml:space="preserve"> g/dl</v>
          </cell>
          <cell r="C32">
            <v>0.8</v>
          </cell>
          <cell r="D32">
            <v>1</v>
          </cell>
          <cell r="E32">
            <v>9.07</v>
          </cell>
        </row>
        <row r="33">
          <cell r="A33" t="str">
            <v>Mameno (TN)</v>
          </cell>
          <cell r="B33" t="str">
            <v xml:space="preserve"> mg/dl</v>
          </cell>
          <cell r="C33">
            <v>60</v>
          </cell>
          <cell r="D33" t="str">
            <v>40(STD)</v>
          </cell>
          <cell r="E33" t="str">
            <v>-</v>
          </cell>
          <cell r="I33" t="str">
            <v>Lysine-HCl</v>
          </cell>
          <cell r="K33" t="str">
            <v>(g/B)</v>
          </cell>
          <cell r="L33">
            <v>90.63539999999999</v>
          </cell>
          <cell r="M33">
            <v>90.874200000000002</v>
          </cell>
          <cell r="N33">
            <v>85.215550000000007</v>
          </cell>
          <cell r="O33">
            <v>93.96690000000001</v>
          </cell>
          <cell r="P33">
            <v>74.331250000000011</v>
          </cell>
          <cell r="Q33">
            <v>91.244349999999997</v>
          </cell>
        </row>
        <row r="34">
          <cell r="A34" t="str">
            <v>Yeast Extract</v>
          </cell>
          <cell r="B34" t="str">
            <v>g/dl</v>
          </cell>
          <cell r="C34" t="str">
            <v>-</v>
          </cell>
          <cell r="D34" t="str">
            <v>-</v>
          </cell>
          <cell r="E34" t="str">
            <v>-</v>
          </cell>
          <cell r="I34" t="str">
            <v>&lt;including sugar for seed&gt;</v>
          </cell>
          <cell r="L34">
            <v>63.093638663382798</v>
          </cell>
          <cell r="M34">
            <v>64.923034716893795</v>
          </cell>
          <cell r="N34">
            <v>56.258211077676314</v>
          </cell>
          <cell r="O34">
            <v>60.303923317730082</v>
          </cell>
          <cell r="P34">
            <v>58.352933141365128</v>
          </cell>
          <cell r="Q34">
            <v>64.817023531634803</v>
          </cell>
        </row>
        <row r="35">
          <cell r="A35" t="str">
            <v>Threonine</v>
          </cell>
          <cell r="B35" t="str">
            <v xml:space="preserve"> mg/dl</v>
          </cell>
          <cell r="C35">
            <v>30</v>
          </cell>
          <cell r="D35" t="str">
            <v>-</v>
          </cell>
          <cell r="E35">
            <v>43</v>
          </cell>
        </row>
        <row r="36">
          <cell r="A36" t="str">
            <v>Threonine</v>
          </cell>
          <cell r="B36" t="str">
            <v xml:space="preserve">mg/dl </v>
          </cell>
          <cell r="C36">
            <v>30</v>
          </cell>
          <cell r="D36" t="str">
            <v>-</v>
          </cell>
          <cell r="E36">
            <v>43</v>
          </cell>
          <cell r="I36" t="str">
            <v>Lysine-HCl yield</v>
          </cell>
          <cell r="K36" t="str">
            <v xml:space="preserve">(%) </v>
          </cell>
          <cell r="L36">
            <v>63.836737568671644</v>
          </cell>
          <cell r="M36">
            <v>65.708026030368771</v>
          </cell>
          <cell r="N36">
            <v>56.886214953271043</v>
          </cell>
          <cell r="O36">
            <v>60.958092766785597</v>
          </cell>
          <cell r="P36">
            <v>59.129146448174374</v>
          </cell>
          <cell r="Q36">
            <v>65.596225736879944</v>
          </cell>
        </row>
        <row r="37">
          <cell r="A37" t="str">
            <v>Methionine</v>
          </cell>
          <cell r="B37" t="str">
            <v xml:space="preserve"> mg/dl</v>
          </cell>
          <cell r="C37" t="str">
            <v>-</v>
          </cell>
          <cell r="D37" t="str">
            <v>-</v>
          </cell>
          <cell r="E37" t="str">
            <v>-</v>
          </cell>
          <cell r="I37" t="str">
            <v>Lysine-HCl yield</v>
          </cell>
          <cell r="K37" t="str">
            <v>(%)</v>
          </cell>
          <cell r="L37">
            <v>63.836737568671644</v>
          </cell>
          <cell r="M37">
            <v>65.708026030368771</v>
          </cell>
          <cell r="N37">
            <v>56.886214953271043</v>
          </cell>
          <cell r="O37">
            <v>60.958092766785597</v>
          </cell>
          <cell r="P37">
            <v>59.129146448174374</v>
          </cell>
          <cell r="Q37">
            <v>65.596225736879944</v>
          </cell>
        </row>
        <row r="38">
          <cell r="A38" t="str">
            <v>Nicotinamide</v>
          </cell>
          <cell r="B38" t="str">
            <v xml:space="preserve"> mg/dl</v>
          </cell>
          <cell r="C38" t="str">
            <v>-</v>
          </cell>
          <cell r="D38" t="str">
            <v>-</v>
          </cell>
          <cell r="E38" t="str">
            <v>-</v>
          </cell>
        </row>
        <row r="39">
          <cell r="A39" t="str">
            <v>PABA</v>
          </cell>
          <cell r="B39" t="str">
            <v xml:space="preserve"> mg/l</v>
          </cell>
          <cell r="C39">
            <v>2</v>
          </cell>
          <cell r="D39" t="str">
            <v>-</v>
          </cell>
          <cell r="E39" t="str">
            <v>-</v>
          </cell>
          <cell r="I39" t="str">
            <v xml:space="preserve">DCW                </v>
          </cell>
          <cell r="K39" t="str">
            <v>(g/B)</v>
          </cell>
          <cell r="L39">
            <v>7.0586760000000002</v>
          </cell>
          <cell r="M39">
            <v>7.0289219999999997</v>
          </cell>
          <cell r="N39">
            <v>7.1629585000000002</v>
          </cell>
          <cell r="O39">
            <v>7.6766879999999995</v>
          </cell>
          <cell r="P39">
            <v>7.1453884999999993</v>
          </cell>
          <cell r="Q39">
            <v>6.7841134999999992</v>
          </cell>
        </row>
        <row r="40">
          <cell r="A40" t="str">
            <v>Antifoam &lt;GD-113&gt;</v>
          </cell>
          <cell r="B40" t="str">
            <v xml:space="preserve"> ml/dl</v>
          </cell>
          <cell r="C40">
            <v>0.01</v>
          </cell>
          <cell r="D40">
            <v>0.01</v>
          </cell>
          <cell r="E40">
            <v>0.01</v>
          </cell>
          <cell r="I40" t="str">
            <v>&lt;including sugar for seed&gt;</v>
          </cell>
          <cell r="L40">
            <v>4.9137263473862571</v>
          </cell>
          <cell r="M40">
            <v>5.0216557287804298</v>
          </cell>
          <cell r="N40">
            <v>4.7288931566320427</v>
          </cell>
          <cell r="O40">
            <v>4.9265688714445046</v>
          </cell>
          <cell r="P40">
            <v>5.6094089284060091</v>
          </cell>
          <cell r="Q40">
            <v>4.8192139499134052</v>
          </cell>
        </row>
        <row r="41">
          <cell r="A41" t="str">
            <v>Amix(U.S.A)</v>
          </cell>
          <cell r="B41" t="str">
            <v xml:space="preserve"> ml/dl</v>
          </cell>
          <cell r="C41" t="str">
            <v>-</v>
          </cell>
          <cell r="D41">
            <v>3</v>
          </cell>
          <cell r="E41" t="str">
            <v>-</v>
          </cell>
          <cell r="I41" t="str">
            <v xml:space="preserve">DCW yield               </v>
          </cell>
          <cell r="K41" t="str">
            <v xml:space="preserve">(%) </v>
          </cell>
          <cell r="L41">
            <v>4.971598816734752</v>
          </cell>
          <cell r="M41">
            <v>5.0823731019522782</v>
          </cell>
          <cell r="N41">
            <v>4.7816812416555416</v>
          </cell>
          <cell r="O41">
            <v>4.9800116769380471</v>
          </cell>
          <cell r="P41">
            <v>5.6840255349614184</v>
          </cell>
          <cell r="Q41">
            <v>4.8771484543493884</v>
          </cell>
        </row>
        <row r="43">
          <cell r="A43" t="str">
            <v>Condition</v>
          </cell>
          <cell r="B43" t="str">
            <v>1st Seed</v>
          </cell>
          <cell r="D43" t="str">
            <v>2nd Seed</v>
          </cell>
          <cell r="F43" t="str">
            <v>Main</v>
          </cell>
          <cell r="I43" t="str">
            <v xml:space="preserve">L/K                </v>
          </cell>
          <cell r="K43" t="str">
            <v/>
          </cell>
          <cell r="L43">
            <v>12.840283361922262</v>
          </cell>
          <cell r="M43">
            <v>12.928611243658702</v>
          </cell>
          <cell r="N43">
            <v>11.896697433050884</v>
          </cell>
          <cell r="O43">
            <v>12.240552175625741</v>
          </cell>
          <cell r="P43">
            <v>10.402688391261023</v>
          </cell>
          <cell r="Q43">
            <v>13.449708646531342</v>
          </cell>
        </row>
        <row r="44">
          <cell r="A44" t="str">
            <v>Antifoam (type)</v>
          </cell>
          <cell r="B44" t="str">
            <v>GD-113</v>
          </cell>
          <cell r="D44" t="str">
            <v>GD-113</v>
          </cell>
          <cell r="F44" t="str">
            <v>GD-113</v>
          </cell>
        </row>
        <row r="45">
          <cell r="A45" t="str">
            <v>pH adjustment</v>
          </cell>
          <cell r="B45" t="str">
            <v>6.5 &lt;KOH&gt;</v>
          </cell>
          <cell r="D45" t="str">
            <v>6.0 &lt;NH4OH&gt;</v>
          </cell>
          <cell r="F45" t="str">
            <v>Med.B : 5.0 &lt;NH4OH&gt;</v>
          </cell>
          <cell r="I45" t="str">
            <v xml:space="preserve">L/K/CT                 </v>
          </cell>
          <cell r="K45" t="str">
            <v/>
          </cell>
          <cell r="L45">
            <v>0.28854569352634296</v>
          </cell>
          <cell r="M45">
            <v>0.2905305897451394</v>
          </cell>
          <cell r="N45">
            <v>0.26734151534945805</v>
          </cell>
          <cell r="O45">
            <v>0.27506858821630881</v>
          </cell>
          <cell r="P45">
            <v>0.2337682784553039</v>
          </cell>
          <cell r="Q45">
            <v>0.30224064374227733</v>
          </cell>
        </row>
        <row r="46">
          <cell r="A46" t="str">
            <v>Inoculum(ml)</v>
          </cell>
          <cell r="B46" t="str">
            <v>0.30 (PS OD=0.08)</v>
          </cell>
          <cell r="D46" t="str">
            <v>7.0 **(5th week-1st seed)</v>
          </cell>
          <cell r="F46">
            <v>40.799999999999997</v>
          </cell>
        </row>
        <row r="47">
          <cell r="A47" t="str">
            <v>Initial Volume (ml)</v>
          </cell>
          <cell r="B47">
            <v>300</v>
          </cell>
          <cell r="D47">
            <v>300</v>
          </cell>
          <cell r="F47">
            <v>300</v>
          </cell>
          <cell r="I47" t="str">
            <v xml:space="preserve">T/K                </v>
          </cell>
          <cell r="K47" t="str">
            <v/>
          </cell>
          <cell r="L47">
            <v>20.114253721236107</v>
          </cell>
          <cell r="M47">
            <v>19.675847875392556</v>
          </cell>
          <cell r="N47">
            <v>20.913146432441284</v>
          </cell>
          <cell r="O47">
            <v>20.080274201582768</v>
          </cell>
          <cell r="P47">
            <v>17.593165158199589</v>
          </cell>
          <cell r="Q47">
            <v>20.503784319056575</v>
          </cell>
        </row>
        <row r="48">
          <cell r="A48" t="str">
            <v>End OD ( x 26 )</v>
          </cell>
          <cell r="B48">
            <v>0.46</v>
          </cell>
          <cell r="D48">
            <v>0.39500000000000002</v>
          </cell>
        </row>
        <row r="49">
          <cell r="A49" t="str">
            <v>Sterilization (C,min)</v>
          </cell>
          <cell r="B49" t="str">
            <v>120 , 20</v>
          </cell>
          <cell r="D49" t="str">
            <v>120 , 20</v>
          </cell>
          <cell r="F49" t="str">
            <v>120 , 20</v>
          </cell>
          <cell r="I49" t="str">
            <v xml:space="preserve">T/K/CT                    </v>
          </cell>
          <cell r="K49" t="str">
            <v/>
          </cell>
          <cell r="L49">
            <v>0.45200570160081138</v>
          </cell>
          <cell r="M49">
            <v>0.44215388484028217</v>
          </cell>
          <cell r="N49">
            <v>0.46995834679643333</v>
          </cell>
          <cell r="O49">
            <v>0.45124211688950039</v>
          </cell>
          <cell r="P49">
            <v>0.39535202602695707</v>
          </cell>
          <cell r="Q49">
            <v>0.4607591981810466</v>
          </cell>
        </row>
        <row r="50">
          <cell r="A50" t="str">
            <v>Cultivation Temp.(C)</v>
          </cell>
          <cell r="B50">
            <v>37</v>
          </cell>
          <cell r="D50">
            <v>37</v>
          </cell>
          <cell r="F50">
            <v>37</v>
          </cell>
        </row>
        <row r="51">
          <cell r="A51" t="str">
            <v>Aeration (vvm)</v>
          </cell>
          <cell r="B51">
            <v>0.5</v>
          </cell>
          <cell r="D51">
            <v>0.5</v>
          </cell>
          <cell r="F51" t="str">
            <v>1/2 ----&gt; 1</v>
          </cell>
          <cell r="I51" t="str">
            <v xml:space="preserve">TS/CT                        </v>
          </cell>
          <cell r="K51" t="str">
            <v/>
          </cell>
          <cell r="L51">
            <v>3.1905617977528089</v>
          </cell>
          <cell r="M51">
            <v>3.1078651685393255</v>
          </cell>
          <cell r="N51">
            <v>3.3662921348314603</v>
          </cell>
          <cell r="O51">
            <v>3.464044943820225</v>
          </cell>
          <cell r="P51">
            <v>2.8249438202247195</v>
          </cell>
          <cell r="Q51">
            <v>3.1258426966292134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 refreshError="1">
        <row r="1">
          <cell r="F1" t="str">
            <v>SKKL-LYSINE S-JAR FERMENTATION REPORT  No.SKKL-82B</v>
          </cell>
        </row>
        <row r="2">
          <cell r="O2" t="str">
            <v xml:space="preserve">In charge </v>
          </cell>
        </row>
        <row r="3">
          <cell r="A3" t="str">
            <v>OBJECTIVE                  :</v>
          </cell>
          <cell r="C3" t="str">
            <v xml:space="preserve">To evaluate quality of SKKKL-E.coli No.10 transformants from each stock culture prepared for commercial production in TL plant </v>
          </cell>
          <cell r="O3" t="str">
            <v>Kobchai Porndussadeekul</v>
          </cell>
        </row>
        <row r="4">
          <cell r="C4" t="str">
            <v xml:space="preserve"> (1st Prep.) under production flow.</v>
          </cell>
        </row>
        <row r="5">
          <cell r="A5" t="str">
            <v>BACTERIAL STRAINS :</v>
          </cell>
          <cell r="C5" t="str">
            <v xml:space="preserve"> E.coli No.10-(5th week, innoculation of 2nd seed was 3 times increased )  : 1st preparation &gt; TF#1, 2, 3, 4, 5   </v>
          </cell>
          <cell r="O5" t="str">
            <v>Date: April 17,2002</v>
          </cell>
        </row>
        <row r="7">
          <cell r="A7" t="str">
            <v>CARBON-SOURCE       :</v>
          </cell>
          <cell r="C7" t="str">
            <v xml:space="preserve">  Glucose </v>
          </cell>
          <cell r="G7" t="str">
            <v xml:space="preserve">Remark  1)TF#7 is also a referent strain which was proved to be as good as the control culture under </v>
          </cell>
        </row>
        <row r="8">
          <cell r="A8" t="str">
            <v xml:space="preserve">NITROGEN-SOURCE    :                    </v>
          </cell>
          <cell r="C8" t="str">
            <v xml:space="preserve">  MN (TN)</v>
          </cell>
          <cell r="G8" t="str">
            <v xml:space="preserve">                     the production flow (BLD-2's).</v>
          </cell>
        </row>
        <row r="9">
          <cell r="A9" t="str">
            <v>TEST ITEMS :</v>
          </cell>
          <cell r="G9" t="str">
            <v xml:space="preserve">     2) 2nd seed growth of the TF#7 was low due to too high initial  pH (~7.4)</v>
          </cell>
        </row>
        <row r="10">
          <cell r="A10" t="str">
            <v>Jar No.</v>
          </cell>
          <cell r="B10" t="str">
            <v xml:space="preserve">Stock Culture </v>
          </cell>
          <cell r="D10" t="str">
            <v>2nd - seed CT</v>
          </cell>
          <cell r="I10" t="str">
            <v>Jar No.</v>
          </cell>
          <cell r="L10" t="str">
            <v>1</v>
          </cell>
          <cell r="M10" t="str">
            <v>2</v>
          </cell>
          <cell r="N10" t="str">
            <v>3</v>
          </cell>
          <cell r="O10" t="str">
            <v>4</v>
          </cell>
          <cell r="P10">
            <v>5</v>
          </cell>
          <cell r="Q10">
            <v>6</v>
          </cell>
        </row>
        <row r="12">
          <cell r="B12" t="str">
            <v>No.</v>
          </cell>
          <cell r="D12" t="str">
            <v>(hour)</v>
          </cell>
          <cell r="I12" t="str">
            <v xml:space="preserve">Initial Osmotic Pressure      </v>
          </cell>
          <cell r="K12" t="str">
            <v>(mOsm)</v>
          </cell>
        </row>
        <row r="13">
          <cell r="A13">
            <v>1</v>
          </cell>
          <cell r="B13" t="str">
            <v>BLD2's Control(02)</v>
          </cell>
          <cell r="D13">
            <v>18.5</v>
          </cell>
          <cell r="I13" t="str">
            <v>Start volume</v>
          </cell>
          <cell r="K13" t="str">
            <v>(ml)</v>
          </cell>
          <cell r="L13">
            <v>300</v>
          </cell>
          <cell r="M13">
            <v>300</v>
          </cell>
          <cell r="N13">
            <v>300</v>
          </cell>
          <cell r="O13">
            <v>300</v>
          </cell>
          <cell r="P13">
            <v>300</v>
          </cell>
          <cell r="Q13">
            <v>300</v>
          </cell>
        </row>
        <row r="14">
          <cell r="A14">
            <v>2</v>
          </cell>
          <cell r="B14" t="str">
            <v>BLD2's Control(02)</v>
          </cell>
          <cell r="D14">
            <v>18.5</v>
          </cell>
          <cell r="I14" t="str">
            <v>Initial Sugar</v>
          </cell>
          <cell r="K14" t="str">
            <v>(g/dl)</v>
          </cell>
          <cell r="L14">
            <v>2.4</v>
          </cell>
          <cell r="M14">
            <v>2.4</v>
          </cell>
          <cell r="N14">
            <v>2.4</v>
          </cell>
          <cell r="O14">
            <v>2.4700000000000002</v>
          </cell>
          <cell r="P14">
            <v>2.65</v>
          </cell>
          <cell r="Q14">
            <v>2.82</v>
          </cell>
        </row>
        <row r="15">
          <cell r="A15">
            <v>3</v>
          </cell>
          <cell r="B15" t="str">
            <v>TF#1</v>
          </cell>
          <cell r="D15">
            <v>19</v>
          </cell>
          <cell r="I15" t="str">
            <v>Feed Volume</v>
          </cell>
          <cell r="J15" t="str">
            <v/>
          </cell>
          <cell r="K15" t="str">
            <v>(ml)</v>
          </cell>
          <cell r="L15">
            <v>293</v>
          </cell>
          <cell r="M15">
            <v>285</v>
          </cell>
          <cell r="N15">
            <v>310</v>
          </cell>
          <cell r="O15">
            <v>319</v>
          </cell>
          <cell r="P15">
            <v>256</v>
          </cell>
          <cell r="Q15">
            <v>284</v>
          </cell>
        </row>
        <row r="16">
          <cell r="A16">
            <v>4</v>
          </cell>
          <cell r="B16" t="str">
            <v>TF#2</v>
          </cell>
          <cell r="D16">
            <v>17.5</v>
          </cell>
          <cell r="I16" t="str">
            <v>Feed sugar concentration</v>
          </cell>
          <cell r="K16" t="str">
            <v>(g/dl)</v>
          </cell>
          <cell r="L16">
            <v>46</v>
          </cell>
          <cell r="M16">
            <v>46</v>
          </cell>
          <cell r="N16">
            <v>46</v>
          </cell>
          <cell r="O16">
            <v>46</v>
          </cell>
          <cell r="P16">
            <v>46</v>
          </cell>
          <cell r="Q16">
            <v>46</v>
          </cell>
        </row>
        <row r="17">
          <cell r="A17">
            <v>5</v>
          </cell>
          <cell r="B17" t="str">
            <v>TF#3</v>
          </cell>
          <cell r="D17">
            <v>17.5</v>
          </cell>
          <cell r="I17" t="str">
            <v>BPD -  volume</v>
          </cell>
          <cell r="K17" t="str">
            <v>(ml)</v>
          </cell>
          <cell r="L17">
            <v>204</v>
          </cell>
          <cell r="M17">
            <v>195</v>
          </cell>
          <cell r="N17">
            <v>190</v>
          </cell>
          <cell r="O17">
            <v>225</v>
          </cell>
          <cell r="P17">
            <v>202</v>
          </cell>
          <cell r="Q17">
            <v>201</v>
          </cell>
        </row>
        <row r="18">
          <cell r="A18">
            <v>4</v>
          </cell>
          <cell r="B18" t="str">
            <v>TF#7</v>
          </cell>
          <cell r="D18">
            <v>21.5</v>
          </cell>
          <cell r="I18" t="str">
            <v>BO   -  volume</v>
          </cell>
          <cell r="K18" t="str">
            <v>(ml)</v>
          </cell>
          <cell r="L18">
            <v>365</v>
          </cell>
          <cell r="M18">
            <v>345</v>
          </cell>
          <cell r="N18">
            <v>369</v>
          </cell>
          <cell r="O18">
            <v>366</v>
          </cell>
          <cell r="P18">
            <v>363</v>
          </cell>
          <cell r="Q18">
            <v>361</v>
          </cell>
        </row>
        <row r="19">
          <cell r="I19" t="str">
            <v xml:space="preserve">Sample cut         </v>
          </cell>
          <cell r="K19" t="str">
            <v>(ml)</v>
          </cell>
          <cell r="L19">
            <v>27.6</v>
          </cell>
          <cell r="M19">
            <v>29.8</v>
          </cell>
          <cell r="N19">
            <v>28.3</v>
          </cell>
          <cell r="O19">
            <v>28.2</v>
          </cell>
          <cell r="P19">
            <v>33.9</v>
          </cell>
          <cell r="Q19">
            <v>22.3</v>
          </cell>
        </row>
        <row r="20">
          <cell r="I20" t="str">
            <v xml:space="preserve">Af-Vol     </v>
          </cell>
          <cell r="K20" t="str">
            <v>(ml)</v>
          </cell>
          <cell r="L20">
            <v>7</v>
          </cell>
          <cell r="M20">
            <v>4.5</v>
          </cell>
          <cell r="N20">
            <v>8</v>
          </cell>
          <cell r="O20">
            <v>8.5</v>
          </cell>
          <cell r="P20">
            <v>6.5</v>
          </cell>
          <cell r="Q20">
            <v>5</v>
          </cell>
        </row>
        <row r="21">
          <cell r="A21" t="str">
            <v>MEDIUM COMPOSITION:</v>
          </cell>
          <cell r="C21" t="str">
            <v>BLD-2 Flow</v>
          </cell>
          <cell r="I21" t="str">
            <v xml:space="preserve">BPD Lysine-HCl       </v>
          </cell>
          <cell r="J21" t="str">
            <v/>
          </cell>
          <cell r="K21" t="str">
            <v>(g/dl)</v>
          </cell>
          <cell r="L21">
            <v>13.8</v>
          </cell>
          <cell r="M21">
            <v>14.2</v>
          </cell>
          <cell r="N21">
            <v>12.4</v>
          </cell>
          <cell r="O21">
            <v>13.2</v>
          </cell>
          <cell r="P21">
            <v>11.8</v>
          </cell>
          <cell r="Q21">
            <v>14.2</v>
          </cell>
        </row>
        <row r="22">
          <cell r="A22" t="str">
            <v>Composition</v>
          </cell>
          <cell r="B22" t="str">
            <v>Unit</v>
          </cell>
          <cell r="C22" t="str">
            <v>2nd</v>
          </cell>
          <cell r="D22" t="str">
            <v>Main</v>
          </cell>
          <cell r="E22" t="str">
            <v>Feed</v>
          </cell>
          <cell r="I22" t="str">
            <v>BO   Lysine-HCl</v>
          </cell>
          <cell r="J22" t="str">
            <v/>
          </cell>
          <cell r="K22" t="str">
            <v>(g/dl)</v>
          </cell>
          <cell r="L22">
            <v>16.2</v>
          </cell>
          <cell r="M22">
            <v>17.2</v>
          </cell>
          <cell r="N22">
            <v>15.8</v>
          </cell>
          <cell r="O22">
            <v>16.600000000000001</v>
          </cell>
          <cell r="P22">
            <v>13</v>
          </cell>
          <cell r="Q22">
            <v>16.600000000000001</v>
          </cell>
        </row>
        <row r="23">
          <cell r="C23" t="str">
            <v>Seed</v>
          </cell>
          <cell r="D23" t="str">
            <v>Medium</v>
          </cell>
          <cell r="E23" t="str">
            <v>Medium</v>
          </cell>
          <cell r="I23" t="str">
            <v xml:space="preserve">BPD - DCW                </v>
          </cell>
          <cell r="K23" t="str">
            <v>(g/dl)</v>
          </cell>
          <cell r="L23">
            <v>1.214</v>
          </cell>
          <cell r="M23">
            <v>1.246</v>
          </cell>
          <cell r="N23">
            <v>1.252</v>
          </cell>
          <cell r="O23">
            <v>1.292</v>
          </cell>
          <cell r="P23">
            <v>1.226</v>
          </cell>
          <cell r="Q23">
            <v>1.1839999999999999</v>
          </cell>
        </row>
        <row r="24">
          <cell r="A24" t="str">
            <v>Glucose</v>
          </cell>
          <cell r="B24" t="str">
            <v xml:space="preserve"> g/dl</v>
          </cell>
          <cell r="C24">
            <v>4</v>
          </cell>
          <cell r="D24">
            <v>2</v>
          </cell>
          <cell r="E24">
            <v>45</v>
          </cell>
          <cell r="I24" t="str">
            <v xml:space="preserve">B0   - DCW                </v>
          </cell>
          <cell r="K24" t="str">
            <v>(g/dl)</v>
          </cell>
          <cell r="L24">
            <v>1.1879999999999999</v>
          </cell>
          <cell r="M24">
            <v>1.252</v>
          </cell>
          <cell r="N24">
            <v>1.226</v>
          </cell>
          <cell r="O24">
            <v>1.232</v>
          </cell>
          <cell r="P24">
            <v>1.202</v>
          </cell>
          <cell r="Q24">
            <v>1.1659999999999999</v>
          </cell>
        </row>
        <row r="25">
          <cell r="A25" t="str">
            <v>Sucrose</v>
          </cell>
          <cell r="B25" t="str">
            <v xml:space="preserve"> g/dl</v>
          </cell>
          <cell r="C25" t="str">
            <v>-</v>
          </cell>
          <cell r="D25" t="str">
            <v>-</v>
          </cell>
          <cell r="E25" t="str">
            <v>-</v>
          </cell>
          <cell r="I25" t="str">
            <v xml:space="preserve">RS                 </v>
          </cell>
          <cell r="K25" t="str">
            <v>(g/dl)</v>
          </cell>
          <cell r="L25">
            <v>0.9</v>
          </cell>
          <cell r="M25">
            <v>0.9</v>
          </cell>
          <cell r="N25">
            <v>0.9</v>
          </cell>
          <cell r="O25">
            <v>0.9</v>
          </cell>
          <cell r="P25">
            <v>0.75</v>
          </cell>
          <cell r="Q25">
            <v>0.9</v>
          </cell>
          <cell r="R25" t="str">
            <v/>
          </cell>
        </row>
        <row r="26">
          <cell r="A26" t="str">
            <v>H3PO4</v>
          </cell>
          <cell r="B26" t="str">
            <v xml:space="preserve"> g/dl</v>
          </cell>
          <cell r="C26" t="str">
            <v>-</v>
          </cell>
          <cell r="D26" t="str">
            <v>-</v>
          </cell>
          <cell r="E26">
            <v>6.2E-2</v>
          </cell>
          <cell r="I26" t="str">
            <v>Culture time</v>
          </cell>
          <cell r="K26" t="str">
            <v>(hr)</v>
          </cell>
          <cell r="L26">
            <v>44.5</v>
          </cell>
          <cell r="M26">
            <v>44.5</v>
          </cell>
          <cell r="N26">
            <v>44.5</v>
          </cell>
          <cell r="O26">
            <v>44.5</v>
          </cell>
          <cell r="P26">
            <v>44.5</v>
          </cell>
          <cell r="Q26">
            <v>44.5</v>
          </cell>
        </row>
        <row r="27">
          <cell r="A27" t="str">
            <v>KH2PO4</v>
          </cell>
          <cell r="B27" t="str">
            <v xml:space="preserve"> g/dl</v>
          </cell>
          <cell r="C27">
            <v>0.1</v>
          </cell>
          <cell r="D27">
            <v>0.12</v>
          </cell>
          <cell r="E27" t="str">
            <v>-</v>
          </cell>
          <cell r="I27" t="str">
            <v>Contamination check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</row>
        <row r="28">
          <cell r="A28" t="str">
            <v>MgSO4.7H2O</v>
          </cell>
          <cell r="B28" t="str">
            <v xml:space="preserve"> g/dl</v>
          </cell>
          <cell r="C28">
            <v>0.1</v>
          </cell>
          <cell r="D28">
            <v>0.1</v>
          </cell>
          <cell r="E28" t="str">
            <v>-</v>
          </cell>
        </row>
        <row r="29">
          <cell r="A29" t="str">
            <v>FeSO4.7H2O</v>
          </cell>
          <cell r="B29" t="str">
            <v xml:space="preserve"> g/dl</v>
          </cell>
          <cell r="C29">
            <v>1E-3</v>
          </cell>
          <cell r="D29">
            <v>3.0000000000000001E-3</v>
          </cell>
          <cell r="E29" t="str">
            <v>-</v>
          </cell>
          <cell r="I29" t="str">
            <v>Corrected BO volume  (ml)</v>
          </cell>
          <cell r="L29">
            <v>385.7</v>
          </cell>
          <cell r="M29">
            <v>367.35</v>
          </cell>
          <cell r="N29">
            <v>390.22500000000002</v>
          </cell>
          <cell r="O29">
            <v>387.15</v>
          </cell>
          <cell r="P29">
            <v>388.42500000000001</v>
          </cell>
          <cell r="Q29">
            <v>377.72500000000002</v>
          </cell>
        </row>
        <row r="30">
          <cell r="A30" t="str">
            <v>MnSO4.4H2O</v>
          </cell>
          <cell r="B30" t="str">
            <v xml:space="preserve"> g/dl</v>
          </cell>
          <cell r="C30">
            <v>1E-3</v>
          </cell>
          <cell r="D30">
            <v>3.0000000000000001E-3</v>
          </cell>
          <cell r="E30" t="str">
            <v>-</v>
          </cell>
          <cell r="I30" t="str">
            <v>Evaporation ratio</v>
          </cell>
          <cell r="K30" t="str">
            <v>(%)</v>
          </cell>
          <cell r="L30">
            <v>99.406009783368276</v>
          </cell>
          <cell r="M30">
            <v>96.480257280686075</v>
          </cell>
          <cell r="N30">
            <v>94.793963032050186</v>
          </cell>
          <cell r="O30">
            <v>98.615050892708169</v>
          </cell>
          <cell r="P30">
            <v>106.88611426409382</v>
          </cell>
          <cell r="Q30">
            <v>99.170637021351681</v>
          </cell>
        </row>
        <row r="31">
          <cell r="A31" t="str">
            <v>NH4OH</v>
          </cell>
          <cell r="B31" t="str">
            <v xml:space="preserve"> g/dl</v>
          </cell>
          <cell r="C31" t="str">
            <v>pH Adjust.</v>
          </cell>
          <cell r="D31" t="str">
            <v>pH Adjust.</v>
          </cell>
          <cell r="E31" t="str">
            <v>-</v>
          </cell>
          <cell r="I31" t="str">
            <v xml:space="preserve">Total sugar        </v>
          </cell>
          <cell r="K31" t="str">
            <v>(g/B)</v>
          </cell>
          <cell r="L31">
            <v>141.97999999999999</v>
          </cell>
          <cell r="M31">
            <v>138.29999999999998</v>
          </cell>
          <cell r="N31">
            <v>149.79999999999998</v>
          </cell>
          <cell r="O31">
            <v>154.15</v>
          </cell>
          <cell r="P31">
            <v>125.71000000000001</v>
          </cell>
          <cell r="Q31">
            <v>139.1</v>
          </cell>
        </row>
        <row r="32">
          <cell r="A32" t="str">
            <v>(NH4)2SO4</v>
          </cell>
          <cell r="B32" t="str">
            <v xml:space="preserve"> g/dl</v>
          </cell>
          <cell r="C32">
            <v>0.8</v>
          </cell>
          <cell r="D32">
            <v>1</v>
          </cell>
          <cell r="E32">
            <v>9.07</v>
          </cell>
        </row>
        <row r="33">
          <cell r="A33" t="str">
            <v>Mameno (TN)</v>
          </cell>
          <cell r="B33" t="str">
            <v xml:space="preserve"> mg/dl</v>
          </cell>
          <cell r="C33">
            <v>60</v>
          </cell>
          <cell r="D33" t="str">
            <v>40(STD)</v>
          </cell>
          <cell r="E33" t="str">
            <v>-</v>
          </cell>
          <cell r="I33" t="str">
            <v>Lysine-HCl</v>
          </cell>
          <cell r="K33" t="str">
            <v>(g/B)</v>
          </cell>
          <cell r="L33">
            <v>90.63539999999999</v>
          </cell>
          <cell r="M33">
            <v>90.874200000000002</v>
          </cell>
          <cell r="N33">
            <v>85.215550000000007</v>
          </cell>
          <cell r="O33">
            <v>93.96690000000001</v>
          </cell>
          <cell r="P33">
            <v>74.331250000000011</v>
          </cell>
          <cell r="Q33">
            <v>91.244349999999997</v>
          </cell>
        </row>
        <row r="34">
          <cell r="A34" t="str">
            <v>Yeast Extract</v>
          </cell>
          <cell r="B34" t="str">
            <v>g/dl</v>
          </cell>
          <cell r="C34" t="str">
            <v>-</v>
          </cell>
          <cell r="D34" t="str">
            <v>-</v>
          </cell>
          <cell r="E34" t="str">
            <v>-</v>
          </cell>
          <cell r="I34" t="str">
            <v>&lt;including sugar for seed&gt;</v>
          </cell>
          <cell r="L34">
            <v>63.093638663382798</v>
          </cell>
          <cell r="M34">
            <v>64.923034716893795</v>
          </cell>
          <cell r="N34">
            <v>56.258211077676314</v>
          </cell>
          <cell r="O34">
            <v>60.303923317730082</v>
          </cell>
          <cell r="P34">
            <v>58.352933141365128</v>
          </cell>
          <cell r="Q34">
            <v>64.817023531634803</v>
          </cell>
        </row>
        <row r="35">
          <cell r="A35" t="str">
            <v>Threonine</v>
          </cell>
          <cell r="B35" t="str">
            <v xml:space="preserve"> mg/dl</v>
          </cell>
          <cell r="C35">
            <v>30</v>
          </cell>
          <cell r="D35" t="str">
            <v>-</v>
          </cell>
          <cell r="E35">
            <v>43</v>
          </cell>
        </row>
        <row r="36">
          <cell r="A36" t="str">
            <v>Threonine</v>
          </cell>
          <cell r="B36" t="str">
            <v xml:space="preserve">mg/dl </v>
          </cell>
          <cell r="C36">
            <v>30</v>
          </cell>
          <cell r="D36" t="str">
            <v>-</v>
          </cell>
          <cell r="E36">
            <v>43</v>
          </cell>
          <cell r="I36" t="str">
            <v>Lysine-HCl yield</v>
          </cell>
          <cell r="K36" t="str">
            <v xml:space="preserve">(%) </v>
          </cell>
          <cell r="L36">
            <v>63.836737568671644</v>
          </cell>
          <cell r="M36">
            <v>65.708026030368771</v>
          </cell>
          <cell r="N36">
            <v>56.886214953271043</v>
          </cell>
          <cell r="O36">
            <v>60.958092766785597</v>
          </cell>
          <cell r="P36">
            <v>59.129146448174374</v>
          </cell>
          <cell r="Q36">
            <v>65.596225736879944</v>
          </cell>
        </row>
        <row r="37">
          <cell r="A37" t="str">
            <v>Methionine</v>
          </cell>
          <cell r="B37" t="str">
            <v xml:space="preserve"> mg/dl</v>
          </cell>
          <cell r="C37" t="str">
            <v>-</v>
          </cell>
          <cell r="D37" t="str">
            <v>-</v>
          </cell>
          <cell r="E37" t="str">
            <v>-</v>
          </cell>
          <cell r="I37" t="str">
            <v>Lysine-HCl yield</v>
          </cell>
          <cell r="K37" t="str">
            <v>(%)</v>
          </cell>
          <cell r="L37">
            <v>63.836737568671644</v>
          </cell>
          <cell r="M37">
            <v>65.708026030368771</v>
          </cell>
          <cell r="N37">
            <v>56.886214953271043</v>
          </cell>
          <cell r="O37">
            <v>60.958092766785597</v>
          </cell>
          <cell r="P37">
            <v>59.129146448174374</v>
          </cell>
          <cell r="Q37">
            <v>65.596225736879944</v>
          </cell>
        </row>
        <row r="38">
          <cell r="A38" t="str">
            <v>Nicotinamide</v>
          </cell>
          <cell r="B38" t="str">
            <v xml:space="preserve"> mg/dl</v>
          </cell>
          <cell r="C38" t="str">
            <v>-</v>
          </cell>
          <cell r="D38" t="str">
            <v>-</v>
          </cell>
          <cell r="E38" t="str">
            <v>-</v>
          </cell>
        </row>
        <row r="39">
          <cell r="A39" t="str">
            <v>PABA</v>
          </cell>
          <cell r="B39" t="str">
            <v xml:space="preserve"> mg/l</v>
          </cell>
          <cell r="C39">
            <v>2</v>
          </cell>
          <cell r="D39" t="str">
            <v>-</v>
          </cell>
          <cell r="E39" t="str">
            <v>-</v>
          </cell>
          <cell r="I39" t="str">
            <v xml:space="preserve">DCW                </v>
          </cell>
          <cell r="K39" t="str">
            <v>(g/B)</v>
          </cell>
          <cell r="L39">
            <v>7.0586760000000002</v>
          </cell>
          <cell r="M39">
            <v>7.0289219999999997</v>
          </cell>
          <cell r="N39">
            <v>7.1629585000000002</v>
          </cell>
          <cell r="O39">
            <v>7.6766879999999995</v>
          </cell>
          <cell r="P39">
            <v>7.1453884999999993</v>
          </cell>
          <cell r="Q39">
            <v>6.7841134999999992</v>
          </cell>
        </row>
        <row r="40">
          <cell r="A40" t="str">
            <v>Antifoam &lt;GD-113&gt;</v>
          </cell>
          <cell r="B40" t="str">
            <v xml:space="preserve"> ml/dl</v>
          </cell>
          <cell r="C40">
            <v>0.01</v>
          </cell>
          <cell r="D40">
            <v>0.01</v>
          </cell>
          <cell r="E40">
            <v>0.01</v>
          </cell>
          <cell r="I40" t="str">
            <v>&lt;including sugar for seed&gt;</v>
          </cell>
          <cell r="L40">
            <v>4.9137263473862571</v>
          </cell>
          <cell r="M40">
            <v>5.0216557287804298</v>
          </cell>
          <cell r="N40">
            <v>4.7288931566320427</v>
          </cell>
          <cell r="O40">
            <v>4.9265688714445046</v>
          </cell>
          <cell r="P40">
            <v>5.6094089284060091</v>
          </cell>
          <cell r="Q40">
            <v>4.8192139499134052</v>
          </cell>
        </row>
        <row r="41">
          <cell r="A41" t="str">
            <v>Amix(U.S.A)</v>
          </cell>
          <cell r="B41" t="str">
            <v xml:space="preserve"> ml/dl</v>
          </cell>
          <cell r="C41" t="str">
            <v>-</v>
          </cell>
          <cell r="D41">
            <v>3</v>
          </cell>
          <cell r="E41" t="str">
            <v>-</v>
          </cell>
          <cell r="I41" t="str">
            <v xml:space="preserve">DCW yield               </v>
          </cell>
          <cell r="K41" t="str">
            <v xml:space="preserve">(%) </v>
          </cell>
          <cell r="L41">
            <v>4.971598816734752</v>
          </cell>
          <cell r="M41">
            <v>5.0823731019522782</v>
          </cell>
          <cell r="N41">
            <v>4.7816812416555416</v>
          </cell>
          <cell r="O41">
            <v>4.9800116769380471</v>
          </cell>
          <cell r="P41">
            <v>5.6840255349614184</v>
          </cell>
          <cell r="Q41">
            <v>4.8771484543493884</v>
          </cell>
        </row>
        <row r="43">
          <cell r="A43" t="str">
            <v>Condition</v>
          </cell>
          <cell r="B43" t="str">
            <v>1st Seed</v>
          </cell>
          <cell r="D43" t="str">
            <v>2nd Seed</v>
          </cell>
          <cell r="F43" t="str">
            <v>Main</v>
          </cell>
          <cell r="I43" t="str">
            <v xml:space="preserve">L/K                </v>
          </cell>
          <cell r="K43" t="str">
            <v/>
          </cell>
          <cell r="L43">
            <v>12.840283361922262</v>
          </cell>
          <cell r="M43">
            <v>12.928611243658702</v>
          </cell>
          <cell r="N43">
            <v>11.896697433050884</v>
          </cell>
          <cell r="O43">
            <v>12.240552175625741</v>
          </cell>
          <cell r="P43">
            <v>10.402688391261023</v>
          </cell>
          <cell r="Q43">
            <v>13.449708646531342</v>
          </cell>
        </row>
        <row r="44">
          <cell r="A44" t="str">
            <v>Antifoam (type)</v>
          </cell>
          <cell r="B44" t="str">
            <v>GD-113</v>
          </cell>
          <cell r="D44" t="str">
            <v>GD-113</v>
          </cell>
          <cell r="F44" t="str">
            <v>GD-113</v>
          </cell>
        </row>
        <row r="45">
          <cell r="A45" t="str">
            <v>pH adjustment</v>
          </cell>
          <cell r="B45" t="str">
            <v>6.5 &lt;KOH&gt;</v>
          </cell>
          <cell r="D45" t="str">
            <v>6.0 &lt;NH4OH&gt;</v>
          </cell>
          <cell r="F45" t="str">
            <v>Med.B : 5.0 &lt;NH4OH&gt;</v>
          </cell>
          <cell r="I45" t="str">
            <v xml:space="preserve">L/K/CT                 </v>
          </cell>
          <cell r="K45" t="str">
            <v/>
          </cell>
          <cell r="L45">
            <v>0.28854569352634296</v>
          </cell>
          <cell r="M45">
            <v>0.2905305897451394</v>
          </cell>
          <cell r="N45">
            <v>0.26734151534945805</v>
          </cell>
          <cell r="O45">
            <v>0.27506858821630881</v>
          </cell>
          <cell r="P45">
            <v>0.2337682784553039</v>
          </cell>
          <cell r="Q45">
            <v>0.30224064374227733</v>
          </cell>
        </row>
        <row r="46">
          <cell r="A46" t="str">
            <v>Inoculum(ml)</v>
          </cell>
          <cell r="B46" t="str">
            <v>0.30 (PS OD=0.08)</v>
          </cell>
          <cell r="D46" t="str">
            <v>7.0 **(5th week-1st seed)</v>
          </cell>
          <cell r="F46">
            <v>40.799999999999997</v>
          </cell>
        </row>
        <row r="47">
          <cell r="A47" t="str">
            <v>Initial Volume (ml)</v>
          </cell>
          <cell r="B47">
            <v>300</v>
          </cell>
          <cell r="D47">
            <v>300</v>
          </cell>
          <cell r="F47">
            <v>300</v>
          </cell>
          <cell r="I47" t="str">
            <v xml:space="preserve">T/K                </v>
          </cell>
          <cell r="K47" t="str">
            <v/>
          </cell>
          <cell r="L47">
            <v>20.114253721236107</v>
          </cell>
          <cell r="M47">
            <v>19.675847875392556</v>
          </cell>
          <cell r="N47">
            <v>20.913146432441284</v>
          </cell>
          <cell r="O47">
            <v>20.080274201582768</v>
          </cell>
          <cell r="P47">
            <v>17.593165158199589</v>
          </cell>
          <cell r="Q47">
            <v>20.503784319056575</v>
          </cell>
        </row>
        <row r="48">
          <cell r="A48" t="str">
            <v>End OD ( x 26 )</v>
          </cell>
          <cell r="B48">
            <v>0.46</v>
          </cell>
          <cell r="D48">
            <v>0.39500000000000002</v>
          </cell>
        </row>
        <row r="49">
          <cell r="A49" t="str">
            <v>Sterilization (C,min)</v>
          </cell>
          <cell r="B49" t="str">
            <v>120 , 20</v>
          </cell>
          <cell r="D49" t="str">
            <v>120 , 20</v>
          </cell>
          <cell r="F49" t="str">
            <v>120 , 20</v>
          </cell>
          <cell r="I49" t="str">
            <v xml:space="preserve">T/K/CT                    </v>
          </cell>
          <cell r="K49" t="str">
            <v/>
          </cell>
          <cell r="L49">
            <v>0.45200570160081138</v>
          </cell>
          <cell r="M49">
            <v>0.44215388484028217</v>
          </cell>
          <cell r="N49">
            <v>0.46995834679643333</v>
          </cell>
          <cell r="O49">
            <v>0.45124211688950039</v>
          </cell>
          <cell r="P49">
            <v>0.39535202602695707</v>
          </cell>
          <cell r="Q49">
            <v>0.4607591981810466</v>
          </cell>
        </row>
        <row r="50">
          <cell r="A50" t="str">
            <v>Cultivation Temp.(C)</v>
          </cell>
          <cell r="B50">
            <v>37</v>
          </cell>
          <cell r="D50">
            <v>37</v>
          </cell>
          <cell r="F50">
            <v>37</v>
          </cell>
        </row>
        <row r="51">
          <cell r="A51" t="str">
            <v>Aeration (vvm)</v>
          </cell>
          <cell r="B51">
            <v>0.5</v>
          </cell>
          <cell r="D51">
            <v>0.5</v>
          </cell>
          <cell r="F51" t="str">
            <v>1/2 ----&gt; 1</v>
          </cell>
          <cell r="I51" t="str">
            <v xml:space="preserve">TS/CT                        </v>
          </cell>
          <cell r="K51" t="str">
            <v/>
          </cell>
          <cell r="L51">
            <v>3.1905617977528089</v>
          </cell>
          <cell r="M51">
            <v>3.1078651685393255</v>
          </cell>
          <cell r="N51">
            <v>3.3662921348314603</v>
          </cell>
          <cell r="O51">
            <v>3.464044943820225</v>
          </cell>
          <cell r="P51">
            <v>2.8249438202247195</v>
          </cell>
          <cell r="Q51">
            <v>3.1258426966292134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้างอาคาร (2)"/>
      <sheetName val="สร้างอาคาร"/>
      <sheetName val="new ext"/>
      <sheetName val="con PL"/>
      <sheetName val="ชุดวัดลม"/>
      <sheetName val="ลูกกุ้งวัยอ่อน"/>
      <sheetName val="india"/>
      <sheetName val="pro-Biotic"/>
      <sheetName val="โรงอาหาร (2)"/>
      <sheetName val="โรงอาหาร"/>
      <sheetName val="กำจัดกลิ่น"/>
      <sheetName val="คลัง (2)"/>
      <sheetName val="คลัง"/>
      <sheetName val="ระบบฉีดของสด"/>
      <sheetName val="ลูกกุ้ง (2)"/>
      <sheetName val="ลูกกุ้ง (3)"/>
      <sheetName val="วิศวกรรม"/>
      <sheetName val="gen มหาชัย"/>
      <sheetName val="gen บ้านพรุ"/>
      <sheetName val="อาหารปลา"/>
      <sheetName val="air2"/>
      <sheetName val="air"/>
      <sheetName val="ยางกันซึม"/>
      <sheetName val="lico2"/>
      <sheetName val="lico"/>
      <sheetName val="คอมพิวเตอร์"/>
      <sheetName val="เก็บเอกสาร"/>
      <sheetName val="ลูกกุ้ง"/>
      <sheetName val="ext"/>
      <sheetName val="ป๊มเม็ด"/>
      <sheetName val="ไอน้ำ"/>
      <sheetName val="extruder 1"/>
      <sheetName val="extruder"/>
      <sheetName val="Sheet1"/>
      <sheetName val="Sheet2"/>
      <sheetName val="Sheet3"/>
      <sheetName val="BT-2 บ้านพรุ  (2)"/>
      <sheetName val="super PS บ้านพรุ"/>
      <sheetName val="pro-Biotic (2)"/>
      <sheetName val="งบแป้งสาลี"/>
      <sheetName val="ปรับถมดิน1"/>
      <sheetName val="ปรับถมดิน"/>
      <sheetName val="หอพัก"/>
      <sheetName val="BT-2 บ้านพรุ "/>
      <sheetName val="super PS มหาชั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SWORKSHEE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uzelijsten"/>
      <sheetName val="New update MC Index Flow T1"/>
      <sheetName val="ขอบเขตการทำงาน"/>
      <sheetName val="OLD MC Index Flow T1 Omron"/>
      <sheetName val="Epuipment MC T1 New Scada"/>
      <sheetName val="List Inverter UP-STE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w PLC @ MC"/>
      <sheetName val="Omron PLC T1 All"/>
      <sheetName val="IO-INTAKE (Yellow)"/>
      <sheetName val="Keuzelijsten"/>
      <sheetName val="IO-MIXING (Green)"/>
      <sheetName val="ATOMIZER (Orange)"/>
      <sheetName val="PELLETIZER (Margenta)"/>
      <sheetName val="PACKING (Soft Blue)"/>
      <sheetName val="CRUMBS (Blue)"/>
      <sheetName val="Blank 1"/>
      <sheetName val="Blank 2"/>
      <sheetName val="Sum"/>
    </sheetNames>
    <sheetDataSet>
      <sheetData sheetId="0"/>
      <sheetData sheetId="1"/>
      <sheetData sheetId="2"/>
      <sheetData sheetId="3">
        <row r="4">
          <cell r="B4" t="str">
            <v>?</v>
          </cell>
          <cell r="D4" t="str">
            <v>Hard wired</v>
          </cell>
          <cell r="F4" t="str">
            <v>?</v>
          </cell>
          <cell r="H4" t="str">
            <v>?</v>
          </cell>
          <cell r="J4" t="str">
            <v>?</v>
          </cell>
          <cell r="L4" t="str">
            <v>?</v>
          </cell>
          <cell r="N4" t="str">
            <v>?</v>
          </cell>
        </row>
        <row r="5">
          <cell r="B5" t="str">
            <v>I</v>
          </cell>
          <cell r="D5" t="str">
            <v>CPU312                     6ES7-312-1AD10-0AB0</v>
          </cell>
          <cell r="F5" t="str">
            <v>DOL</v>
          </cell>
          <cell r="H5" t="str">
            <v>IFM II5320</v>
          </cell>
          <cell r="J5" t="str">
            <v>Intake</v>
          </cell>
          <cell r="L5" t="str">
            <v>3x400VAC</v>
          </cell>
          <cell r="N5" t="str">
            <v>…</v>
          </cell>
        </row>
        <row r="6">
          <cell r="B6" t="str">
            <v>Q</v>
          </cell>
          <cell r="D6" t="str">
            <v>CPU313C                   6ES7-313-5BE01-0AB0</v>
          </cell>
          <cell r="F6" t="str">
            <v>YD</v>
          </cell>
          <cell r="H6" t="str">
            <v>IFM KI5023</v>
          </cell>
          <cell r="J6" t="str">
            <v>Dosing</v>
          </cell>
          <cell r="L6" t="str">
            <v>3x415VAC</v>
          </cell>
          <cell r="N6" t="str">
            <v>0,06kW - 0,22A - 4x1,5² (max. 49m.)</v>
          </cell>
        </row>
        <row r="7">
          <cell r="B7" t="str">
            <v>PIW</v>
          </cell>
          <cell r="D7" t="str">
            <v>CPU314C-2DP            6ES7-314-6CF02-0AB0</v>
          </cell>
          <cell r="F7" t="str">
            <v>FREQ</v>
          </cell>
          <cell r="H7" t="str">
            <v>IFM IC000A</v>
          </cell>
          <cell r="J7" t="str">
            <v>Intake/dosing</v>
          </cell>
          <cell r="L7" t="str">
            <v>3x440VAC</v>
          </cell>
          <cell r="N7" t="str">
            <v>0,06kW - 0,22A - 4x2,5² (max. 81m.)</v>
          </cell>
        </row>
        <row r="8">
          <cell r="B8" t="str">
            <v>PQW</v>
          </cell>
          <cell r="D8" t="str">
            <v>CPU315-2DP             6ES7-315-2AG10-0AB0</v>
          </cell>
          <cell r="F8" t="str">
            <v>SOFT</v>
          </cell>
          <cell r="H8" t="str">
            <v>IFM ID500A</v>
          </cell>
          <cell r="J8" t="str">
            <v>Grinding</v>
          </cell>
          <cell r="L8" t="str">
            <v>…</v>
          </cell>
          <cell r="N8" t="str">
            <v>0,09kW - 0,33A - 4x1,5² (max. 49m.)</v>
          </cell>
        </row>
        <row r="9">
          <cell r="B9" t="str">
            <v>DP</v>
          </cell>
          <cell r="D9" t="str">
            <v>CPU317-PN/DP          6ES7-317-2EK14-0AB0</v>
          </cell>
          <cell r="F9" t="str">
            <v>…</v>
          </cell>
          <cell r="H9" t="str">
            <v>IFM IC500A</v>
          </cell>
          <cell r="J9" t="str">
            <v>Mixing</v>
          </cell>
          <cell r="L9" t="str">
            <v>230VAC</v>
          </cell>
          <cell r="N9" t="str">
            <v>0,09kW - 0,33A - 4x2,5² (max. 81m.)</v>
          </cell>
        </row>
        <row r="10">
          <cell r="B10" t="str">
            <v>…</v>
          </cell>
          <cell r="D10" t="str">
            <v>PS307/2A                  6ES7-307-1BA00-0AA0</v>
          </cell>
          <cell r="F10" t="str">
            <v>...</v>
          </cell>
          <cell r="H10" t="str">
            <v>IFM ID5005</v>
          </cell>
          <cell r="J10" t="str">
            <v>Grind./mix.</v>
          </cell>
          <cell r="L10" t="str">
            <v>24VDC</v>
          </cell>
          <cell r="N10" t="str">
            <v>0,12kW - 0,42A - 4x1,5² (max. 49m.)</v>
          </cell>
        </row>
        <row r="11">
          <cell r="B11" t="str">
            <v>…</v>
          </cell>
          <cell r="D11" t="str">
            <v>…</v>
          </cell>
          <cell r="F11" t="str">
            <v>...</v>
          </cell>
          <cell r="H11" t="str">
            <v>IFM IG5718</v>
          </cell>
          <cell r="J11" t="str">
            <v>Pelleting</v>
          </cell>
          <cell r="L11" t="str">
            <v>…</v>
          </cell>
          <cell r="N11" t="str">
            <v>0,12kW - 0,42A - 4x2,5² (max. 81m.)</v>
          </cell>
        </row>
        <row r="12">
          <cell r="B12" t="str">
            <v>…</v>
          </cell>
          <cell r="D12" t="str">
            <v>AI2x12BIT                  6ES7-331-7KB02-0AB0</v>
          </cell>
          <cell r="F12" t="str">
            <v>...</v>
          </cell>
          <cell r="H12" t="str">
            <v>IFM IGS22A</v>
          </cell>
          <cell r="J12" t="str">
            <v>Bagging</v>
          </cell>
          <cell r="L12" t="str">
            <v>0-10V</v>
          </cell>
          <cell r="N12" t="str">
            <v>0,18kW - 0,6A - 4x1,5² (max. 49m.)</v>
          </cell>
        </row>
        <row r="13">
          <cell r="B13" t="str">
            <v>…</v>
          </cell>
          <cell r="D13" t="str">
            <v>AI4/AO2x8BIT            6ES7-334-0CE01-0AA0</v>
          </cell>
          <cell r="F13" t="str">
            <v>...</v>
          </cell>
          <cell r="H13" t="str">
            <v>IFM DD0001</v>
          </cell>
          <cell r="J13" t="str">
            <v>Finished prod.</v>
          </cell>
          <cell r="L13" t="str">
            <v>0-20mA</v>
          </cell>
          <cell r="N13" t="str">
            <v>0,18kW - 0,6A - 4x2,5² (max. 81m.)</v>
          </cell>
        </row>
        <row r="14">
          <cell r="B14" t="str">
            <v>…</v>
          </cell>
          <cell r="D14" t="str">
            <v>AI8x12BIT                  6ES7-331-7KF02-0AB0</v>
          </cell>
          <cell r="F14" t="str">
            <v>...</v>
          </cell>
          <cell r="H14" t="str">
            <v>IFM DC0002</v>
          </cell>
          <cell r="J14" t="str">
            <v>Outloading</v>
          </cell>
          <cell r="L14" t="str">
            <v>4-20mA</v>
          </cell>
          <cell r="N14" t="str">
            <v>0,25kW - 0,8A - 4x1,5² (max. 49m.)</v>
          </cell>
        </row>
        <row r="15">
          <cell r="B15" t="str">
            <v>…</v>
          </cell>
          <cell r="D15" t="str">
            <v>AI8xRTD                     6ES7-331-7PF00-0AB0</v>
          </cell>
          <cell r="F15" t="str">
            <v>...</v>
          </cell>
          <cell r="H15" t="str">
            <v>IFM IGS200</v>
          </cell>
          <cell r="J15" t="str">
            <v>Pellet/finish</v>
          </cell>
          <cell r="L15" t="str">
            <v>0/4-20mA</v>
          </cell>
          <cell r="N15" t="str">
            <v>0,25kW - 0,8A - 4x2,5² (max. 81m.)</v>
          </cell>
        </row>
        <row r="16">
          <cell r="B16" t="str">
            <v>…</v>
          </cell>
          <cell r="D16" t="str">
            <v>…</v>
          </cell>
          <cell r="F16" t="str">
            <v>...</v>
          </cell>
          <cell r="H16" t="str">
            <v>IFM IIT20A</v>
          </cell>
          <cell r="J16" t="str">
            <v>Pre cleaning</v>
          </cell>
          <cell r="L16" t="str">
            <v>…</v>
          </cell>
          <cell r="N16" t="str">
            <v>0,37kW - 1,1A - 4x1,5² (max. 49m.)</v>
          </cell>
        </row>
        <row r="17">
          <cell r="B17" t="str">
            <v>…</v>
          </cell>
          <cell r="D17" t="str">
            <v>…</v>
          </cell>
          <cell r="F17" t="str">
            <v>...</v>
          </cell>
          <cell r="H17" t="str">
            <v>IFM NG501A</v>
          </cell>
          <cell r="J17" t="str">
            <v>Grain storage</v>
          </cell>
          <cell r="L17" t="str">
            <v>…</v>
          </cell>
          <cell r="N17" t="str">
            <v>0,37kW - 1,1A - 4x2,5² (max. 81m.)</v>
          </cell>
        </row>
        <row r="18">
          <cell r="B18" t="str">
            <v>…</v>
          </cell>
          <cell r="D18" t="str">
            <v>AO2x12BIT                6ES7-332-5HB01-0AB0</v>
          </cell>
          <cell r="F18" t="str">
            <v>...</v>
          </cell>
          <cell r="H18" t="str">
            <v>IFM KN5121</v>
          </cell>
          <cell r="J18" t="str">
            <v>Cleaning</v>
          </cell>
          <cell r="L18" t="str">
            <v>…</v>
          </cell>
          <cell r="N18" t="str">
            <v>0,55kW - 1,5A - 4x1,5² (max. 49m.)</v>
          </cell>
        </row>
        <row r="19">
          <cell r="B19" t="str">
            <v>…</v>
          </cell>
          <cell r="D19" t="str">
            <v>AO4x12BIT                6ES7-332-5HD01-0AB0</v>
          </cell>
          <cell r="F19" t="str">
            <v>...</v>
          </cell>
          <cell r="H19" t="str">
            <v>IFM …</v>
          </cell>
          <cell r="J19" t="str">
            <v>Flaking</v>
          </cell>
          <cell r="L19" t="str">
            <v>…</v>
          </cell>
          <cell r="N19" t="str">
            <v>0,55kW - 1,5A - 4x2,5² (max. 81m.)</v>
          </cell>
        </row>
        <row r="20">
          <cell r="B20" t="str">
            <v>…</v>
          </cell>
          <cell r="D20" t="str">
            <v>AO8x12BIT                6ES7-332-5HF00-0AB0</v>
          </cell>
          <cell r="F20" t="str">
            <v>...</v>
          </cell>
          <cell r="H20" t="str">
            <v>IFM IG000A</v>
          </cell>
          <cell r="J20" t="str">
            <v>...</v>
          </cell>
          <cell r="L20" t="str">
            <v>…</v>
          </cell>
          <cell r="N20" t="str">
            <v>0,75kW - 1,9A - 4x1,5² (max. 49m.)</v>
          </cell>
        </row>
        <row r="21">
          <cell r="B21" t="str">
            <v>…</v>
          </cell>
          <cell r="D21" t="str">
            <v>…</v>
          </cell>
          <cell r="F21" t="str">
            <v>...</v>
          </cell>
          <cell r="H21" t="str">
            <v>IFM IC5005</v>
          </cell>
          <cell r="J21" t="str">
            <v>Intake minerals</v>
          </cell>
          <cell r="L21" t="str">
            <v>…</v>
          </cell>
          <cell r="N21" t="str">
            <v>0,75kW - 1,9A - 4x2,5² (max. 81m.)</v>
          </cell>
        </row>
        <row r="22">
          <cell r="B22" t="str">
            <v>…</v>
          </cell>
          <cell r="D22" t="str">
            <v>…</v>
          </cell>
          <cell r="F22" t="str">
            <v>...</v>
          </cell>
          <cell r="H22" t="str">
            <v>…</v>
          </cell>
          <cell r="J22" t="str">
            <v>Intake proteins</v>
          </cell>
          <cell r="L22" t="str">
            <v>…</v>
          </cell>
          <cell r="N22" t="str">
            <v>1,1kW - 2,6A - 4x1,5² (max. 49m.)</v>
          </cell>
        </row>
        <row r="23">
          <cell r="B23" t="str">
            <v>…</v>
          </cell>
          <cell r="D23" t="str">
            <v>DI16/DO16                 6ES7-323-1BL00-0AA0</v>
          </cell>
          <cell r="F23" t="str">
            <v>...</v>
          </cell>
          <cell r="H23" t="str">
            <v>…</v>
          </cell>
          <cell r="J23" t="str">
            <v>Intake train</v>
          </cell>
          <cell r="L23" t="str">
            <v>…</v>
          </cell>
          <cell r="N23" t="str">
            <v>1,1kW - 2,6A - 4x2,5² (max. 81m.)</v>
          </cell>
        </row>
        <row r="24">
          <cell r="B24" t="str">
            <v>…</v>
          </cell>
          <cell r="D24" t="str">
            <v>DI16xDC14V              6ES7-321-1BH02-0AA0</v>
          </cell>
          <cell r="F24" t="str">
            <v>...</v>
          </cell>
          <cell r="H24" t="str">
            <v>E+H FTE30</v>
          </cell>
          <cell r="J24" t="str">
            <v>Intake trucks</v>
          </cell>
          <cell r="L24" t="str">
            <v>…</v>
          </cell>
          <cell r="N24" t="str">
            <v>1,5kW - 3,6A - 4x1,5² (max. 49m.)</v>
          </cell>
        </row>
        <row r="25">
          <cell r="B25" t="str">
            <v>…</v>
          </cell>
          <cell r="D25" t="str">
            <v>DI32xDC24V              6ES7-321-1BL00-0AA0</v>
          </cell>
          <cell r="F25" t="str">
            <v>...</v>
          </cell>
          <cell r="H25" t="str">
            <v>E+H FTC51</v>
          </cell>
          <cell r="J25" t="str">
            <v>...</v>
          </cell>
          <cell r="L25" t="str">
            <v>…</v>
          </cell>
          <cell r="N25" t="str">
            <v>1,5kW - 3,6A - 4x2,5² (max. 81m.)</v>
          </cell>
        </row>
        <row r="26">
          <cell r="B26" t="str">
            <v>…</v>
          </cell>
          <cell r="D26" t="str">
            <v>DI64xDC24V              6ES7-321-1BP00-0AA0</v>
          </cell>
          <cell r="F26" t="str">
            <v>...</v>
          </cell>
          <cell r="H26" t="str">
            <v>E+H FTC260</v>
          </cell>
          <cell r="J26" t="str">
            <v>...</v>
          </cell>
          <cell r="L26" t="str">
            <v>…</v>
          </cell>
          <cell r="N26" t="str">
            <v>2,2kW - 5A - 4x1,5² (max. 49m.)</v>
          </cell>
        </row>
        <row r="27">
          <cell r="B27" t="str">
            <v>…</v>
          </cell>
          <cell r="D27" t="str">
            <v>DO16xDC24V/0,5A     6ES7-322-1BH01-0AA0</v>
          </cell>
          <cell r="F27" t="str">
            <v>...</v>
          </cell>
          <cell r="H27" t="str">
            <v>E+H FTC262</v>
          </cell>
          <cell r="J27" t="str">
            <v>...</v>
          </cell>
          <cell r="L27" t="str">
            <v>…</v>
          </cell>
          <cell r="N27" t="str">
            <v>2,2kW - 5A - 4x2,5² (max. 81m.)</v>
          </cell>
        </row>
        <row r="28">
          <cell r="B28" t="str">
            <v>…</v>
          </cell>
          <cell r="D28" t="str">
            <v>DO32xDC24V/0,5A      6ES7-322-1BL00-0AA0</v>
          </cell>
          <cell r="F28" t="str">
            <v>...</v>
          </cell>
          <cell r="H28" t="str">
            <v>E+H PMP131</v>
          </cell>
          <cell r="J28" t="str">
            <v>...</v>
          </cell>
          <cell r="L28" t="str">
            <v>…</v>
          </cell>
          <cell r="N28" t="str">
            <v>3kW - 6,6A - 4x1,5² (max. 49m.)</v>
          </cell>
        </row>
        <row r="29">
          <cell r="B29" t="str">
            <v>…</v>
          </cell>
          <cell r="D29" t="str">
            <v>...</v>
          </cell>
          <cell r="F29" t="str">
            <v>...</v>
          </cell>
          <cell r="H29" t="str">
            <v>E+H FTL260</v>
          </cell>
          <cell r="J29" t="str">
            <v>...</v>
          </cell>
          <cell r="L29" t="str">
            <v>…</v>
          </cell>
          <cell r="N29" t="str">
            <v>3kW - 6,6A - 4x2,5² (max. 81m.)</v>
          </cell>
        </row>
        <row r="30">
          <cell r="B30" t="str">
            <v>…</v>
          </cell>
          <cell r="D30" t="str">
            <v>C7-613 (24xDI - 16xDO - 5xAI - 2xAO)</v>
          </cell>
          <cell r="F30" t="str">
            <v>...</v>
          </cell>
          <cell r="H30" t="str">
            <v>E+H Promag 50P</v>
          </cell>
          <cell r="J30" t="str">
            <v>...</v>
          </cell>
          <cell r="L30" t="str">
            <v>…</v>
          </cell>
          <cell r="N30" t="str">
            <v>4kW - 8,5A - 4x1,5² (max. 49m.)</v>
          </cell>
        </row>
        <row r="31">
          <cell r="B31" t="str">
            <v>…</v>
          </cell>
          <cell r="D31" t="str">
            <v>IM360                         6ES7-360-3AA01-0AA0</v>
          </cell>
          <cell r="F31" t="str">
            <v>...</v>
          </cell>
          <cell r="H31" t="str">
            <v>E+H Promass 80E</v>
          </cell>
          <cell r="J31" t="str">
            <v>...</v>
          </cell>
          <cell r="L31" t="str">
            <v>…</v>
          </cell>
          <cell r="N31" t="str">
            <v>4kW - 8,5A - 4x2,5² (max. 81m.)</v>
          </cell>
        </row>
        <row r="32">
          <cell r="B32" t="str">
            <v>…</v>
          </cell>
          <cell r="D32" t="str">
            <v>IM361                         6ES7-361-3CA01-0AA0</v>
          </cell>
          <cell r="F32" t="str">
            <v>...</v>
          </cell>
          <cell r="H32" t="str">
            <v>Binmaster GRD</v>
          </cell>
          <cell r="J32" t="str">
            <v>...</v>
          </cell>
          <cell r="L32" t="str">
            <v>…</v>
          </cell>
          <cell r="N32" t="str">
            <v>4,5kW - 9,3A - 4x2,5² (max. 48m.)</v>
          </cell>
        </row>
        <row r="33">
          <cell r="B33" t="str">
            <v>…</v>
          </cell>
          <cell r="D33" t="str">
            <v>ET200M (IM153-1)        6ES7-153-1AA03-0XB0</v>
          </cell>
          <cell r="F33" t="str">
            <v>...</v>
          </cell>
          <cell r="H33" t="str">
            <v>E+H FTL20</v>
          </cell>
          <cell r="J33" t="str">
            <v>...</v>
          </cell>
          <cell r="L33" t="str">
            <v>…</v>
          </cell>
          <cell r="N33" t="str">
            <v>4,5kW - 9,3A - 4x4² (max. 78m.)</v>
          </cell>
        </row>
        <row r="34">
          <cell r="B34" t="str">
            <v>…</v>
          </cell>
          <cell r="D34" t="str">
            <v>Siwarex-U (1 chan.)            7MH4950-1AA01</v>
          </cell>
          <cell r="F34" t="str">
            <v>...</v>
          </cell>
          <cell r="H34" t="str">
            <v>E+H FTI 55</v>
          </cell>
          <cell r="J34" t="str">
            <v>...</v>
          </cell>
          <cell r="L34" t="str">
            <v>…</v>
          </cell>
          <cell r="N34" t="str">
            <v>5,5kW - 11,3A - 4x2,5² (max. 48m.)</v>
          </cell>
        </row>
        <row r="35">
          <cell r="B35" t="str">
            <v>…</v>
          </cell>
          <cell r="D35" t="str">
            <v>Siwarex-U (2 chan.)            7MH4950-2AA01</v>
          </cell>
          <cell r="F35" t="str">
            <v>...</v>
          </cell>
          <cell r="H35" t="str">
            <v>…</v>
          </cell>
          <cell r="J35" t="str">
            <v>...</v>
          </cell>
          <cell r="L35" t="str">
            <v>…</v>
          </cell>
          <cell r="N35" t="str">
            <v>5,5kW - 11,3A - 4x4² (max. 78m.)</v>
          </cell>
        </row>
        <row r="36">
          <cell r="B36" t="str">
            <v>…</v>
          </cell>
          <cell r="D36" t="str">
            <v>…</v>
          </cell>
          <cell r="F36" t="str">
            <v>...</v>
          </cell>
          <cell r="H36" t="str">
            <v>Vegavib S 61</v>
          </cell>
          <cell r="J36" t="str">
            <v>...</v>
          </cell>
          <cell r="L36" t="str">
            <v>…</v>
          </cell>
          <cell r="N36" t="str">
            <v>7,5kW - 15,2A - 4x2,5² (max. 48m.)</v>
          </cell>
        </row>
        <row r="37">
          <cell r="B37" t="str">
            <v>…</v>
          </cell>
          <cell r="D37" t="str">
            <v>Ethernet connection</v>
          </cell>
          <cell r="F37" t="str">
            <v>...</v>
          </cell>
          <cell r="H37" t="str">
            <v>…</v>
          </cell>
          <cell r="J37" t="str">
            <v>...</v>
          </cell>
          <cell r="L37" t="str">
            <v>…</v>
          </cell>
          <cell r="N37" t="str">
            <v>7,5kW - 15,2A - 4x4² (max. 78m.)</v>
          </cell>
        </row>
        <row r="38">
          <cell r="B38" t="str">
            <v>…</v>
          </cell>
          <cell r="D38" t="str">
            <v>Profibus connection</v>
          </cell>
          <cell r="F38" t="str">
            <v>...</v>
          </cell>
          <cell r="H38" t="str">
            <v>…</v>
          </cell>
          <cell r="J38" t="str">
            <v>...</v>
          </cell>
          <cell r="L38" t="str">
            <v>…</v>
          </cell>
          <cell r="N38" t="str">
            <v>9,2kW - 19A - 4x4mm² (max. 48m.)</v>
          </cell>
        </row>
        <row r="39">
          <cell r="B39" t="str">
            <v>…</v>
          </cell>
          <cell r="D39" t="str">
            <v>…</v>
          </cell>
          <cell r="F39" t="str">
            <v>...</v>
          </cell>
          <cell r="H39" t="str">
            <v>PT100</v>
          </cell>
          <cell r="J39" t="str">
            <v>...</v>
          </cell>
          <cell r="L39" t="str">
            <v>…</v>
          </cell>
          <cell r="N39" t="str">
            <v>9,2kW - 19A - 4x6mm² (max.73m.)</v>
          </cell>
        </row>
        <row r="40">
          <cell r="B40" t="str">
            <v>…</v>
          </cell>
          <cell r="D40" t="str">
            <v>…</v>
          </cell>
          <cell r="F40" t="str">
            <v>...</v>
          </cell>
          <cell r="H40" t="str">
            <v>Thermostat</v>
          </cell>
          <cell r="J40" t="str">
            <v>...</v>
          </cell>
          <cell r="L40" t="str">
            <v>…</v>
          </cell>
          <cell r="N40" t="str">
            <v>11kW - 21,7A - 4x4mm² (max. 48m.)</v>
          </cell>
        </row>
        <row r="41">
          <cell r="B41" t="str">
            <v>…</v>
          </cell>
          <cell r="D41" t="str">
            <v>…</v>
          </cell>
          <cell r="F41" t="str">
            <v>...</v>
          </cell>
          <cell r="H41" t="str">
            <v>Potentiometer</v>
          </cell>
          <cell r="J41" t="str">
            <v>...</v>
          </cell>
          <cell r="L41" t="str">
            <v>…</v>
          </cell>
          <cell r="N41" t="str">
            <v>11kW - 21,7A - 4x6mm² (max.73m.)</v>
          </cell>
        </row>
        <row r="42">
          <cell r="B42" t="str">
            <v>…</v>
          </cell>
          <cell r="D42" t="str">
            <v>…</v>
          </cell>
          <cell r="F42" t="str">
            <v>...</v>
          </cell>
          <cell r="H42" t="str">
            <v>Limitswitch</v>
          </cell>
          <cell r="J42" t="str">
            <v>...</v>
          </cell>
          <cell r="L42" t="str">
            <v>…</v>
          </cell>
          <cell r="N42" t="str">
            <v>…</v>
          </cell>
        </row>
        <row r="43">
          <cell r="B43" t="str">
            <v>…</v>
          </cell>
          <cell r="D43" t="str">
            <v>…</v>
          </cell>
          <cell r="F43" t="str">
            <v>...</v>
          </cell>
          <cell r="H43" t="str">
            <v>Pressure switch</v>
          </cell>
          <cell r="J43" t="str">
            <v>...</v>
          </cell>
          <cell r="L43" t="str">
            <v>…</v>
          </cell>
          <cell r="N43" t="str">
            <v>…</v>
          </cell>
        </row>
        <row r="44">
          <cell r="B44" t="str">
            <v>…</v>
          </cell>
          <cell r="D44" t="str">
            <v>…</v>
          </cell>
          <cell r="F44" t="str">
            <v>...</v>
          </cell>
          <cell r="H44" t="str">
            <v>Reed contact</v>
          </cell>
          <cell r="J44" t="str">
            <v>...</v>
          </cell>
          <cell r="L44" t="str">
            <v>…</v>
          </cell>
          <cell r="N44" t="str">
            <v>15kW - 29,3A - 2x4x4mm² (max. 30m.)</v>
          </cell>
        </row>
        <row r="45">
          <cell r="B45" t="str">
            <v>…</v>
          </cell>
          <cell r="D45" t="str">
            <v>…</v>
          </cell>
          <cell r="F45" t="str">
            <v>...</v>
          </cell>
          <cell r="H45" t="str">
            <v>Doorlock</v>
          </cell>
          <cell r="J45" t="str">
            <v>...</v>
          </cell>
          <cell r="L45" t="str">
            <v>…</v>
          </cell>
          <cell r="N45" t="str">
            <v>15kW - 29,3A - 2x4x6mm² (max. 58m.)</v>
          </cell>
        </row>
        <row r="46">
          <cell r="B46" t="str">
            <v>…</v>
          </cell>
          <cell r="D46" t="str">
            <v>WAGO Profibus DP/FMS coupler (750-333)</v>
          </cell>
          <cell r="F46" t="str">
            <v>...</v>
          </cell>
          <cell r="H46" t="str">
            <v>Doorswitch</v>
          </cell>
          <cell r="J46" t="str">
            <v>...</v>
          </cell>
          <cell r="L46" t="str">
            <v>…</v>
          </cell>
          <cell r="N46" t="str">
            <v>18,5kW - 36A - 2x4x4mm² (max. 30m.)</v>
          </cell>
        </row>
        <row r="47">
          <cell r="B47" t="str">
            <v>…</v>
          </cell>
          <cell r="D47" t="str">
            <v>…</v>
          </cell>
          <cell r="F47" t="str">
            <v>...</v>
          </cell>
          <cell r="H47" t="str">
            <v>…</v>
          </cell>
          <cell r="J47" t="str">
            <v>...</v>
          </cell>
          <cell r="L47" t="str">
            <v>…</v>
          </cell>
          <cell r="N47" t="str">
            <v>18,5kW - 36A - 2x4x6mm² (max. 58m.)</v>
          </cell>
        </row>
        <row r="48">
          <cell r="B48" t="str">
            <v>…</v>
          </cell>
          <cell r="D48" t="str">
            <v>WAGO 2xAO / 0-20mA (750-552)</v>
          </cell>
          <cell r="F48" t="str">
            <v>...</v>
          </cell>
          <cell r="H48" t="str">
            <v>IGC2012-ABOA</v>
          </cell>
          <cell r="J48" t="str">
            <v>...</v>
          </cell>
          <cell r="L48" t="str">
            <v>…</v>
          </cell>
          <cell r="N48" t="str">
            <v>22kW - 41A - 2x4x6mm² (max. 37m.)</v>
          </cell>
        </row>
        <row r="49">
          <cell r="B49" t="str">
            <v>…</v>
          </cell>
          <cell r="D49" t="str">
            <v>WAGO 2xAO / 4-20mA (750-554)</v>
          </cell>
          <cell r="F49" t="str">
            <v>...</v>
          </cell>
          <cell r="H49" t="str">
            <v>MEPA B314</v>
          </cell>
          <cell r="J49" t="str">
            <v>...</v>
          </cell>
          <cell r="L49" t="str">
            <v>…</v>
          </cell>
          <cell r="N49" t="str">
            <v>22kW - 41A - 2x4x10mm² (max. 62m.)</v>
          </cell>
        </row>
        <row r="50">
          <cell r="B50" t="str">
            <v>…</v>
          </cell>
          <cell r="D50" t="str">
            <v>WAGO 4xAO / 0-20mA (750-553)</v>
          </cell>
          <cell r="F50" t="str">
            <v>...</v>
          </cell>
          <cell r="H50" t="str">
            <v>UWT</v>
          </cell>
          <cell r="J50" t="str">
            <v>...</v>
          </cell>
          <cell r="L50" t="str">
            <v>…</v>
          </cell>
          <cell r="N50" t="str">
            <v>25kW - 50A - 2x4x6mm² (max. 37m.)</v>
          </cell>
        </row>
        <row r="51">
          <cell r="B51" t="str">
            <v>…</v>
          </cell>
          <cell r="D51" t="str">
            <v>…</v>
          </cell>
          <cell r="F51" t="str">
            <v>...</v>
          </cell>
          <cell r="H51" t="str">
            <v>...</v>
          </cell>
          <cell r="J51" t="str">
            <v>...</v>
          </cell>
          <cell r="L51" t="str">
            <v>…</v>
          </cell>
          <cell r="N51" t="str">
            <v>25kW - 50A - 2x4x10mm² (max. 62m.)</v>
          </cell>
        </row>
        <row r="52">
          <cell r="B52" t="str">
            <v>…</v>
          </cell>
          <cell r="D52" t="str">
            <v>WAGO 2xAI / 0-20mA (750-465)</v>
          </cell>
          <cell r="F52" t="str">
            <v>...</v>
          </cell>
          <cell r="H52" t="str">
            <v>Loadcell</v>
          </cell>
          <cell r="J52" t="str">
            <v>...</v>
          </cell>
          <cell r="L52" t="str">
            <v>…</v>
          </cell>
          <cell r="N52" t="str">
            <v>30kW - 55A - 2x4x6mm² (max. 37m.)</v>
          </cell>
        </row>
        <row r="53">
          <cell r="B53" t="str">
            <v>…</v>
          </cell>
          <cell r="D53" t="str">
            <v>WAGO 2xAI / 4-20mA (750-466)</v>
          </cell>
          <cell r="F53" t="str">
            <v>...</v>
          </cell>
          <cell r="H53" t="str">
            <v>Loadcell RSCA</v>
          </cell>
          <cell r="J53" t="str">
            <v>...</v>
          </cell>
          <cell r="L53" t="str">
            <v>…</v>
          </cell>
          <cell r="N53" t="str">
            <v>30kW - 55A - 2x4x10mm² (max. 62m.)</v>
          </cell>
        </row>
        <row r="54">
          <cell r="B54" t="str">
            <v>…</v>
          </cell>
          <cell r="D54" t="str">
            <v>WAGO 2xAI / 0-10V (750-467)</v>
          </cell>
          <cell r="F54" t="str">
            <v>...</v>
          </cell>
          <cell r="H54" t="str">
            <v>Loadcell RSCB</v>
          </cell>
          <cell r="J54" t="str">
            <v>...</v>
          </cell>
          <cell r="L54" t="str">
            <v>…</v>
          </cell>
          <cell r="N54" t="str">
            <v>37kW - 68A - 2x4x10mm² (max. 39m.)</v>
          </cell>
        </row>
        <row r="55">
          <cell r="B55" t="str">
            <v>…</v>
          </cell>
          <cell r="D55" t="str">
            <v>WAGO 2xAI PT100 (750-461)</v>
          </cell>
          <cell r="F55" t="str">
            <v>...</v>
          </cell>
          <cell r="H55" t="str">
            <v>Loadcell Z6F</v>
          </cell>
          <cell r="J55" t="str">
            <v>...</v>
          </cell>
          <cell r="L55" t="str">
            <v>…</v>
          </cell>
          <cell r="N55" t="str">
            <v>37kW - 68A - 2x4x16mm² (max. 62m.)</v>
          </cell>
        </row>
        <row r="56">
          <cell r="B56" t="str">
            <v>…</v>
          </cell>
          <cell r="D56" t="str">
            <v>WAGO 4xAI / 0-20mA (750-453)</v>
          </cell>
          <cell r="F56" t="str">
            <v>...</v>
          </cell>
          <cell r="H56" t="str">
            <v>Loadcell HLC/MLB</v>
          </cell>
          <cell r="J56" t="str">
            <v>...</v>
          </cell>
          <cell r="L56" t="str">
            <v>…</v>
          </cell>
          <cell r="N56" t="str">
            <v>45kW - 81A - 2x4x10mm² (max. 39m.)</v>
          </cell>
        </row>
        <row r="57">
          <cell r="B57" t="str">
            <v>…</v>
          </cell>
          <cell r="D57" t="str">
            <v>WAGO 4xAI / 4-20mA (750-455)</v>
          </cell>
          <cell r="F57" t="str">
            <v>...</v>
          </cell>
          <cell r="H57" t="str">
            <v>...</v>
          </cell>
          <cell r="J57" t="str">
            <v>...</v>
          </cell>
          <cell r="L57" t="str">
            <v>…</v>
          </cell>
          <cell r="N57" t="str">
            <v>45kW - 81A - 2x4x16mm² (max. 62m.)</v>
          </cell>
        </row>
        <row r="58">
          <cell r="B58" t="str">
            <v>…</v>
          </cell>
          <cell r="D58" t="str">
            <v>…</v>
          </cell>
          <cell r="F58" t="str">
            <v>...</v>
          </cell>
          <cell r="H58" t="str">
            <v>...</v>
          </cell>
          <cell r="J58" t="str">
            <v>...</v>
          </cell>
          <cell r="L58" t="str">
            <v>…</v>
          </cell>
          <cell r="N58" t="str">
            <v>55kW - 99A - 2x4x10mm² (max. 39m.)</v>
          </cell>
        </row>
        <row r="59">
          <cell r="B59" t="str">
            <v>…</v>
          </cell>
          <cell r="D59" t="str">
            <v>WAGO 2xDI / 24VDC / 3ms (750-400)</v>
          </cell>
          <cell r="F59" t="str">
            <v>...</v>
          </cell>
          <cell r="H59" t="str">
            <v>...</v>
          </cell>
          <cell r="J59" t="str">
            <v>...</v>
          </cell>
          <cell r="L59" t="str">
            <v>…</v>
          </cell>
          <cell r="N59" t="str">
            <v>55kW - 99A - 2x4x16mm² (max. 60m.)</v>
          </cell>
        </row>
        <row r="60">
          <cell r="B60" t="str">
            <v>…</v>
          </cell>
          <cell r="D60" t="str">
            <v>WAGO 4xDI / 24VDC / 3ms (750-402)</v>
          </cell>
          <cell r="F60" t="str">
            <v>…</v>
          </cell>
          <cell r="H60" t="str">
            <v>…</v>
          </cell>
          <cell r="J60" t="str">
            <v>…</v>
          </cell>
          <cell r="L60" t="str">
            <v>…</v>
          </cell>
          <cell r="N60" t="str">
            <v>63kW - 113A - 2x4x16mm² (max. 35m.)</v>
          </cell>
        </row>
        <row r="61">
          <cell r="B61" t="str">
            <v>…</v>
          </cell>
          <cell r="D61" t="str">
            <v>WAGO 8xDI / 24VDC / 3ms (750-430)</v>
          </cell>
          <cell r="F61" t="str">
            <v>…</v>
          </cell>
          <cell r="H61" t="str">
            <v>…</v>
          </cell>
          <cell r="J61" t="str">
            <v>…</v>
          </cell>
          <cell r="L61" t="str">
            <v>…</v>
          </cell>
          <cell r="N61" t="str">
            <v>63kW - 113A - 2x4x25mm² (max. 57m.)</v>
          </cell>
        </row>
        <row r="62">
          <cell r="B62" t="str">
            <v>…</v>
          </cell>
          <cell r="D62" t="str">
            <v>WAGO 16xDI / 24VDC / 3ms (750-1405)</v>
          </cell>
          <cell r="F62" t="str">
            <v>…</v>
          </cell>
          <cell r="H62" t="str">
            <v>…</v>
          </cell>
          <cell r="J62" t="str">
            <v>…</v>
          </cell>
          <cell r="L62" t="str">
            <v>…</v>
          </cell>
          <cell r="N62" t="str">
            <v>65kW - 116A - 2x4x16mm² (max. 35m.)</v>
          </cell>
        </row>
        <row r="63">
          <cell r="B63" t="str">
            <v>…</v>
          </cell>
          <cell r="D63" t="str">
            <v>…</v>
          </cell>
          <cell r="F63" t="str">
            <v>…</v>
          </cell>
          <cell r="H63" t="str">
            <v>…</v>
          </cell>
          <cell r="J63" t="str">
            <v>…</v>
          </cell>
          <cell r="L63" t="str">
            <v>…</v>
          </cell>
          <cell r="N63" t="str">
            <v>65kW - 116A - 2x4x25mm² (max. 57m.)</v>
          </cell>
        </row>
        <row r="64">
          <cell r="B64" t="str">
            <v>…</v>
          </cell>
          <cell r="D64" t="str">
            <v>WAGO 2xDO / 24VDC / 0,5A (750-501)</v>
          </cell>
          <cell r="F64" t="str">
            <v>…</v>
          </cell>
          <cell r="H64" t="str">
            <v>…</v>
          </cell>
          <cell r="J64" t="str">
            <v>…</v>
          </cell>
          <cell r="L64" t="str">
            <v>…</v>
          </cell>
          <cell r="N64" t="str">
            <v>75kW - 134A - 2x4x16mm² (max. 35m.)</v>
          </cell>
        </row>
        <row r="65">
          <cell r="B65" t="str">
            <v>…</v>
          </cell>
          <cell r="D65" t="str">
            <v>WAGO 2xDO / 24VDC / 2A (750-502)</v>
          </cell>
          <cell r="F65" t="str">
            <v>…</v>
          </cell>
          <cell r="H65" t="str">
            <v>…</v>
          </cell>
          <cell r="J65" t="str">
            <v>…</v>
          </cell>
          <cell r="L65" t="str">
            <v>…</v>
          </cell>
          <cell r="N65" t="str">
            <v>75kW - 134A - 2x4x25mm² (max. 57m.)</v>
          </cell>
        </row>
        <row r="66">
          <cell r="B66" t="str">
            <v>…</v>
          </cell>
          <cell r="D66" t="str">
            <v>WAGO 2xDO / 230VAC / 2A pot.vrij (750-513)</v>
          </cell>
          <cell r="F66" t="str">
            <v>…</v>
          </cell>
          <cell r="H66" t="str">
            <v>…</v>
          </cell>
          <cell r="J66" t="str">
            <v>…</v>
          </cell>
          <cell r="L66" t="str">
            <v>…</v>
          </cell>
          <cell r="N66" t="str">
            <v>90kW - 161A - 2x4x25mm² (max. 37m.)</v>
          </cell>
        </row>
        <row r="67">
          <cell r="B67" t="str">
            <v>…</v>
          </cell>
          <cell r="D67" t="str">
            <v>WAGO 4xDO / 24VDC / 0,5A (750-504)</v>
          </cell>
          <cell r="F67" t="str">
            <v>…</v>
          </cell>
          <cell r="H67" t="str">
            <v>…</v>
          </cell>
          <cell r="J67" t="str">
            <v>…</v>
          </cell>
          <cell r="L67" t="str">
            <v>…</v>
          </cell>
          <cell r="N67" t="str">
            <v>90kW - 161A - 2x4x35mm² (max. 53m.)</v>
          </cell>
        </row>
        <row r="68">
          <cell r="B68" t="str">
            <v>…</v>
          </cell>
          <cell r="D68" t="str">
            <v>WAGO 4xDO / 230VAC / 0,25A (753-540)</v>
          </cell>
          <cell r="F68" t="str">
            <v>…</v>
          </cell>
          <cell r="H68" t="str">
            <v>…</v>
          </cell>
          <cell r="J68" t="str">
            <v>…</v>
          </cell>
          <cell r="L68" t="str">
            <v>…</v>
          </cell>
          <cell r="N68" t="str">
            <v>110kW - 196A - 2x4x35mm² (max. 53m.)</v>
          </cell>
        </row>
        <row r="69">
          <cell r="B69" t="str">
            <v>…</v>
          </cell>
          <cell r="D69" t="str">
            <v>WAGO 8xDO / 24VDC / 0,5A (750-530)</v>
          </cell>
          <cell r="F69" t="str">
            <v>…</v>
          </cell>
          <cell r="H69" t="str">
            <v>…</v>
          </cell>
          <cell r="J69" t="str">
            <v>…</v>
          </cell>
          <cell r="L69" t="str">
            <v>…</v>
          </cell>
          <cell r="N69" t="str">
            <v>110kW - 196A - 2x4x50mm² (max. 72m.)</v>
          </cell>
        </row>
        <row r="70">
          <cell r="B70" t="str">
            <v>…</v>
          </cell>
          <cell r="D70" t="str">
            <v>WAGO 16xDO / 24VDC / 0,5A (750-1504)</v>
          </cell>
          <cell r="F70" t="str">
            <v>…</v>
          </cell>
          <cell r="H70" t="str">
            <v>…</v>
          </cell>
          <cell r="J70" t="str">
            <v>…</v>
          </cell>
          <cell r="L70" t="str">
            <v>…</v>
          </cell>
          <cell r="N70" t="str">
            <v>132kW - 231A - 2x4x50mm² (max. 61m.)</v>
          </cell>
        </row>
        <row r="71">
          <cell r="B71" t="str">
            <v>…</v>
          </cell>
          <cell r="D71" t="str">
            <v>…</v>
          </cell>
          <cell r="F71" t="str">
            <v>…</v>
          </cell>
          <cell r="H71" t="str">
            <v>…</v>
          </cell>
          <cell r="J71" t="str">
            <v>…</v>
          </cell>
          <cell r="L71" t="str">
            <v>…</v>
          </cell>
          <cell r="N71" t="str">
            <v>132kW - 231A - 2x4x70mm² (max. 89m.)</v>
          </cell>
        </row>
        <row r="72">
          <cell r="B72" t="str">
            <v>…</v>
          </cell>
          <cell r="D72" t="str">
            <v>…</v>
          </cell>
          <cell r="F72" t="str">
            <v>…</v>
          </cell>
          <cell r="H72" t="str">
            <v>…</v>
          </cell>
          <cell r="J72" t="str">
            <v>…</v>
          </cell>
          <cell r="L72" t="str">
            <v>…</v>
          </cell>
          <cell r="N72" t="str">
            <v>160kW - 279A - 2x4x70mm² (max. 64m.)</v>
          </cell>
        </row>
        <row r="73">
          <cell r="B73" t="str">
            <v>…</v>
          </cell>
          <cell r="D73" t="str">
            <v>…</v>
          </cell>
          <cell r="F73" t="str">
            <v>…</v>
          </cell>
          <cell r="H73" t="str">
            <v>…</v>
          </cell>
          <cell r="J73" t="str">
            <v>…</v>
          </cell>
          <cell r="L73" t="str">
            <v>…</v>
          </cell>
          <cell r="N73" t="str">
            <v>160kW - 279A - 2x4x95mm² (max. 89m.)</v>
          </cell>
        </row>
        <row r="74">
          <cell r="B74" t="str">
            <v>…</v>
          </cell>
          <cell r="D74" t="str">
            <v>…</v>
          </cell>
          <cell r="F74" t="str">
            <v>…</v>
          </cell>
          <cell r="H74" t="str">
            <v>…</v>
          </cell>
          <cell r="J74" t="str">
            <v>…</v>
          </cell>
          <cell r="L74" t="str">
            <v>…</v>
          </cell>
          <cell r="N74" t="str">
            <v>180kW - 333A - 2x4x95mm² (max. 67m.)</v>
          </cell>
        </row>
        <row r="75">
          <cell r="B75" t="str">
            <v>…</v>
          </cell>
          <cell r="D75" t="str">
            <v>…</v>
          </cell>
          <cell r="F75" t="str">
            <v>…</v>
          </cell>
          <cell r="H75" t="str">
            <v>…</v>
          </cell>
          <cell r="J75" t="str">
            <v>…</v>
          </cell>
          <cell r="L75" t="str">
            <v>…</v>
          </cell>
          <cell r="N75" t="str">
            <v>180kW - 333A - 2x4x120mm² (max. 85m.)</v>
          </cell>
        </row>
        <row r="76">
          <cell r="B76" t="str">
            <v>…</v>
          </cell>
          <cell r="D76" t="str">
            <v>…</v>
          </cell>
          <cell r="F76" t="str">
            <v>…</v>
          </cell>
          <cell r="H76" t="str">
            <v>…</v>
          </cell>
          <cell r="J76" t="str">
            <v>…</v>
          </cell>
          <cell r="L76" t="str">
            <v>…</v>
          </cell>
          <cell r="N76" t="str">
            <v>200kW - 349A - 2x4x95mm² (max. 67m.)</v>
          </cell>
        </row>
        <row r="77">
          <cell r="B77" t="str">
            <v>…</v>
          </cell>
          <cell r="D77" t="str">
            <v>…</v>
          </cell>
          <cell r="F77" t="str">
            <v>…</v>
          </cell>
          <cell r="H77" t="str">
            <v>…</v>
          </cell>
          <cell r="J77" t="str">
            <v>…</v>
          </cell>
          <cell r="L77" t="str">
            <v>…</v>
          </cell>
          <cell r="N77" t="str">
            <v>200kW - 349A - 2x4x120mm² (max. 85m.)</v>
          </cell>
        </row>
        <row r="78">
          <cell r="B78" t="str">
            <v>…</v>
          </cell>
          <cell r="D78" t="str">
            <v>…</v>
          </cell>
          <cell r="F78" t="str">
            <v>…</v>
          </cell>
          <cell r="H78" t="str">
            <v>…</v>
          </cell>
          <cell r="J78" t="str">
            <v>…</v>
          </cell>
          <cell r="L78" t="str">
            <v>…</v>
          </cell>
          <cell r="N78" t="str">
            <v>220kW - 385A - 2x4x120mm² (max. 64m.)</v>
          </cell>
        </row>
        <row r="79">
          <cell r="B79" t="str">
            <v>…</v>
          </cell>
          <cell r="D79" t="str">
            <v>PH Kopstation DP/V1         (IL PB BK DP/V1-PAC)</v>
          </cell>
          <cell r="F79" t="str">
            <v>…</v>
          </cell>
          <cell r="H79" t="str">
            <v>…</v>
          </cell>
          <cell r="J79" t="str">
            <v>…</v>
          </cell>
          <cell r="L79" t="str">
            <v>…</v>
          </cell>
          <cell r="N79" t="str">
            <v>220kW - 385A - 2x4x150mm² (max. 69m.)</v>
          </cell>
        </row>
        <row r="80">
          <cell r="B80" t="str">
            <v>…</v>
          </cell>
          <cell r="D80" t="str">
            <v>…</v>
          </cell>
          <cell r="F80" t="str">
            <v>…</v>
          </cell>
          <cell r="H80" t="str">
            <v>…</v>
          </cell>
          <cell r="J80" t="str">
            <v>…</v>
          </cell>
          <cell r="L80" t="str">
            <v>…</v>
          </cell>
          <cell r="N80" t="str">
            <v>250kW - 437A - 2x4x120mm² (max. 64m.)</v>
          </cell>
        </row>
        <row r="81">
          <cell r="B81" t="str">
            <v>…</v>
          </cell>
          <cell r="D81" t="str">
            <v>PH 2xAI (0/4-20mA/0-10V)       (IB IL AI 2/SF-ME)</v>
          </cell>
          <cell r="F81" t="str">
            <v>…</v>
          </cell>
          <cell r="H81" t="str">
            <v>…</v>
          </cell>
          <cell r="J81" t="str">
            <v>…</v>
          </cell>
          <cell r="L81" t="str">
            <v>…</v>
          </cell>
          <cell r="N81" t="str">
            <v>250kW - 437A - 2x4x150mm² (max. 69m.)</v>
          </cell>
        </row>
        <row r="82">
          <cell r="B82" t="str">
            <v>…</v>
          </cell>
          <cell r="D82" t="str">
            <v>PH 2xAO (0/4-20mA/0-10V) (IB IL AO 2/SF-PAC)</v>
          </cell>
          <cell r="F82" t="str">
            <v>…</v>
          </cell>
          <cell r="H82" t="str">
            <v>…</v>
          </cell>
          <cell r="J82" t="str">
            <v>…</v>
          </cell>
          <cell r="L82" t="str">
            <v>…</v>
          </cell>
          <cell r="N82" t="str">
            <v>300kW - 544A - 2x4x150mm² (max. 53m.)</v>
          </cell>
        </row>
        <row r="83">
          <cell r="B83" t="str">
            <v>…</v>
          </cell>
          <cell r="D83" t="str">
            <v>…</v>
          </cell>
          <cell r="F83" t="str">
            <v>…</v>
          </cell>
          <cell r="H83" t="str">
            <v>…</v>
          </cell>
          <cell r="J83" t="str">
            <v>…</v>
          </cell>
          <cell r="L83" t="str">
            <v>…</v>
          </cell>
          <cell r="N83" t="str">
            <v>300kW - 544A - 2x4x185mm² (max. 64m.)</v>
          </cell>
        </row>
        <row r="84">
          <cell r="B84" t="str">
            <v>…</v>
          </cell>
          <cell r="D84" t="str">
            <v>PH 2xAI (temp.)               (IB IL TEMP 2 RTD-PAC)</v>
          </cell>
          <cell r="F84" t="str">
            <v>…</v>
          </cell>
          <cell r="H84" t="str">
            <v>…</v>
          </cell>
          <cell r="J84" t="str">
            <v>…</v>
          </cell>
          <cell r="L84" t="str">
            <v>…</v>
          </cell>
          <cell r="N84" t="str">
            <v>315kW - 580A - 2x4x150mm² (max. 53m.)</v>
          </cell>
        </row>
        <row r="85">
          <cell r="B85" t="str">
            <v>…</v>
          </cell>
          <cell r="D85" t="str">
            <v>PH 4/8xAI (temp.)         (IB IL TEMP 4/8 RTD-PAC)</v>
          </cell>
          <cell r="F85" t="str">
            <v>…</v>
          </cell>
          <cell r="H85" t="str">
            <v>…</v>
          </cell>
          <cell r="J85" t="str">
            <v>…</v>
          </cell>
          <cell r="L85" t="str">
            <v>…</v>
          </cell>
          <cell r="N85" t="str">
            <v>315kW - 580A - 2x4x185mm² (max. 64m.)</v>
          </cell>
        </row>
        <row r="86">
          <cell r="B86" t="str">
            <v>…</v>
          </cell>
          <cell r="D86" t="str">
            <v>PH 2xAI (loadcells)                 (IB IL SGI 2/F-PAC)</v>
          </cell>
          <cell r="F86" t="str">
            <v>…</v>
          </cell>
          <cell r="H86" t="str">
            <v>…</v>
          </cell>
          <cell r="J86" t="str">
            <v>…</v>
          </cell>
          <cell r="L86" t="str">
            <v>…</v>
          </cell>
          <cell r="N86" t="str">
            <v>355kW - 613A - 2x4x185mm² (max. 64m.)</v>
          </cell>
        </row>
        <row r="87">
          <cell r="B87" t="str">
            <v>…</v>
          </cell>
          <cell r="D87" t="str">
            <v>…</v>
          </cell>
          <cell r="F87" t="str">
            <v>…</v>
          </cell>
          <cell r="H87" t="str">
            <v>…</v>
          </cell>
          <cell r="J87" t="str">
            <v>…</v>
          </cell>
          <cell r="L87" t="str">
            <v>…</v>
          </cell>
          <cell r="N87" t="str">
            <v>355kW - 613A - 2x4x240mm² (max. 80m.)</v>
          </cell>
        </row>
        <row r="88">
          <cell r="B88" t="str">
            <v>…</v>
          </cell>
          <cell r="D88" t="str">
            <v>PH 4xDI (2/3 wire)                   (IB IL 24 DI 4-PAC)</v>
          </cell>
          <cell r="F88" t="str">
            <v>…</v>
          </cell>
          <cell r="H88" t="str">
            <v>…</v>
          </cell>
          <cell r="J88" t="str">
            <v>…</v>
          </cell>
          <cell r="L88" t="str">
            <v>…</v>
          </cell>
          <cell r="N88" t="str">
            <v>400kW - 710A - 2x4x240mm² (max. 56m.)</v>
          </cell>
        </row>
        <row r="89">
          <cell r="B89" t="str">
            <v>…</v>
          </cell>
          <cell r="D89" t="str">
            <v>PH 8xDI (1 wire)                (IB IL 24 DI 8/HD-PAC)</v>
          </cell>
          <cell r="F89" t="str">
            <v>…</v>
          </cell>
          <cell r="H89" t="str">
            <v>…</v>
          </cell>
          <cell r="J89" t="str">
            <v>…</v>
          </cell>
          <cell r="L89" t="str">
            <v>…</v>
          </cell>
          <cell r="N89" t="str">
            <v>400kW - 710A - 2x4x300mm² (max. 68m.)</v>
          </cell>
        </row>
        <row r="90">
          <cell r="B90" t="str">
            <v>…</v>
          </cell>
          <cell r="D90" t="str">
            <v>PH 32xDI (1 wire)            (IB IL 24 DI 32/HD-PAC)</v>
          </cell>
          <cell r="F90" t="str">
            <v>…</v>
          </cell>
          <cell r="H90" t="str">
            <v>…</v>
          </cell>
          <cell r="J90" t="str">
            <v>…</v>
          </cell>
          <cell r="L90" t="str">
            <v>…</v>
          </cell>
          <cell r="N90" t="str">
            <v>450kW - 769A - 2x4x300mm² (max. 56m.)</v>
          </cell>
        </row>
        <row r="91">
          <cell r="B91" t="str">
            <v>…</v>
          </cell>
          <cell r="D91" t="str">
            <v>…</v>
          </cell>
          <cell r="F91" t="str">
            <v>…</v>
          </cell>
          <cell r="H91" t="str">
            <v>…</v>
          </cell>
          <cell r="J91" t="str">
            <v>…</v>
          </cell>
          <cell r="L91" t="str">
            <v>…</v>
          </cell>
          <cell r="N91" t="str">
            <v>500kW - 890A - 2x4x300mm² (max. 56m.)</v>
          </cell>
        </row>
        <row r="92">
          <cell r="B92" t="str">
            <v>…</v>
          </cell>
          <cell r="D92" t="str">
            <v>PH 4xDO (3 wire)                  (IB IL 24 DO 4-PAC)</v>
          </cell>
          <cell r="F92" t="str">
            <v>…</v>
          </cell>
          <cell r="H92" t="str">
            <v>…</v>
          </cell>
          <cell r="J92" t="str">
            <v>…</v>
          </cell>
          <cell r="L92" t="str">
            <v>…</v>
          </cell>
          <cell r="N92" t="str">
            <v>545kW - 968A</v>
          </cell>
        </row>
        <row r="93">
          <cell r="B93" t="str">
            <v>…</v>
          </cell>
          <cell r="D93" t="str">
            <v>PH 8xDO (1 wire)            (IB IL 24 DO 8/HD-PAC)</v>
          </cell>
          <cell r="F93" t="str">
            <v>…</v>
          </cell>
          <cell r="H93" t="str">
            <v>…</v>
          </cell>
          <cell r="J93" t="str">
            <v>…</v>
          </cell>
          <cell r="L93" t="str">
            <v>…</v>
          </cell>
          <cell r="N93" t="str">
            <v>545kW - 968A</v>
          </cell>
        </row>
        <row r="94">
          <cell r="B94" t="str">
            <v>…</v>
          </cell>
          <cell r="D94" t="str">
            <v>PH 32xDO (1 wire)        (IB IL 24 DO 32/HD-PAC)</v>
          </cell>
          <cell r="F94" t="str">
            <v>…</v>
          </cell>
          <cell r="H94" t="str">
            <v>…</v>
          </cell>
          <cell r="J94" t="str">
            <v>…</v>
          </cell>
          <cell r="L94" t="str">
            <v>…</v>
          </cell>
          <cell r="N94" t="str">
            <v>560kW - 947A</v>
          </cell>
        </row>
        <row r="95">
          <cell r="B95" t="str">
            <v>…</v>
          </cell>
          <cell r="D95" t="str">
            <v>…</v>
          </cell>
          <cell r="F95" t="str">
            <v>…</v>
          </cell>
          <cell r="H95" t="str">
            <v>…</v>
          </cell>
          <cell r="J95" t="str">
            <v>…</v>
          </cell>
          <cell r="L95" t="str">
            <v>…</v>
          </cell>
          <cell r="N95" t="str">
            <v>560kW - 947A</v>
          </cell>
        </row>
        <row r="96">
          <cell r="B96" t="str">
            <v>…</v>
          </cell>
          <cell r="D96" t="str">
            <v>…</v>
          </cell>
          <cell r="F96" t="str">
            <v>…</v>
          </cell>
          <cell r="H96" t="str">
            <v>…</v>
          </cell>
          <cell r="J96" t="str">
            <v>…</v>
          </cell>
          <cell r="L96" t="str">
            <v>…</v>
          </cell>
          <cell r="N96" t="str">
            <v>670kW - 1139A</v>
          </cell>
        </row>
        <row r="97">
          <cell r="B97" t="str">
            <v>…</v>
          </cell>
          <cell r="D97" t="str">
            <v>…</v>
          </cell>
          <cell r="F97" t="str">
            <v>…</v>
          </cell>
          <cell r="H97" t="str">
            <v>…</v>
          </cell>
          <cell r="J97" t="str">
            <v>…</v>
          </cell>
          <cell r="L97" t="str">
            <v>…</v>
          </cell>
          <cell r="N97" t="str">
            <v>670kW - 1139A</v>
          </cell>
        </row>
        <row r="98">
          <cell r="B98" t="str">
            <v>…</v>
          </cell>
          <cell r="D98" t="str">
            <v>…</v>
          </cell>
          <cell r="F98" t="str">
            <v>…</v>
          </cell>
          <cell r="H98" t="str">
            <v>…</v>
          </cell>
          <cell r="J98" t="str">
            <v>…</v>
          </cell>
          <cell r="L98" t="str">
            <v>…</v>
          </cell>
          <cell r="N98" t="str">
            <v>690kW - 1220A</v>
          </cell>
        </row>
        <row r="99">
          <cell r="B99" t="str">
            <v>…</v>
          </cell>
          <cell r="D99" t="str">
            <v>…</v>
          </cell>
          <cell r="F99" t="str">
            <v>…</v>
          </cell>
          <cell r="H99" t="str">
            <v>…</v>
          </cell>
          <cell r="J99" t="str">
            <v>…</v>
          </cell>
          <cell r="L99" t="str">
            <v>…</v>
          </cell>
          <cell r="N99" t="str">
            <v>690kW - 1220A</v>
          </cell>
        </row>
        <row r="100">
          <cell r="B100" t="str">
            <v>…</v>
          </cell>
          <cell r="D100" t="str">
            <v>…</v>
          </cell>
          <cell r="F100" t="str">
            <v>…</v>
          </cell>
          <cell r="H100" t="str">
            <v>…</v>
          </cell>
          <cell r="J100" t="str">
            <v>…</v>
          </cell>
          <cell r="L100" t="str">
            <v>…</v>
          </cell>
          <cell r="N100" t="str">
            <v>…</v>
          </cell>
        </row>
        <row r="101">
          <cell r="B101" t="str">
            <v>…</v>
          </cell>
          <cell r="D101" t="str">
            <v>…</v>
          </cell>
          <cell r="F101" t="str">
            <v>…</v>
          </cell>
          <cell r="H101" t="str">
            <v>…</v>
          </cell>
          <cell r="J101" t="str">
            <v>…</v>
          </cell>
          <cell r="L101" t="str">
            <v>…</v>
          </cell>
          <cell r="N101" t="str">
            <v>…</v>
          </cell>
        </row>
        <row r="102">
          <cell r="B102" t="str">
            <v>…</v>
          </cell>
          <cell r="D102" t="str">
            <v>…</v>
          </cell>
          <cell r="F102" t="str">
            <v>…</v>
          </cell>
          <cell r="H102" t="str">
            <v>…</v>
          </cell>
          <cell r="J102" t="str">
            <v>…</v>
          </cell>
          <cell r="L102" t="str">
            <v>…</v>
          </cell>
          <cell r="N102" t="str">
            <v>…</v>
          </cell>
        </row>
        <row r="103">
          <cell r="B103" t="str">
            <v>…</v>
          </cell>
          <cell r="D103" t="str">
            <v>…</v>
          </cell>
          <cell r="F103" t="str">
            <v>…</v>
          </cell>
          <cell r="H103" t="str">
            <v>…</v>
          </cell>
          <cell r="J103" t="str">
            <v>…</v>
          </cell>
          <cell r="L103" t="str">
            <v>…</v>
          </cell>
          <cell r="N103" t="str">
            <v>…</v>
          </cell>
        </row>
        <row r="104">
          <cell r="B104" t="str">
            <v>…</v>
          </cell>
          <cell r="D104" t="str">
            <v>…</v>
          </cell>
          <cell r="F104" t="str">
            <v>…</v>
          </cell>
          <cell r="H104" t="str">
            <v>…</v>
          </cell>
          <cell r="J104" t="str">
            <v>…</v>
          </cell>
          <cell r="L104" t="str">
            <v>…</v>
          </cell>
          <cell r="N104" t="str">
            <v>…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Data"/>
      <sheetName val="Cover"/>
      <sheetName val="คำแนะนำ"/>
      <sheetName val="สารบัญ"/>
      <sheetName val="ส่วนที่ 1"/>
      <sheetName val="ส่วนที่ 2"/>
      <sheetName val="2.1"/>
      <sheetName val="2.2"/>
      <sheetName val="ส่วนที่ 3 ค่าจ้างเริ่มต้น"/>
      <sheetName val="3.1"/>
      <sheetName val="3.2"/>
      <sheetName val="3.3"/>
      <sheetName val="3.4"/>
      <sheetName val="3.5"/>
      <sheetName val="3.6"/>
      <sheetName val="3.7"/>
      <sheetName val="3.8"/>
      <sheetName val="ส่วนที่ 4 สวัสดิการ"/>
      <sheetName val="4.1"/>
      <sheetName val="4.2"/>
      <sheetName val="4.3"/>
      <sheetName val="ส่วนที่ 5"/>
      <sheetName val="5.1"/>
      <sheetName val="ส่วนที่ 6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6.23"/>
      <sheetName val="C_6.24"/>
      <sheetName val="C_6.25"/>
      <sheetName val="C_6.26"/>
      <sheetName val="C_6.27"/>
      <sheetName val="C_6.28"/>
      <sheetName val="C_6.29"/>
      <sheetName val="6.30"/>
      <sheetName val="ส่วนที่ 7"/>
      <sheetName val="7.1"/>
      <sheetName val="7.2"/>
      <sheetName val="ส่วนที่ 8"/>
      <sheetName val="8.1"/>
      <sheetName val="8.2"/>
      <sheetName val="ส่วนที่ 9"/>
      <sheetName val="9.1"/>
      <sheetName val="9.2"/>
      <sheetName val="ส่วนที่ 10"/>
      <sheetName val="10.1"/>
      <sheetName val="ส่วนที่ 11"/>
      <sheetName val="11.1"/>
      <sheetName val="11.2"/>
      <sheetName val="11.3"/>
      <sheetName val="Job Level"/>
      <sheetName val="Sheet1"/>
    </sheetNames>
    <sheetDataSet>
      <sheetData sheetId="0">
        <row r="1">
          <cell r="B1" t="str">
            <v>32</v>
          </cell>
        </row>
        <row r="2">
          <cell r="B2">
            <v>35</v>
          </cell>
        </row>
        <row r="3">
          <cell r="B3">
            <v>36</v>
          </cell>
          <cell r="E3" t="str">
            <v>Manufacturing</v>
          </cell>
        </row>
        <row r="4">
          <cell r="B4">
            <v>37.5</v>
          </cell>
          <cell r="E4" t="str">
            <v>Service</v>
          </cell>
        </row>
        <row r="5">
          <cell r="B5">
            <v>40</v>
          </cell>
          <cell r="E5" t="str">
            <v>Trading</v>
          </cell>
        </row>
        <row r="6">
          <cell r="B6">
            <v>44</v>
          </cell>
        </row>
        <row r="7">
          <cell r="B7">
            <v>47.5</v>
          </cell>
        </row>
        <row r="8">
          <cell r="B8">
            <v>48</v>
          </cell>
        </row>
        <row r="9">
          <cell r="B9">
            <v>54</v>
          </cell>
        </row>
        <row r="10">
          <cell r="E10" t="str">
            <v>ไทย</v>
          </cell>
        </row>
        <row r="11">
          <cell r="B11" t="str">
            <v>ทำเอง</v>
          </cell>
          <cell r="E11" t="str">
            <v>ญี่ปุ่น</v>
          </cell>
        </row>
        <row r="12">
          <cell r="B12" t="str">
            <v>จ้างที่ปรึกษา</v>
          </cell>
          <cell r="E12" t="str">
            <v>ไต้หวัน</v>
          </cell>
        </row>
        <row r="13">
          <cell r="B13" t="str">
            <v>จ้างเหมา Outsource</v>
          </cell>
          <cell r="E13" t="str">
            <v>อเมริกัน</v>
          </cell>
        </row>
        <row r="14">
          <cell r="B14" t="str">
            <v>ทำเอง+จ้างที่ปรึกษา</v>
          </cell>
          <cell r="E14" t="str">
            <v>อังกฤษ</v>
          </cell>
        </row>
        <row r="15">
          <cell r="B15" t="str">
            <v>ทำเอง+จ้างเหมา</v>
          </cell>
          <cell r="E15" t="str">
            <v>อินเดีย</v>
          </cell>
        </row>
        <row r="16">
          <cell r="B16" t="str">
            <v>ทุกอย่าง</v>
          </cell>
          <cell r="E16" t="str">
            <v>ฝรั่งเศส</v>
          </cell>
        </row>
        <row r="17">
          <cell r="E17" t="str">
            <v>เยอรมัน</v>
          </cell>
        </row>
        <row r="18">
          <cell r="E18" t="str">
            <v>อื่น ๆ</v>
          </cell>
        </row>
        <row r="19">
          <cell r="B19" t="str">
            <v>Automobiles &amp; Auto Parts</v>
          </cell>
        </row>
        <row r="20">
          <cell r="B20" t="str">
            <v>Business and Industry Consultancy</v>
          </cell>
        </row>
        <row r="21">
          <cell r="B21" t="str">
            <v>Car Dealer</v>
          </cell>
        </row>
        <row r="22">
          <cell r="B22" t="str">
            <v>Chemical Products, Paint</v>
          </cell>
        </row>
        <row r="23">
          <cell r="B23" t="str">
            <v>Construction Material</v>
          </cell>
        </row>
        <row r="24">
          <cell r="B24" t="str">
            <v>Consumer Products, Retailer</v>
          </cell>
        </row>
        <row r="25">
          <cell r="B25" t="str">
            <v>Electrical &amp; Electronic Products</v>
          </cell>
        </row>
        <row r="26">
          <cell r="B26" t="str">
            <v>Food, Agricultural Products</v>
          </cell>
        </row>
        <row r="27">
          <cell r="B27" t="str">
            <v>Furniture</v>
          </cell>
          <cell r="E27" t="str">
            <v>มี</v>
          </cell>
        </row>
        <row r="28">
          <cell r="B28" t="str">
            <v>IT &amp; Computers</v>
          </cell>
          <cell r="E28" t="str">
            <v>ไม่มี</v>
          </cell>
        </row>
        <row r="29">
          <cell r="B29" t="str">
            <v>Logistics, Transportations, Warehouse</v>
          </cell>
        </row>
        <row r="30">
          <cell r="B30" t="str">
            <v>Media, Entertainment</v>
          </cell>
        </row>
        <row r="31">
          <cell r="B31" t="str">
            <v>MICE (Meetings, Incentives, Conventions and Exhibitions)</v>
          </cell>
          <cell r="E31">
            <v>50</v>
          </cell>
        </row>
        <row r="32">
          <cell r="B32" t="str">
            <v>Packaging</v>
          </cell>
          <cell r="E32">
            <v>55</v>
          </cell>
        </row>
        <row r="33">
          <cell r="B33" t="str">
            <v>Petrochemicals, Oil, Gas, Energy</v>
          </cell>
          <cell r="E33">
            <v>57</v>
          </cell>
        </row>
        <row r="34">
          <cell r="B34" t="str">
            <v>Pharmaceuticals, Medical Supplies, Cosmetics</v>
          </cell>
          <cell r="E34">
            <v>60</v>
          </cell>
        </row>
        <row r="35">
          <cell r="B35" t="str">
            <v>Plastic Products</v>
          </cell>
        </row>
        <row r="36">
          <cell r="B36" t="str">
            <v>Printing, Paper, Stationery</v>
          </cell>
        </row>
        <row r="37">
          <cell r="B37" t="str">
            <v>Real Estate Developers, Construction Contractors</v>
          </cell>
        </row>
        <row r="38">
          <cell r="B38" t="str">
            <v>Sales &amp; Marketing, Export &amp; Import</v>
          </cell>
        </row>
        <row r="39">
          <cell r="B39" t="str">
            <v>Service Agencies</v>
          </cell>
        </row>
        <row r="40">
          <cell r="B40" t="str">
            <v>Textile Products</v>
          </cell>
        </row>
        <row r="41">
          <cell r="E41" t="str">
            <v>จัด</v>
          </cell>
        </row>
        <row r="42">
          <cell r="E42" t="str">
            <v>ไม่จัด</v>
          </cell>
        </row>
        <row r="47">
          <cell r="E47" t="str">
            <v>Audi รุ่นA3</v>
          </cell>
        </row>
        <row r="48">
          <cell r="E48" t="str">
            <v xml:space="preserve">Audi รุ่นA4 </v>
          </cell>
        </row>
        <row r="49">
          <cell r="E49" t="str">
            <v xml:space="preserve">Audi รุ่นA6 </v>
          </cell>
        </row>
        <row r="50">
          <cell r="E50" t="str">
            <v xml:space="preserve">Audi รุ่นQ7 </v>
          </cell>
        </row>
        <row r="51">
          <cell r="E51" t="str">
            <v xml:space="preserve">Audi รุ่นTT </v>
          </cell>
        </row>
        <row r="52">
          <cell r="E52" t="str">
            <v>Audi รุ่นTT Coupe</v>
          </cell>
        </row>
        <row r="53">
          <cell r="E53" t="str">
            <v xml:space="preserve">BMW รุ่นSeries 3 </v>
          </cell>
        </row>
        <row r="54">
          <cell r="E54" t="str">
            <v xml:space="preserve">BMW รุ่นSeries 5 </v>
          </cell>
        </row>
        <row r="55">
          <cell r="E55" t="str">
            <v xml:space="preserve">BMW รุ่นSeries 6 </v>
          </cell>
        </row>
        <row r="56">
          <cell r="E56" t="str">
            <v>BMW รุ่นSeries 7</v>
          </cell>
        </row>
        <row r="57">
          <cell r="E57" t="str">
            <v xml:space="preserve">BMW รุ่นX3 </v>
          </cell>
        </row>
        <row r="58">
          <cell r="E58" t="str">
            <v xml:space="preserve">BMW รุ่นX5 </v>
          </cell>
        </row>
        <row r="59">
          <cell r="E59" t="str">
            <v xml:space="preserve">BMW รุ่นX6 </v>
          </cell>
        </row>
        <row r="60">
          <cell r="E60" t="str">
            <v>BMW รุ่นZ4</v>
          </cell>
        </row>
        <row r="61">
          <cell r="E61" t="str">
            <v>Chevrolet รุ่นAveo</v>
          </cell>
        </row>
        <row r="62">
          <cell r="E62" t="str">
            <v>Chevrolet รุ่นCaptiva</v>
          </cell>
        </row>
        <row r="63">
          <cell r="E63" t="str">
            <v xml:space="preserve">Chevrolet รุ่นColorado (2WD) </v>
          </cell>
        </row>
        <row r="64">
          <cell r="E64" t="str">
            <v xml:space="preserve">Chevrolet รุ่นColorado (4WD) </v>
          </cell>
        </row>
        <row r="65">
          <cell r="E65" t="str">
            <v>Chevrolet รุ่นOptra</v>
          </cell>
        </row>
        <row r="66">
          <cell r="E66" t="str">
            <v>Chevrolet รุ่นCruze</v>
          </cell>
        </row>
        <row r="67">
          <cell r="E67" t="str">
            <v xml:space="preserve">Citroen รุ่นBerlingo </v>
          </cell>
        </row>
        <row r="68">
          <cell r="E68" t="str">
            <v xml:space="preserve">Citroen รุ่นC3 </v>
          </cell>
        </row>
        <row r="69">
          <cell r="E69" t="str">
            <v xml:space="preserve">Citroen รุ่นC4 </v>
          </cell>
        </row>
        <row r="70">
          <cell r="E70" t="str">
            <v xml:space="preserve">Citroen รุ่นC5 </v>
          </cell>
        </row>
        <row r="71">
          <cell r="E71" t="str">
            <v xml:space="preserve">Citroen รุ่นC6 </v>
          </cell>
        </row>
        <row r="72">
          <cell r="E72" t="str">
            <v xml:space="preserve">Citroen รุ่นC8 </v>
          </cell>
        </row>
        <row r="73">
          <cell r="E73" t="str">
            <v xml:space="preserve">Citroen รุ่นXsara Picasso </v>
          </cell>
        </row>
        <row r="74">
          <cell r="E74" t="str">
            <v>Ford รุ่นEscape</v>
          </cell>
        </row>
        <row r="75">
          <cell r="E75" t="str">
            <v xml:space="preserve">Ford รุ่นEverest </v>
          </cell>
        </row>
        <row r="76">
          <cell r="E76" t="str">
            <v xml:space="preserve">Ford รุ่นFocus </v>
          </cell>
        </row>
        <row r="77">
          <cell r="E77" t="str">
            <v xml:space="preserve">Ford รุ่นRanger </v>
          </cell>
        </row>
        <row r="78">
          <cell r="E78" t="str">
            <v xml:space="preserve">Ford รุ่นFocus </v>
          </cell>
        </row>
        <row r="79">
          <cell r="E79" t="str">
            <v>Ford รุ่นFiesta</v>
          </cell>
        </row>
        <row r="80">
          <cell r="E80" t="str">
            <v>Ford รุ่นTerritory</v>
          </cell>
        </row>
        <row r="81">
          <cell r="E81" t="str">
            <v xml:space="preserve">Honda รุ่นAccord </v>
          </cell>
        </row>
        <row r="82">
          <cell r="E82" t="str">
            <v xml:space="preserve">Honda รุ่นCity </v>
          </cell>
        </row>
        <row r="83">
          <cell r="E83" t="str">
            <v xml:space="preserve">Honda รุ่นCivic </v>
          </cell>
        </row>
        <row r="84">
          <cell r="E84" t="str">
            <v xml:space="preserve">Honda รุ่นCR-V </v>
          </cell>
        </row>
        <row r="85">
          <cell r="E85" t="str">
            <v xml:space="preserve">Honda รุ่นJazz </v>
          </cell>
        </row>
        <row r="86">
          <cell r="E86" t="str">
            <v>Honda รุ่นBrio</v>
          </cell>
        </row>
        <row r="87">
          <cell r="E87" t="str">
            <v>Honda รุ่นFreed</v>
          </cell>
        </row>
        <row r="88">
          <cell r="E88" t="str">
            <v xml:space="preserve">Honda รุ่นStream </v>
          </cell>
        </row>
        <row r="89">
          <cell r="E89" t="str">
            <v>Honda รุ่นOdyssey</v>
          </cell>
        </row>
        <row r="90">
          <cell r="E90" t="str">
            <v xml:space="preserve">Hyundai รุ่นCoupe </v>
          </cell>
        </row>
        <row r="91">
          <cell r="E91" t="str">
            <v xml:space="preserve">Hyundai รุ่นH-1 </v>
          </cell>
        </row>
        <row r="92">
          <cell r="E92" t="str">
            <v xml:space="preserve">Hyundai รุ่นH-100 </v>
          </cell>
        </row>
        <row r="93">
          <cell r="E93" t="str">
            <v xml:space="preserve">Hyundai รุ่นSonata </v>
          </cell>
        </row>
        <row r="94">
          <cell r="E94" t="str">
            <v xml:space="preserve">Isuzu รุ่นD-Max Cab-4 </v>
          </cell>
        </row>
        <row r="95">
          <cell r="E95" t="str">
            <v xml:space="preserve">Isuzu รุ่นD-Max Rodeo </v>
          </cell>
        </row>
        <row r="96">
          <cell r="E96" t="str">
            <v xml:space="preserve">Isuzu รุ่นD-Max Space Cab </v>
          </cell>
        </row>
        <row r="97">
          <cell r="E97" t="str">
            <v xml:space="preserve">Isuzu รุ่นD-Max Spark </v>
          </cell>
        </row>
        <row r="98">
          <cell r="E98" t="str">
            <v xml:space="preserve">Isuzu รุ่นMU-7 </v>
          </cell>
        </row>
        <row r="99">
          <cell r="E99" t="str">
            <v>Isuzu รุ่นTrooper</v>
          </cell>
        </row>
        <row r="100">
          <cell r="E100" t="str">
            <v xml:space="preserve">Kia รุ่นCarens </v>
          </cell>
        </row>
        <row r="101">
          <cell r="E101" t="str">
            <v>Kia รุ่นCarnival</v>
          </cell>
        </row>
        <row r="102">
          <cell r="E102" t="str">
            <v>Kia รุ่นPregio</v>
          </cell>
        </row>
        <row r="103">
          <cell r="E103" t="str">
            <v xml:space="preserve">Kia รุ่นGrand Carnival </v>
          </cell>
        </row>
        <row r="104">
          <cell r="E104" t="str">
            <v xml:space="preserve">Kia รุ่นK 2700 </v>
          </cell>
        </row>
        <row r="105">
          <cell r="E105" t="str">
            <v xml:space="preserve">Kia รุ่นK 2900 </v>
          </cell>
        </row>
        <row r="106">
          <cell r="E106" t="str">
            <v xml:space="preserve">Kia รุ่นPicanto </v>
          </cell>
        </row>
        <row r="107">
          <cell r="E107" t="str">
            <v xml:space="preserve">Kia รุ่นPregio </v>
          </cell>
        </row>
        <row r="108">
          <cell r="E108" t="str">
            <v xml:space="preserve">Kia รุ่นSorento </v>
          </cell>
        </row>
        <row r="109">
          <cell r="E109" t="str">
            <v xml:space="preserve">Landrover รุ่นDiscovery 3 </v>
          </cell>
        </row>
        <row r="110">
          <cell r="E110" t="str">
            <v xml:space="preserve">Landrover รุ่นFreelander </v>
          </cell>
        </row>
        <row r="111">
          <cell r="E111" t="str">
            <v xml:space="preserve">Landrover รุ่นRange Rover </v>
          </cell>
        </row>
        <row r="112">
          <cell r="E112" t="str">
            <v xml:space="preserve">Lexus รุ่นGS 300 </v>
          </cell>
        </row>
        <row r="113">
          <cell r="E113" t="str">
            <v xml:space="preserve">Lexus รุ่นIS 250 </v>
          </cell>
        </row>
        <row r="114">
          <cell r="E114" t="str">
            <v xml:space="preserve">Lexus รุ่นLS 460L </v>
          </cell>
        </row>
        <row r="115">
          <cell r="E115" t="str">
            <v xml:space="preserve">Lexus รุ่นLS 460S </v>
          </cell>
        </row>
        <row r="116">
          <cell r="E116" t="str">
            <v xml:space="preserve">Lexus รุ่นNew RX350 </v>
          </cell>
        </row>
        <row r="117">
          <cell r="E117" t="str">
            <v xml:space="preserve">Lexus รุ่นRX450h </v>
          </cell>
        </row>
        <row r="118">
          <cell r="E118" t="str">
            <v xml:space="preserve">Mazda รุ่นBT-50 </v>
          </cell>
        </row>
        <row r="119">
          <cell r="E119" t="str">
            <v xml:space="preserve">Mazda รุ่นMazda 3 </v>
          </cell>
        </row>
        <row r="120">
          <cell r="E120" t="str">
            <v xml:space="preserve">Mazda รุ่นNew MX-5 </v>
          </cell>
        </row>
        <row r="121">
          <cell r="E121" t="str">
            <v xml:space="preserve">Mercedes-benz รุ่นB-Class </v>
          </cell>
        </row>
        <row r="122">
          <cell r="E122" t="str">
            <v xml:space="preserve">Mercedes-benz รุ่นC-Class </v>
          </cell>
        </row>
        <row r="123">
          <cell r="E123" t="str">
            <v xml:space="preserve">Mercedes-benz รุ่นCLC-Class </v>
          </cell>
        </row>
        <row r="124">
          <cell r="E124" t="str">
            <v xml:space="preserve">Mercedes-benz รุ่นCLS-Class </v>
          </cell>
        </row>
        <row r="125">
          <cell r="E125" t="str">
            <v xml:space="preserve">Mercedes-benz รุ่นE-Class </v>
          </cell>
        </row>
        <row r="126">
          <cell r="E126" t="str">
            <v xml:space="preserve">Mercedes-benz รุ่นM-Class </v>
          </cell>
        </row>
        <row r="127">
          <cell r="E127" t="str">
            <v xml:space="preserve">Mercedes-benz รุ่นR-Class </v>
          </cell>
        </row>
        <row r="128">
          <cell r="E128" t="str">
            <v xml:space="preserve">Mercedes-benz รุ่นSL-Class </v>
          </cell>
        </row>
        <row r="129">
          <cell r="E129" t="str">
            <v xml:space="preserve">Mercedes-benz รุ่นSLK-Class </v>
          </cell>
        </row>
        <row r="130">
          <cell r="E130" t="str">
            <v xml:space="preserve">Mercedes-benz รุ่นVito </v>
          </cell>
        </row>
        <row r="131">
          <cell r="E131" t="str">
            <v>Mitsubishi รุ่นNew Lancer</v>
          </cell>
        </row>
        <row r="132">
          <cell r="A132" t="str">
            <v>1. จัดทำโครงสร้างค่าตอบแทน Salary Structure</v>
          </cell>
          <cell r="E132" t="str">
            <v>Mitsubishi รุ่นPajero Sport</v>
          </cell>
        </row>
        <row r="133">
          <cell r="A133" t="str">
            <v>2. จัดทำการประเมินค่างานใหม่ (Job Evaluate)</v>
          </cell>
          <cell r="E133" t="str">
            <v>Mitsubishi รุ่นSpace Wagon</v>
          </cell>
        </row>
        <row r="134">
          <cell r="A134" t="str">
            <v>3. ทำระบบประเมินผลงาน (PMS)</v>
          </cell>
          <cell r="E134" t="str">
            <v xml:space="preserve">Mitsubishi รุ่นTriton (2WD) </v>
          </cell>
        </row>
        <row r="135">
          <cell r="A135" t="str">
            <v>4. วิเคราะห์ผังองค์กรใหม่ (Organization Design)</v>
          </cell>
          <cell r="E135" t="str">
            <v xml:space="preserve">Mitsubishi รุ่นTriton (4WD) </v>
          </cell>
        </row>
        <row r="136">
          <cell r="A136" t="str">
            <v>5. การจัดทำเส้นทางสายอาชีพของพนักงาน (Career Path)</v>
          </cell>
          <cell r="E136" t="str">
            <v>Mitsubishi รุ่นSpace wagon</v>
          </cell>
        </row>
        <row r="137">
          <cell r="A137" t="str">
            <v>6. การใช้สำรวจค่าจ้าง</v>
          </cell>
          <cell r="E137" t="str">
            <v>Mitsubishi รุ่นT</v>
          </cell>
        </row>
        <row r="138">
          <cell r="A138" t="str">
            <v>7. การทบทวนจัดทำ JD ใหม่</v>
          </cell>
          <cell r="E138" t="str">
            <v xml:space="preserve">Nissan รุ่นFrontier Commonrail </v>
          </cell>
        </row>
        <row r="139">
          <cell r="A139" t="str">
            <v>8. การสร้างระบบการสื่อสารข้อความภายในองค์กร</v>
          </cell>
          <cell r="E139" t="str">
            <v xml:space="preserve">Nissan รุ่นNavana Double Cab </v>
          </cell>
        </row>
        <row r="140">
          <cell r="A140" t="str">
            <v xml:space="preserve">9. การทำ Benchmark กับองค์กร </v>
          </cell>
          <cell r="E140" t="str">
            <v xml:space="preserve">Nissan รุ่นNavana King Cab </v>
          </cell>
        </row>
        <row r="141">
          <cell r="A141" t="str">
            <v>10. การใช้ระบบ IT มาช่วยลดงานบุคคล</v>
          </cell>
          <cell r="E141" t="str">
            <v xml:space="preserve">Nissan รุ่นNavana Single Cab </v>
          </cell>
        </row>
        <row r="142">
          <cell r="E142" t="str">
            <v>Nissan รุ่นMurano</v>
          </cell>
        </row>
        <row r="143">
          <cell r="E143" t="str">
            <v>Nissan รุ่นTeana</v>
          </cell>
        </row>
        <row r="144">
          <cell r="A144" t="str">
            <v>1. การฝึกอบรม Training</v>
          </cell>
          <cell r="E144" t="str">
            <v xml:space="preserve">Nissan รุ่นTIIDA Hatchback </v>
          </cell>
        </row>
        <row r="145">
          <cell r="A145" t="str">
            <v>2. การพัฒนาตามระบบสมรรถนะ Competency</v>
          </cell>
          <cell r="E145" t="str">
            <v xml:space="preserve">Nissan รุ่นTIIDA Latio </v>
          </cell>
        </row>
        <row r="146">
          <cell r="A146" t="str">
            <v>3. แผนพัฒนารายบุคคล IDP</v>
          </cell>
          <cell r="E146" t="str">
            <v xml:space="preserve">Nissan รุ่นURVAN </v>
          </cell>
        </row>
        <row r="147">
          <cell r="A147" t="str">
            <v>4. การพัฒนาระบบพี่เลี่ยง</v>
          </cell>
          <cell r="E147" t="str">
            <v>Peugeot รุ่น206</v>
          </cell>
        </row>
        <row r="148">
          <cell r="A148" t="str">
            <v>5. การพัฒนาระบบ โค้ช และการสอนงาน</v>
          </cell>
          <cell r="E148" t="str">
            <v>Peugeot รุ่น207</v>
          </cell>
        </row>
        <row r="149">
          <cell r="A149" t="str">
            <v>6. Traning Road Map</v>
          </cell>
          <cell r="E149" t="str">
            <v>Peugeot รุ่น307</v>
          </cell>
        </row>
        <row r="150">
          <cell r="A150" t="str">
            <v>7. การจัดตั้ง Tranining Center</v>
          </cell>
          <cell r="E150" t="str">
            <v>Peugeot รุ่น407</v>
          </cell>
        </row>
        <row r="151">
          <cell r="A151" t="str">
            <v>8. การจัดตั้งศุนย์ให้คำปรึกษาพนักง่าน</v>
          </cell>
          <cell r="E151" t="str">
            <v>Peugeot รุ่น607</v>
          </cell>
        </row>
        <row r="152">
          <cell r="A152" t="str">
            <v>9. การจัดทำศูนย์ประเมินผลงาน (Assessment Center)</v>
          </cell>
          <cell r="E152" t="str">
            <v>Peugeot รุ่น807</v>
          </cell>
        </row>
        <row r="153">
          <cell r="A153" t="str">
            <v>10. การใช้ระบบ IT มาช่วยลดงานพัฒนาบุคคล</v>
          </cell>
          <cell r="E153" t="str">
            <v xml:space="preserve">Peugeot รุ่นPartner </v>
          </cell>
        </row>
        <row r="154">
          <cell r="E154" t="str">
            <v xml:space="preserve">Proton รุ่นGEN 2 1.6L </v>
          </cell>
        </row>
        <row r="155">
          <cell r="E155" t="str">
            <v xml:space="preserve">Proton รุ่นNEO 1.6L </v>
          </cell>
        </row>
        <row r="156">
          <cell r="A156" t="str">
            <v>วิศวกร</v>
          </cell>
          <cell r="B156" t="str">
            <v>ปริญญาตรี สาขาบัญชี</v>
          </cell>
          <cell r="E156" t="str">
            <v xml:space="preserve">Proton รุ่นPersona 1.6L </v>
          </cell>
        </row>
        <row r="157">
          <cell r="A157" t="str">
            <v>ช่าง</v>
          </cell>
          <cell r="B157" t="str">
            <v>ปริญญาตรี สาขาอาชีวอนามัย</v>
          </cell>
          <cell r="E157" t="str">
            <v xml:space="preserve">Proton รุ่นPersona 1.6L CNG </v>
          </cell>
        </row>
        <row r="158">
          <cell r="A158" t="str">
            <v>พนักงานขาย</v>
          </cell>
          <cell r="B158" t="str">
            <v>ปริญญาตรี สาขาวิทยาศาสตร์</v>
          </cell>
          <cell r="E158" t="str">
            <v xml:space="preserve">Proton รุ่นSAVVY 1.2L </v>
          </cell>
        </row>
        <row r="159">
          <cell r="A159" t="str">
            <v>พนักงานบัญชี</v>
          </cell>
          <cell r="B159" t="str">
            <v>ปริญญาตรี สาขาไอที</v>
          </cell>
          <cell r="E159" t="str">
            <v>Saab รุ่น39881</v>
          </cell>
        </row>
        <row r="160">
          <cell r="A160" t="str">
            <v>เจ้าหน้าที่ไอที</v>
          </cell>
          <cell r="B160" t="str">
            <v>ปริญญาตรี สาขาภาษาศาสตร์</v>
          </cell>
          <cell r="E160" t="str">
            <v>Saab รุ่น39942</v>
          </cell>
        </row>
        <row r="161">
          <cell r="A161" t="str">
            <v>เจ้าหน้าที่ความปลอดภัย</v>
          </cell>
          <cell r="B161" t="str">
            <v>ปริญญาตรี สาขาการตลาด</v>
          </cell>
          <cell r="E161" t="str">
            <v xml:space="preserve">Skoda รุ่นOctavia </v>
          </cell>
        </row>
        <row r="162">
          <cell r="A162" t="str">
            <v>พนักงาน QA</v>
          </cell>
          <cell r="B162" t="str">
            <v>ปริญญาตรี สาขาวิศวกรรมศาสตร์</v>
          </cell>
          <cell r="E162" t="str">
            <v xml:space="preserve">Subaru รุ่นForester </v>
          </cell>
        </row>
        <row r="163">
          <cell r="A163" t="str">
            <v>พนักงาน R&amp;D</v>
          </cell>
          <cell r="B163" t="str">
            <v>ปวช. - ปวส. สาขาช่าง</v>
          </cell>
          <cell r="E163" t="str">
            <v xml:space="preserve">Subaru รุ่นImperza </v>
          </cell>
        </row>
        <row r="164">
          <cell r="A164" t="str">
            <v>เจ้าหน้าที่บุคคล</v>
          </cell>
          <cell r="B164" t="str">
            <v>ปวช. - ปวส. สาขาอื่นๆ</v>
          </cell>
          <cell r="E164" t="str">
            <v xml:space="preserve">Subaru รุ่นLegacy </v>
          </cell>
        </row>
        <row r="165">
          <cell r="A165" t="str">
            <v>ล่าม</v>
          </cell>
          <cell r="B165" t="str">
            <v>มัธยม</v>
          </cell>
          <cell r="E165" t="str">
            <v xml:space="preserve">Subaru รุ่นOutBack </v>
          </cell>
        </row>
        <row r="166">
          <cell r="E166" t="str">
            <v xml:space="preserve">Subaru รุ่นR1 R </v>
          </cell>
        </row>
        <row r="167">
          <cell r="E167" t="str">
            <v xml:space="preserve">Subaru รุ่นR2 R </v>
          </cell>
        </row>
        <row r="168">
          <cell r="E168" t="str">
            <v xml:space="preserve">Suzuki รุ่นAPV </v>
          </cell>
        </row>
        <row r="169">
          <cell r="A169" t="str">
            <v>1. ขาดการมีระบบการวางแผนอัตรากำลังคนในระยะยาว</v>
          </cell>
          <cell r="E169" t="str">
            <v xml:space="preserve">Suzuki รุ่นCarry Pick-Up </v>
          </cell>
        </row>
        <row r="170">
          <cell r="A170" t="str">
            <v>2. Organization Chart เปลี่ยนแปลงบ่อย</v>
          </cell>
          <cell r="E170" t="str">
            <v xml:space="preserve">Suzuki รุ่นGrand Vitara </v>
          </cell>
        </row>
        <row r="171">
          <cell r="A171" t="str">
            <v>3. Organization Chart  ไม่ชัดเจน</v>
          </cell>
          <cell r="E171" t="str">
            <v>Tata</v>
          </cell>
        </row>
        <row r="172">
          <cell r="A172" t="str">
            <v>4. พนักงานระดับต่ำกว่า ม.6 ขาดแคลน</v>
          </cell>
          <cell r="E172" t="str">
            <v xml:space="preserve">Tata รุ่นXenon </v>
          </cell>
        </row>
        <row r="173">
          <cell r="A173" t="str">
            <v>5. พนักงานระดับ ปวส.ขาดแคลน</v>
          </cell>
          <cell r="E173" t="str">
            <v xml:space="preserve">Toyota รุ่นAvanza </v>
          </cell>
        </row>
        <row r="174">
          <cell r="A174" t="str">
            <v>6. การสรรหาไม่เป็นไปตามเป้าหมาย</v>
          </cell>
          <cell r="E174" t="str">
            <v xml:space="preserve">Toyota รุ่นCamry </v>
          </cell>
        </row>
        <row r="175">
          <cell r="A175" t="str">
            <v>7. ผู้บริหารขาดทักษะในสัมภาษณ์พนักงาน</v>
          </cell>
          <cell r="E175" t="str">
            <v xml:space="preserve">Toyota รุ่นCorolla Altis </v>
          </cell>
        </row>
        <row r="176">
          <cell r="A176" t="str">
            <v>8. พนักงานจบใหม่เรียกเงินเดือนเท่ากับหรือสูงกว่า 15,000 แต่ Strating ของบริษัทไม่ถึง</v>
          </cell>
          <cell r="E176" t="str">
            <v xml:space="preserve">Toyota รุ่นFortuner </v>
          </cell>
        </row>
        <row r="177">
          <cell r="A177" t="str">
            <v>9. วิศวกรหายากมาก</v>
          </cell>
          <cell r="E177" t="str">
            <v xml:space="preserve">Toyota รุ่นHilux Vigo 2 WD </v>
          </cell>
        </row>
        <row r="178">
          <cell r="A178" t="str">
            <v>10. สัมภาษณ์ได้คนแล้ว แต่วันเริ่มงานไม่มา</v>
          </cell>
          <cell r="E178" t="str">
            <v xml:space="preserve">Toyota รุ่นHilux Vigo 4 WD </v>
          </cell>
        </row>
        <row r="179">
          <cell r="A179" t="str">
            <v>11. โครงสร้างเงินเดือนไม่เหมาะสม ไม่สามารถแข่งขันกับตลาดแรงงานได้</v>
          </cell>
          <cell r="E179" t="str">
            <v xml:space="preserve">Toyota รุ่นInnova </v>
          </cell>
        </row>
        <row r="180">
          <cell r="A180" t="str">
            <v>12. แบบฟอร์มประเมินผลไม่ชัดเจน วัดผลไม่ได้</v>
          </cell>
          <cell r="E180" t="str">
            <v xml:space="preserve">Toyota รุ่นVios </v>
          </cell>
        </row>
        <row r="181">
          <cell r="A181" t="str">
            <v>13. ทีมงาน HRM ไม่เพียงพอกับปริมาณงานที่รับผิดชอบ</v>
          </cell>
          <cell r="E181" t="str">
            <v>Toyota รุ่นYaris</v>
          </cell>
        </row>
        <row r="182">
          <cell r="A182" t="str">
            <v>14. ทีมงาน HRM ขาดความเข้าใจในระบบงาน HRM มุ่งเน้นแต่ทำงานเชิงรับมากกว่าเชิงรุก</v>
          </cell>
          <cell r="E182" t="str">
            <v>Toyota รุ่นAltis</v>
          </cell>
        </row>
        <row r="183">
          <cell r="A183" t="str">
            <v>15. อัตราเงินเดือนขึ้นประจำปีไม่ยุติธรรมกับภาระงาน</v>
          </cell>
          <cell r="E183" t="str">
            <v>Toyota รุ่นPrius</v>
          </cell>
        </row>
        <row r="184">
          <cell r="A184" t="str">
            <v>16. พนักงานขาดขวัญกำลังใจ ทำงานไม่มีความสุข</v>
          </cell>
          <cell r="E184" t="str">
            <v xml:space="preserve">Toyota รุ่นWish </v>
          </cell>
        </row>
        <row r="185">
          <cell r="A185" t="str">
            <v>17. ขาดหลักเกณฑ์ในการปรับเงินเดือนและจ่ายโบนัสให้กับพนักงานที่ดี</v>
          </cell>
          <cell r="E185" t="str">
            <v>Toyota รุ่นCommuter</v>
          </cell>
        </row>
        <row r="186">
          <cell r="A186" t="str">
            <v>18. เกณฑ์การเลื่อนขั้น ตำแหน่งมีแต่ไม่เหมาะสมกับปัจจุบัน</v>
          </cell>
          <cell r="E186" t="str">
            <v>Toyota รุ่นHiace</v>
          </cell>
        </row>
        <row r="187">
          <cell r="A187" t="str">
            <v>19. ผู้บริหารสื่อสารขาดความน่าเชื่อถือ</v>
          </cell>
          <cell r="E187" t="str">
            <v>Toyota รุ่นVentury</v>
          </cell>
        </row>
        <row r="188">
          <cell r="A188" t="str">
            <v>20. ปัญหาการเมืองในองค์กร ระบบเส้นสาย พวกใครพวกมัน</v>
          </cell>
          <cell r="E188" t="str">
            <v xml:space="preserve">Volkswagen รุ่นCaravelle </v>
          </cell>
        </row>
        <row r="189">
          <cell r="A189" t="str">
            <v>21. ระบบ Force Rank ทำให้ขาดขวัญกำลังใจที่ดี</v>
          </cell>
          <cell r="E189" t="str">
            <v xml:space="preserve">Volkswagen รุ่นTouareg </v>
          </cell>
        </row>
        <row r="190">
          <cell r="E190" t="str">
            <v xml:space="preserve">Volvo รุ่นC30 </v>
          </cell>
        </row>
        <row r="191">
          <cell r="E191" t="str">
            <v xml:space="preserve">Volvo รุ่นC70 </v>
          </cell>
        </row>
        <row r="192">
          <cell r="A192" t="str">
            <v>1. หัวหน้าไม่ให้ความร่วมมือส่งพนักงานเข้าอบรม</v>
          </cell>
          <cell r="E192" t="str">
            <v xml:space="preserve">Volvo รุ่นS60 </v>
          </cell>
        </row>
        <row r="193">
          <cell r="A193" t="str">
            <v>2. การจัดฝึกอบรมมุ่งเน้นการจัดตามความต้องการของผู้บริหาร (want) มากกว่าความจำเป็นที่แท้จริง (need)</v>
          </cell>
          <cell r="E193" t="str">
            <v xml:space="preserve">Volvo รุ่นS80 </v>
          </cell>
        </row>
        <row r="194">
          <cell r="A194" t="str">
            <v>3. ขาดการประเมินผลอบรมที่เป็นรูปธรรม</v>
          </cell>
          <cell r="E194" t="str">
            <v xml:space="preserve">Volvo รุ่นV70 </v>
          </cell>
        </row>
        <row r="195">
          <cell r="A195" t="str">
            <v>4. ขาดการพัฒนาผู้บริหารที่จะก้าวขึ้นสู่ตำแหน่งงานที่สูงขึ้น</v>
          </cell>
          <cell r="E195" t="str">
            <v xml:space="preserve">Volvo รุ่นXC90 </v>
          </cell>
        </row>
        <row r="196">
          <cell r="A196" t="str">
            <v>5. ผู้บริหารไม่สนใจเรื่องพัฒนาคน เพราะคิดว่าไม่มีประโยชน์</v>
          </cell>
        </row>
        <row r="197">
          <cell r="A197" t="str">
            <v>6. องค์กรไม่เคยอบรมด้าน soft skill เพราะมุ่งเน้นต่อ Technical skill</v>
          </cell>
        </row>
        <row r="198">
          <cell r="A198" t="str">
            <v>7. การเชื่อมโยงระบบพัฒนาคนกับการบริหารองค์กร</v>
          </cell>
        </row>
        <row r="199">
          <cell r="A199" t="str">
            <v>8. งานพัฒนาพนักงานยังรวมอยู่กับอื่นๆ เลยไม่มีเวลาเพียงพอไปพัฒนา</v>
          </cell>
        </row>
        <row r="200">
          <cell r="A200" t="str">
            <v>9. ขาดระบบการบริหาร Talent และ Successor</v>
          </cell>
        </row>
        <row r="201">
          <cell r="A201" t="str">
            <v>10. ไม่มีพี่เลี้ยงช่วยสอนงาน</v>
          </cell>
        </row>
        <row r="202">
          <cell r="A202" t="str">
            <v>11. หัวหน้ามีทัศนคติที่กลัวว่า หากลูกน้องเก่งกว่าตัวเองจะไม่มีงานทำ</v>
          </cell>
        </row>
        <row r="203">
          <cell r="A203" t="str">
            <v>12. หัวหน้าขาดทักษะในการสอนงาน</v>
          </cell>
        </row>
        <row r="204">
          <cell r="A204" t="str">
            <v>13. หัวหน้าไม่เข้าใจเรื่องการบริหารงานบุคคล เพราะคิดว่าเป็นงานของฝ่ายบุคคล</v>
          </cell>
        </row>
        <row r="205">
          <cell r="A205" t="str">
            <v>14. ขาดระบบการใช้เทคโนโลยีการพัฒนาพนักงาน</v>
          </cell>
        </row>
        <row r="206">
          <cell r="A206" t="str">
            <v>15. การพัฒนาพนักงานจะเป็นไปตามกฎหมายกำหนดเท่านั้น เช่น ซ้อมดับเพลิง หรืองานตาม ISO</v>
          </cell>
        </row>
        <row r="207">
          <cell r="A207" t="str">
            <v>16. ทีมงาน HRD ไม่เพียงพอกับปริมาณงานที่รับผิดชอบ</v>
          </cell>
        </row>
        <row r="208">
          <cell r="A208" t="str">
            <v>17. ทีมงาน HRD ขาดความเข้าใจในระบบงาน HRD มุ่งเน้นแต่ทำงานเชิงรับมากกว่าเชิงรุก</v>
          </cell>
          <cell r="E208" t="str">
            <v>10 บาท</v>
          </cell>
        </row>
        <row r="209">
          <cell r="A209" t="str">
            <v>18. หาวิทยากรที่เหมาะสมกับการพัฒนาคนได้ยาก ไม่ตรงกับหลักสูตร</v>
          </cell>
          <cell r="E209" t="str">
            <v>9 บาท</v>
          </cell>
        </row>
        <row r="210">
          <cell r="E210" t="str">
            <v>8 บาท</v>
          </cell>
        </row>
        <row r="211">
          <cell r="E211" t="str">
            <v>7 บาท</v>
          </cell>
        </row>
        <row r="212">
          <cell r="E212" t="str">
            <v>6 บาท</v>
          </cell>
        </row>
        <row r="213">
          <cell r="E213" t="str">
            <v>5 บาท</v>
          </cell>
        </row>
        <row r="214">
          <cell r="A214" t="str">
            <v>Balanced Scored Card</v>
          </cell>
          <cell r="E214" t="str">
            <v>4 บาท</v>
          </cell>
        </row>
        <row r="215">
          <cell r="A215" t="str">
            <v>Career Development</v>
          </cell>
          <cell r="E215" t="str">
            <v>3 บาท</v>
          </cell>
        </row>
        <row r="216">
          <cell r="A216" t="str">
            <v>Competency</v>
          </cell>
          <cell r="E216" t="str">
            <v>2 บาท</v>
          </cell>
        </row>
        <row r="217">
          <cell r="A217" t="str">
            <v>CSR</v>
          </cell>
        </row>
        <row r="218">
          <cell r="A218" t="str">
            <v>EQ</v>
          </cell>
        </row>
        <row r="219">
          <cell r="A219" t="str">
            <v>GMP</v>
          </cell>
          <cell r="E219" t="str">
            <v>รวม</v>
          </cell>
        </row>
        <row r="220">
          <cell r="A220" t="str">
            <v>HA</v>
          </cell>
          <cell r="E220" t="str">
            <v>ไม่รวม</v>
          </cell>
        </row>
        <row r="221">
          <cell r="A221" t="str">
            <v>IDP</v>
          </cell>
        </row>
        <row r="222">
          <cell r="A222" t="str">
            <v>ISO</v>
          </cell>
        </row>
        <row r="223">
          <cell r="A223" t="str">
            <v>Kaizen</v>
          </cell>
          <cell r="E223" t="str">
            <v>1 ชุด</v>
          </cell>
        </row>
        <row r="224">
          <cell r="A224" t="str">
            <v>KPIs</v>
          </cell>
          <cell r="E224" t="str">
            <v>2 ชุด</v>
          </cell>
        </row>
        <row r="225">
          <cell r="A225" t="str">
            <v>Lean Management</v>
          </cell>
          <cell r="E225" t="str">
            <v>3 ชุด</v>
          </cell>
        </row>
        <row r="226">
          <cell r="A226" t="str">
            <v>TPM</v>
          </cell>
          <cell r="E226" t="str">
            <v>4 ชุด</v>
          </cell>
        </row>
        <row r="227">
          <cell r="A227" t="str">
            <v>TQA</v>
          </cell>
          <cell r="E227" t="str">
            <v>5 ชุด</v>
          </cell>
        </row>
        <row r="228">
          <cell r="A228" t="str">
            <v>TQM</v>
          </cell>
          <cell r="E228" t="str">
            <v>6 ชุด</v>
          </cell>
        </row>
        <row r="229">
          <cell r="A229" t="str">
            <v>Training Roadmap</v>
          </cell>
        </row>
        <row r="230">
          <cell r="A230" t="str">
            <v>กฎหมายธุรกิจ</v>
          </cell>
        </row>
        <row r="231">
          <cell r="A231" t="str">
            <v>กฎหมายแรงงาน/ประกันสังคม</v>
          </cell>
          <cell r="E231" t="str">
            <v>มีระบบ</v>
          </cell>
        </row>
        <row r="232">
          <cell r="A232" t="str">
            <v>การแก้ปัญหาและตัดสินใจ</v>
          </cell>
          <cell r="E232" t="str">
            <v>ไม่มีระบบ</v>
          </cell>
        </row>
        <row r="233">
          <cell r="A233" t="str">
            <v>การขาย</v>
          </cell>
        </row>
        <row r="234">
          <cell r="A234" t="str">
            <v>การจัดซื้อ</v>
          </cell>
        </row>
        <row r="235">
          <cell r="A235" t="str">
            <v>การจัดทำแผนงาน</v>
          </cell>
          <cell r="E235" t="str">
            <v>ใช้</v>
          </cell>
        </row>
        <row r="236">
          <cell r="A236" t="str">
            <v>การเจรจาต่อรอง</v>
          </cell>
          <cell r="E236" t="str">
            <v>ไม่ใช้</v>
          </cell>
        </row>
        <row r="237">
          <cell r="A237" t="str">
            <v>การตลาด</v>
          </cell>
        </row>
        <row r="238">
          <cell r="A238" t="str">
            <v>การนำเสนอ</v>
          </cell>
        </row>
        <row r="239">
          <cell r="A239" t="str">
            <v>การบริการ</v>
          </cell>
        </row>
        <row r="240">
          <cell r="A240" t="str">
            <v>การบริหารการเปลี่ยนแปลง</v>
          </cell>
        </row>
        <row r="241">
          <cell r="A241" t="str">
            <v>การบริหารความขัดแย้ง</v>
          </cell>
        </row>
        <row r="242">
          <cell r="A242" t="str">
            <v>การบริหารทรัพยากรมนุษย์</v>
          </cell>
        </row>
        <row r="243">
          <cell r="A243" t="str">
            <v>การบริหารทีมงาน</v>
          </cell>
        </row>
        <row r="244">
          <cell r="A244" t="str">
            <v>การประเมินผลงาน</v>
          </cell>
          <cell r="E244" t="str">
            <v>10 - 15%</v>
          </cell>
        </row>
        <row r="245">
          <cell r="A245" t="str">
            <v>การผลิต</v>
          </cell>
          <cell r="E245" t="str">
            <v>16 - 20%</v>
          </cell>
        </row>
        <row r="246">
          <cell r="A246" t="str">
            <v>การพัฒนาบุคลากร</v>
          </cell>
          <cell r="E246" t="str">
            <v>21 - 25%</v>
          </cell>
        </row>
        <row r="247">
          <cell r="A247" t="str">
            <v>การลดต้นทุน/เพิ่มผลผลิต</v>
          </cell>
          <cell r="E247" t="str">
            <v>26 - 30%</v>
          </cell>
        </row>
        <row r="248">
          <cell r="A248" t="str">
            <v>การวางแผนกลยุทธ์</v>
          </cell>
          <cell r="E248" t="str">
            <v>31 - 35%</v>
          </cell>
        </row>
        <row r="249">
          <cell r="A249" t="str">
            <v>การวางแผนธุรกิจ</v>
          </cell>
          <cell r="E249" t="str">
            <v>36 - 40%</v>
          </cell>
        </row>
        <row r="250">
          <cell r="A250" t="str">
            <v>การสร้างทีมงาน</v>
          </cell>
          <cell r="E250" t="str">
            <v>41 - 45%</v>
          </cell>
        </row>
        <row r="251">
          <cell r="A251" t="str">
            <v>การสอนงาน (Coaching)</v>
          </cell>
          <cell r="E251" t="str">
            <v>46 - 50%</v>
          </cell>
        </row>
        <row r="252">
          <cell r="A252" t="str">
            <v>การสัมภาษณ์</v>
          </cell>
        </row>
        <row r="253">
          <cell r="A253" t="str">
            <v>การสื่อสาร</v>
          </cell>
        </row>
        <row r="254">
          <cell r="A254" t="str">
            <v>ความปลอดภัยและอาชีวอนามัย</v>
          </cell>
        </row>
        <row r="255">
          <cell r="A255" t="str">
            <v>ความรู้เกี่ยวกับผลิตภัณฑ์</v>
          </cell>
        </row>
        <row r="256">
          <cell r="A256" t="str">
            <v>ความรู้ในสายวิชาชีพ</v>
          </cell>
        </row>
        <row r="257">
          <cell r="A257" t="str">
            <v>ความรู้เรื่องยาเสพติด</v>
          </cell>
        </row>
        <row r="258">
          <cell r="A258" t="str">
            <v>ความสุขในการทำงาน</v>
          </cell>
        </row>
        <row r="259">
          <cell r="A259" t="str">
            <v>คิดเป็นระบบ</v>
          </cell>
        </row>
        <row r="260">
          <cell r="A260" t="str">
            <v>คิดสร้างสรรค์</v>
          </cell>
        </row>
        <row r="261">
          <cell r="A261" t="str">
            <v>โครงสร้างเงินเดือน</v>
          </cell>
        </row>
        <row r="262">
          <cell r="A262" t="str">
            <v>จิตวิทยาการจูงใจ</v>
          </cell>
        </row>
        <row r="263">
          <cell r="A263" t="str">
            <v>ทักษะคอมพิวเตอร์</v>
          </cell>
        </row>
        <row r="264">
          <cell r="A264" t="str">
            <v>ทักษะหัวหน้างาน</v>
          </cell>
        </row>
        <row r="265">
          <cell r="A265" t="str">
            <v>ธรรมะ</v>
          </cell>
        </row>
        <row r="266">
          <cell r="A266" t="str">
            <v>ภาวะผู้นำ</v>
          </cell>
        </row>
        <row r="267">
          <cell r="A267" t="str">
            <v>ภาษา</v>
          </cell>
        </row>
        <row r="268">
          <cell r="A268" t="str">
            <v>ระบบ 5 ส</v>
          </cell>
        </row>
        <row r="269">
          <cell r="A269" t="str">
            <v>ระบบการบริหารผลงาน (PMS)</v>
          </cell>
        </row>
        <row r="270">
          <cell r="A270" t="str">
            <v>ระบบคลังสินค้า</v>
          </cell>
        </row>
        <row r="271">
          <cell r="A271" t="str">
            <v>ระบบบัญชีและการเงิน</v>
          </cell>
        </row>
        <row r="272">
          <cell r="A272" t="str">
            <v>ระบบภาษี</v>
          </cell>
        </row>
        <row r="273">
          <cell r="A273" t="str">
            <v>ระบบมาตรฐานต่าง ๆ ที่ใช้ในธุรกิจ</v>
          </cell>
        </row>
        <row r="274">
          <cell r="A274" t="str">
            <v>เลขานุการ</v>
          </cell>
        </row>
        <row r="275">
          <cell r="A275" t="str">
            <v>วัฒนธรรมองค์กร</v>
          </cell>
        </row>
        <row r="276">
          <cell r="A276" t="str">
            <v>วินัย</v>
          </cell>
        </row>
        <row r="277">
          <cell r="A277" t="str">
            <v>สิ่งแวดล้อม</v>
          </cell>
        </row>
        <row r="278">
          <cell r="A278" t="str">
            <v>สุขภาพ</v>
          </cell>
        </row>
        <row r="281">
          <cell r="A281" t="str">
            <v>Balanced Scored Card</v>
          </cell>
        </row>
        <row r="282">
          <cell r="A282" t="str">
            <v>Career Development</v>
          </cell>
        </row>
        <row r="283">
          <cell r="A283" t="str">
            <v>Competency</v>
          </cell>
        </row>
        <row r="284">
          <cell r="A284" t="str">
            <v>CSR</v>
          </cell>
        </row>
        <row r="285">
          <cell r="A285" t="str">
            <v>EQ</v>
          </cell>
        </row>
        <row r="286">
          <cell r="A286" t="str">
            <v>GMP</v>
          </cell>
        </row>
        <row r="287">
          <cell r="A287" t="str">
            <v>HA</v>
          </cell>
        </row>
        <row r="288">
          <cell r="A288" t="str">
            <v>IDP</v>
          </cell>
        </row>
        <row r="289">
          <cell r="A289" t="str">
            <v>ISO</v>
          </cell>
        </row>
        <row r="290">
          <cell r="A290" t="str">
            <v>Kaizen</v>
          </cell>
        </row>
        <row r="291">
          <cell r="A291" t="str">
            <v>KPIs</v>
          </cell>
        </row>
        <row r="292">
          <cell r="A292" t="str">
            <v>Lean Management</v>
          </cell>
        </row>
        <row r="293">
          <cell r="A293" t="str">
            <v>TPM</v>
          </cell>
        </row>
        <row r="294">
          <cell r="A294" t="str">
            <v>TQA</v>
          </cell>
        </row>
        <row r="295">
          <cell r="A295" t="str">
            <v>TQM</v>
          </cell>
        </row>
        <row r="296">
          <cell r="A296" t="str">
            <v>Training Roadmap</v>
          </cell>
        </row>
        <row r="297">
          <cell r="A297" t="str">
            <v>กฎหมายธุรกิจ</v>
          </cell>
        </row>
        <row r="298">
          <cell r="A298" t="str">
            <v>กฎหมายแรงงาน/ประกันสังคม</v>
          </cell>
        </row>
        <row r="299">
          <cell r="A299" t="str">
            <v>การแก้ปัญหาและตัดสินใจ</v>
          </cell>
        </row>
        <row r="300">
          <cell r="A300" t="str">
            <v>การขาย</v>
          </cell>
        </row>
        <row r="301">
          <cell r="A301" t="str">
            <v>การจัดซื้อ</v>
          </cell>
        </row>
        <row r="302">
          <cell r="A302" t="str">
            <v>การจัดทำแผนงาน</v>
          </cell>
        </row>
        <row r="303">
          <cell r="A303" t="str">
            <v>การเจรจาต่อรอง</v>
          </cell>
        </row>
        <row r="304">
          <cell r="A304" t="str">
            <v>การตลาด</v>
          </cell>
        </row>
        <row r="305">
          <cell r="A305" t="str">
            <v>การนำเสนอ</v>
          </cell>
        </row>
        <row r="306">
          <cell r="A306" t="str">
            <v>การบริการ</v>
          </cell>
        </row>
        <row r="307">
          <cell r="A307" t="str">
            <v>การบริหารการเปลี่ยนแปลง</v>
          </cell>
        </row>
        <row r="308">
          <cell r="A308" t="str">
            <v>การบริหารความขัดแย้ง</v>
          </cell>
        </row>
        <row r="309">
          <cell r="A309" t="str">
            <v>การบริหารทรัพยากรมนุษย์</v>
          </cell>
        </row>
        <row r="312">
          <cell r="A312" t="str">
            <v>Balanced Scored Card</v>
          </cell>
        </row>
        <row r="313">
          <cell r="A313" t="str">
            <v>Career Development</v>
          </cell>
        </row>
        <row r="314">
          <cell r="A314" t="str">
            <v>Competency</v>
          </cell>
        </row>
        <row r="315">
          <cell r="A315" t="str">
            <v>CSR</v>
          </cell>
        </row>
        <row r="316">
          <cell r="A316" t="str">
            <v>EQ</v>
          </cell>
        </row>
        <row r="317">
          <cell r="A317" t="str">
            <v>GMP</v>
          </cell>
        </row>
        <row r="318">
          <cell r="A318" t="str">
            <v>HA</v>
          </cell>
        </row>
        <row r="319">
          <cell r="A319" t="str">
            <v>IDP</v>
          </cell>
        </row>
        <row r="320">
          <cell r="A320" t="str">
            <v>ISO</v>
          </cell>
        </row>
        <row r="321">
          <cell r="A321" t="str">
            <v>Kaizen</v>
          </cell>
        </row>
        <row r="322">
          <cell r="A322" t="str">
            <v>KPIs</v>
          </cell>
        </row>
        <row r="323">
          <cell r="A323" t="str">
            <v>Lean Management</v>
          </cell>
        </row>
        <row r="324">
          <cell r="A324" t="str">
            <v>TPM</v>
          </cell>
        </row>
        <row r="325">
          <cell r="A325" t="str">
            <v>TQA</v>
          </cell>
        </row>
        <row r="326">
          <cell r="A326" t="str">
            <v>TQM</v>
          </cell>
        </row>
        <row r="327">
          <cell r="A327" t="str">
            <v>Training Roadmap</v>
          </cell>
        </row>
        <row r="328">
          <cell r="A328" t="str">
            <v>กฎหมายธุรกิจ</v>
          </cell>
        </row>
        <row r="329">
          <cell r="A329" t="str">
            <v>กฎหมายแรงงาน/ประกันสังคม</v>
          </cell>
        </row>
        <row r="330">
          <cell r="A330" t="str">
            <v>การแก้ปัญหาและตัดสินใจ</v>
          </cell>
        </row>
        <row r="331">
          <cell r="A331" t="str">
            <v>การขาย</v>
          </cell>
        </row>
        <row r="332">
          <cell r="A332" t="str">
            <v>การจัดซื้อ</v>
          </cell>
        </row>
        <row r="333">
          <cell r="A333" t="str">
            <v>การจัดทำแผนงาน</v>
          </cell>
        </row>
        <row r="334">
          <cell r="A334" t="str">
            <v>การเจรจาต่อรอง</v>
          </cell>
        </row>
        <row r="335">
          <cell r="A335" t="str">
            <v>การตลาด</v>
          </cell>
        </row>
        <row r="336">
          <cell r="A336" t="str">
            <v>การนำเสนอ</v>
          </cell>
        </row>
        <row r="337">
          <cell r="A337" t="str">
            <v>การบริหาร</v>
          </cell>
        </row>
        <row r="338">
          <cell r="A338" t="str">
            <v>การบริหารการเปลี่ยนแปลง</v>
          </cell>
        </row>
        <row r="339">
          <cell r="A339" t="str">
            <v>การบริหารความขัดแย้ง</v>
          </cell>
        </row>
        <row r="340">
          <cell r="A340" t="str">
            <v>การบริหารจัดการความเครียด</v>
          </cell>
        </row>
        <row r="341">
          <cell r="A341" t="str">
            <v>การบริหารจัดการเวลา</v>
          </cell>
        </row>
        <row r="342">
          <cell r="A342" t="str">
            <v>การบริหารทรัพยากรมนุษย์</v>
          </cell>
        </row>
        <row r="343">
          <cell r="A343" t="str">
            <v>การบริหารทีมงาน</v>
          </cell>
        </row>
        <row r="344">
          <cell r="A344" t="str">
            <v>การประเมินผลงาน</v>
          </cell>
        </row>
        <row r="345">
          <cell r="A345" t="str">
            <v>การผลิต</v>
          </cell>
        </row>
        <row r="346">
          <cell r="A346" t="str">
            <v>การพัฒนาตนเอง</v>
          </cell>
        </row>
        <row r="347">
          <cell r="A347" t="str">
            <v>การพัฒนาบุคลากร</v>
          </cell>
        </row>
        <row r="348">
          <cell r="A348" t="str">
            <v>การลดต้นทุน/เพิ่มผลผลิต</v>
          </cell>
        </row>
        <row r="349">
          <cell r="A349" t="str">
            <v>การวางแผนกลยุทธ์</v>
          </cell>
        </row>
        <row r="350">
          <cell r="A350" t="str">
            <v>การวางแผนธุรกิจ</v>
          </cell>
        </row>
        <row r="351">
          <cell r="A351" t="str">
            <v>การสร้างความพึงพอใจกับลูกค้า</v>
          </cell>
        </row>
        <row r="352">
          <cell r="A352" t="str">
            <v>การสร้างจิตสำนึกในการทำงาน</v>
          </cell>
        </row>
        <row r="353">
          <cell r="A353" t="str">
            <v>การสร้างทีมงาน</v>
          </cell>
        </row>
        <row r="354">
          <cell r="A354" t="str">
            <v>การสอนงาน (Coaching)</v>
          </cell>
        </row>
        <row r="355">
          <cell r="A355" t="str">
            <v>การสัมภาษณ์</v>
          </cell>
        </row>
        <row r="356">
          <cell r="A356" t="str">
            <v>การสื่อสาร</v>
          </cell>
        </row>
        <row r="357">
          <cell r="A357" t="str">
            <v>ความปลอดภัยและอาชีวอนามัย</v>
          </cell>
        </row>
        <row r="358">
          <cell r="A358" t="str">
            <v>ความรู้เกี่ยวกับผลิตภัณฑ์</v>
          </cell>
        </row>
        <row r="359">
          <cell r="A359" t="str">
            <v>ความรู้ในสายวิชาชีพ</v>
          </cell>
        </row>
        <row r="360">
          <cell r="A360" t="str">
            <v>ความรู้เรื่องยาเสพติด</v>
          </cell>
        </row>
        <row r="361">
          <cell r="A361" t="str">
            <v>ความสุขในการทำงาน</v>
          </cell>
        </row>
        <row r="362">
          <cell r="A362" t="str">
            <v>คิดเป็นระบบ</v>
          </cell>
        </row>
        <row r="363">
          <cell r="A363" t="str">
            <v>คิดสร้างสรรค์</v>
          </cell>
        </row>
        <row r="364">
          <cell r="A364" t="str">
            <v>โครงสร้างเงินเดือน</v>
          </cell>
        </row>
        <row r="365">
          <cell r="A365" t="str">
            <v>จิตวิทยาการจูงใจ</v>
          </cell>
        </row>
        <row r="366">
          <cell r="A366" t="str">
            <v>ทักษะคอมพิวเตอร์</v>
          </cell>
        </row>
        <row r="367">
          <cell r="A367" t="str">
            <v>ทักษะหัวหน้างาน/ผู้จัดการ</v>
          </cell>
        </row>
        <row r="368">
          <cell r="A368" t="str">
            <v>ธรรมะ</v>
          </cell>
        </row>
        <row r="369">
          <cell r="A369" t="str">
            <v>ภาวะผู้นำ</v>
          </cell>
        </row>
        <row r="370">
          <cell r="A370" t="str">
            <v>ภาษา</v>
          </cell>
        </row>
        <row r="371">
          <cell r="A371" t="str">
            <v>ระบบ 5 ส</v>
          </cell>
        </row>
        <row r="372">
          <cell r="A372" t="str">
            <v>ระบบการบริหารผลงาน (PMS)</v>
          </cell>
        </row>
        <row r="373">
          <cell r="A373" t="str">
            <v>ระบบคลังสินค้า</v>
          </cell>
        </row>
        <row r="374">
          <cell r="A374" t="str">
            <v>ระบบบัญชีและการเงิน</v>
          </cell>
        </row>
        <row r="375">
          <cell r="A375" t="str">
            <v>ระบบภาษี</v>
          </cell>
        </row>
        <row r="376">
          <cell r="A376" t="str">
            <v>ระบบมาตรฐานต่าง ๆ ที่ใช้ในธุรกิจ</v>
          </cell>
        </row>
        <row r="377">
          <cell r="A377" t="str">
            <v>เลขานุการ</v>
          </cell>
        </row>
        <row r="378">
          <cell r="A378" t="str">
            <v>วัฒนธรรมองค์กร</v>
          </cell>
        </row>
        <row r="379">
          <cell r="A379" t="str">
            <v>วินัย</v>
          </cell>
        </row>
        <row r="380">
          <cell r="A380" t="str">
            <v>สิ่งแวดล้อม</v>
          </cell>
        </row>
        <row r="381">
          <cell r="A381" t="str">
            <v>สุขภาพ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Input"/>
      <sheetName val="Data"/>
      <sheetName val="Report1"/>
      <sheetName val="Gantt"/>
    </sheetNames>
    <sheetDataSet>
      <sheetData sheetId="0">
        <row r="3">
          <cell r="B3" t="str">
            <v>งบประมาณ</v>
          </cell>
        </row>
        <row r="4">
          <cell r="A4">
            <v>100101</v>
          </cell>
          <cell r="B4" t="str">
            <v>เงินเดือนประจำ</v>
          </cell>
          <cell r="C4">
            <v>10</v>
          </cell>
          <cell r="V4">
            <v>10</v>
          </cell>
          <cell r="W4" t="str">
            <v>หมวดเงินเดือน ค่าจ้าง และสวัสดิการ</v>
          </cell>
        </row>
        <row r="5">
          <cell r="A5">
            <v>100102</v>
          </cell>
          <cell r="B5" t="str">
            <v>ค่าล่วงเวลา</v>
          </cell>
          <cell r="C5">
            <v>10</v>
          </cell>
          <cell r="V5">
            <v>20</v>
          </cell>
          <cell r="W5" t="str">
            <v>หมวดการพัฒนาบุคลากรและการเพิ่มผลผลิต</v>
          </cell>
        </row>
        <row r="6">
          <cell r="A6">
            <v>100201</v>
          </cell>
          <cell r="B6" t="str">
            <v>ค่าใช้จ่ายในการสรรหาพนักงาน</v>
          </cell>
          <cell r="C6">
            <v>10</v>
          </cell>
          <cell r="V6">
            <v>30</v>
          </cell>
          <cell r="W6" t="str">
            <v>หมวดธุรการและการใช้สอยวัสดุ</v>
          </cell>
        </row>
        <row r="7">
          <cell r="A7">
            <v>100301</v>
          </cell>
          <cell r="B7" t="str">
            <v>ค่ารักษาพยาบาล</v>
          </cell>
          <cell r="C7">
            <v>10</v>
          </cell>
          <cell r="V7">
            <v>40</v>
          </cell>
          <cell r="W7" t="str">
            <v>หมวดค่าเดินทางและสาธารณูปโภค</v>
          </cell>
        </row>
        <row r="8">
          <cell r="A8">
            <v>100302</v>
          </cell>
          <cell r="B8" t="str">
            <v>เงินสมทบประกันสังคม</v>
          </cell>
          <cell r="C8">
            <v>10</v>
          </cell>
          <cell r="V8">
            <v>2554</v>
          </cell>
          <cell r="W8" t="str">
            <v>โครงการพิเศษ</v>
          </cell>
        </row>
        <row r="9">
          <cell r="A9">
            <v>100303</v>
          </cell>
          <cell r="B9" t="str">
            <v>เงินสมทบกองทุนสำรองเลี้ยงชีพ</v>
          </cell>
          <cell r="C9">
            <v>10</v>
          </cell>
        </row>
        <row r="10">
          <cell r="A10">
            <v>100304</v>
          </cell>
          <cell r="B10" t="str">
            <v>เงินสมทบกองทุนเงินทดแทน</v>
          </cell>
          <cell r="C10">
            <v>10</v>
          </cell>
        </row>
        <row r="11">
          <cell r="A11">
            <v>100305</v>
          </cell>
          <cell r="B11" t="str">
            <v>ค่าตรวจร่างกายพนักงาน</v>
          </cell>
          <cell r="C11">
            <v>10</v>
          </cell>
        </row>
        <row r="12">
          <cell r="A12">
            <v>100306</v>
          </cell>
          <cell r="B12" t="str">
            <v>ค่าประกันสุขภาพและอุบัติเหตุ</v>
          </cell>
          <cell r="C12">
            <v>10</v>
          </cell>
        </row>
        <row r="13">
          <cell r="A13">
            <v>100307</v>
          </cell>
          <cell r="B13" t="str">
            <v>เครื่องแบบพนักงาน</v>
          </cell>
          <cell r="C13">
            <v>10</v>
          </cell>
        </row>
        <row r="14">
          <cell r="A14">
            <v>100308</v>
          </cell>
          <cell r="B14" t="str">
            <v>เงินช่วยเหลือพนักงาน</v>
          </cell>
          <cell r="C14">
            <v>10</v>
          </cell>
        </row>
        <row r="15">
          <cell r="A15">
            <v>100309</v>
          </cell>
          <cell r="B15" t="str">
            <v>ค่ากิจกรรมพนักงานสัมพันธ์</v>
          </cell>
          <cell r="C15">
            <v>10</v>
          </cell>
        </row>
        <row r="16">
          <cell r="B16" t="str">
            <v>ยอดรวม :  หมวดเงินเดือน ค่าจ้าง และสวัสดิการ</v>
          </cell>
        </row>
        <row r="17">
          <cell r="A17">
            <v>200101</v>
          </cell>
          <cell r="B17" t="str">
            <v>ค่าใช้จ่ายในการจัดประชุม สัมมนา หรือฝึกอบรมภายใน</v>
          </cell>
          <cell r="C17">
            <v>20</v>
          </cell>
        </row>
        <row r="18">
          <cell r="A18">
            <v>200102</v>
          </cell>
          <cell r="B18" t="str">
            <v>ค่าใช้จ่ายในการจัดประชุม สัมมนา หรือฝึกอบรมภายนอก</v>
          </cell>
          <cell r="C18">
            <v>20</v>
          </cell>
        </row>
        <row r="19">
          <cell r="A19">
            <v>200103</v>
          </cell>
          <cell r="B19" t="str">
            <v>ค่าใช้จ่ายในการไปดูงาน สัมมนา หรือฝึกอบรม ณ ต่างประเทศ</v>
          </cell>
          <cell r="C19">
            <v>20</v>
          </cell>
        </row>
        <row r="20">
          <cell r="B20" t="str">
            <v>ยอดรวม :  หมวดการพัฒนาบุคลากรและการเพิ่มผลผลิต</v>
          </cell>
        </row>
        <row r="21">
          <cell r="A21">
            <v>300101</v>
          </cell>
          <cell r="B21" t="str">
            <v>ค่าจ้างเหมาบริการ - งานจัดการอาคาร</v>
          </cell>
          <cell r="C21">
            <v>30</v>
          </cell>
        </row>
        <row r="22">
          <cell r="A22">
            <v>300102</v>
          </cell>
          <cell r="B22" t="str">
            <v>ค่าจ้างเหมาบริการ - งานรักษาความปลอดภัย</v>
          </cell>
          <cell r="C22">
            <v>30</v>
          </cell>
        </row>
        <row r="23">
          <cell r="A23">
            <v>300103</v>
          </cell>
          <cell r="B23" t="str">
            <v>ค่าจ้างเหมาบริการ - งานรักษาความสะอาด</v>
          </cell>
          <cell r="C23">
            <v>30</v>
          </cell>
        </row>
        <row r="24">
          <cell r="A24">
            <v>300104</v>
          </cell>
          <cell r="B24" t="str">
            <v>ค่าจ้างเหมาบริการ - งานสวนหย่อม ต้นไม้และภูมิทัศน์</v>
          </cell>
          <cell r="C24">
            <v>30</v>
          </cell>
        </row>
        <row r="25">
          <cell r="A25">
            <v>300105</v>
          </cell>
          <cell r="B25" t="str">
            <v>ค่าจ้างเหมาบริการ - งานกำจัดแมลง</v>
          </cell>
          <cell r="C25">
            <v>30</v>
          </cell>
        </row>
        <row r="26">
          <cell r="A26">
            <v>300106</v>
          </cell>
          <cell r="B26" t="str">
            <v>ค่าจ้างเหมาบริการ - เก็บขยะ/ กำจัด</v>
          </cell>
          <cell r="C26">
            <v>30</v>
          </cell>
        </row>
        <row r="27">
          <cell r="A27">
            <v>300107</v>
          </cell>
          <cell r="B27" t="str">
            <v>ค่าจ้างเหมาบริการ - งานบริการยานพาหนะ</v>
          </cell>
          <cell r="C27">
            <v>30</v>
          </cell>
        </row>
        <row r="28">
          <cell r="A28">
            <v>300108</v>
          </cell>
          <cell r="B28" t="str">
            <v>ค่าจ้างเหมาบริการ - งานบำรุงรักษาคอมพิวเตอร์</v>
          </cell>
          <cell r="C28">
            <v>30</v>
          </cell>
        </row>
        <row r="29">
          <cell r="A29">
            <v>300109</v>
          </cell>
          <cell r="B29" t="str">
            <v>ค่าจ้างเหมาบริการ - งานถ่ายเอกสาร</v>
          </cell>
          <cell r="C29">
            <v>30</v>
          </cell>
        </row>
        <row r="30">
          <cell r="A30">
            <v>300201</v>
          </cell>
          <cell r="B30" t="str">
            <v>ค่าซ่อมแซมบำรุงรักษา - อาคาร สถานที่</v>
          </cell>
          <cell r="C30">
            <v>30</v>
          </cell>
        </row>
        <row r="31">
          <cell r="A31">
            <v>300202</v>
          </cell>
          <cell r="B31" t="str">
            <v>ค่าซ่อมแซมบำรุงรักษา - ครุภัณฑ์</v>
          </cell>
          <cell r="C31">
            <v>30</v>
          </cell>
        </row>
        <row r="32">
          <cell r="A32">
            <v>300301</v>
          </cell>
          <cell r="B32" t="str">
            <v>ค่าวัสดุและอุปกรณ์สำนักงาน</v>
          </cell>
          <cell r="C32">
            <v>30</v>
          </cell>
        </row>
        <row r="33">
          <cell r="A33">
            <v>300302</v>
          </cell>
          <cell r="B33" t="str">
            <v>ค่าเครื่องเขียนและวัสดุสิ้นเปลือง</v>
          </cell>
          <cell r="C33">
            <v>30</v>
          </cell>
        </row>
        <row r="34">
          <cell r="A34">
            <v>300303</v>
          </cell>
          <cell r="B34" t="str">
            <v>ค่าวัสดุคอมพิวเตอร์</v>
          </cell>
          <cell r="C34">
            <v>30</v>
          </cell>
        </row>
        <row r="35">
          <cell r="A35">
            <v>300304</v>
          </cell>
          <cell r="B35" t="str">
            <v>ค่าใช้จ่ายในการพิมพ์หนังสือ/ เอกสาร</v>
          </cell>
          <cell r="C35">
            <v>30</v>
          </cell>
        </row>
        <row r="36">
          <cell r="A36">
            <v>300401</v>
          </cell>
          <cell r="B36" t="str">
            <v>ค่าธรรมเนียมสมาชิก ชมรม หนังสือต่างๆ</v>
          </cell>
          <cell r="C36">
            <v>30</v>
          </cell>
        </row>
        <row r="37">
          <cell r="A37">
            <v>300402</v>
          </cell>
          <cell r="B37" t="str">
            <v>ค่าธรรมเนียมธนาคาร ค่าปรับ และอื่นๆ</v>
          </cell>
          <cell r="C37">
            <v>30</v>
          </cell>
        </row>
        <row r="38">
          <cell r="A38">
            <v>300501</v>
          </cell>
          <cell r="B38" t="str">
            <v>ค่าใช้จ่ายในการประชาสัมพันธ์</v>
          </cell>
          <cell r="C38">
            <v>30</v>
          </cell>
        </row>
        <row r="39">
          <cell r="A39">
            <v>300502</v>
          </cell>
          <cell r="B39" t="str">
            <v>ค่าใช้จ่ายเพื่อสาธารณกุศล</v>
          </cell>
          <cell r="C39">
            <v>30</v>
          </cell>
        </row>
        <row r="40">
          <cell r="B40" t="str">
            <v>ยอดรวม :  หมวดธุรการและการใช้สอยวัสดุ</v>
          </cell>
        </row>
        <row r="41">
          <cell r="A41">
            <v>400101</v>
          </cell>
          <cell r="B41" t="str">
            <v>ค่าใช้จ่ายในการเดินทางไปปฏิบัติงานนอกพื้นที่</v>
          </cell>
          <cell r="C41">
            <v>40</v>
          </cell>
        </row>
        <row r="42">
          <cell r="A42">
            <v>400102</v>
          </cell>
          <cell r="B42" t="str">
            <v>ค่าน้ำมันเชื้อเพลิง</v>
          </cell>
          <cell r="C42">
            <v>40</v>
          </cell>
        </row>
        <row r="43">
          <cell r="A43">
            <v>400201</v>
          </cell>
          <cell r="B43" t="str">
            <v>ค่าโทรศัพท์/ ค่าโทรสาร</v>
          </cell>
          <cell r="C43">
            <v>40</v>
          </cell>
        </row>
        <row r="44">
          <cell r="A44">
            <v>400202</v>
          </cell>
          <cell r="B44" t="str">
            <v>ค่าไปรษณีย์</v>
          </cell>
          <cell r="C44">
            <v>40</v>
          </cell>
        </row>
        <row r="45">
          <cell r="A45">
            <v>400203</v>
          </cell>
          <cell r="B45" t="str">
            <v>ค่าบริการสัญญาณ Cable TV</v>
          </cell>
          <cell r="C45">
            <v>40</v>
          </cell>
        </row>
        <row r="46">
          <cell r="A46">
            <v>400204</v>
          </cell>
          <cell r="B46" t="str">
            <v>ค่ากระแสไฟฟ้า</v>
          </cell>
          <cell r="C46">
            <v>40</v>
          </cell>
        </row>
        <row r="47">
          <cell r="A47">
            <v>400205</v>
          </cell>
          <cell r="B47" t="str">
            <v>ค่าน้ำประปา</v>
          </cell>
          <cell r="C47">
            <v>40</v>
          </cell>
        </row>
        <row r="48">
          <cell r="A48">
            <v>400301</v>
          </cell>
          <cell r="B48" t="str">
            <v>ค่าเช่าพื้นที่</v>
          </cell>
          <cell r="C48">
            <v>40</v>
          </cell>
        </row>
        <row r="49">
          <cell r="A49">
            <v>400302</v>
          </cell>
          <cell r="B49" t="str">
            <v>ค่าภาษีโรงเรือน</v>
          </cell>
          <cell r="C49">
            <v>40</v>
          </cell>
        </row>
        <row r="50">
          <cell r="A50">
            <v>400303</v>
          </cell>
          <cell r="B50" t="str">
            <v>ค่าภาษีรถยนต์ประจำปี</v>
          </cell>
          <cell r="C50">
            <v>40</v>
          </cell>
        </row>
        <row r="51">
          <cell r="A51">
            <v>400304</v>
          </cell>
          <cell r="B51" t="str">
            <v>ค่าเบี้ยประกันรถยนต์</v>
          </cell>
          <cell r="C51">
            <v>40</v>
          </cell>
        </row>
        <row r="52">
          <cell r="A52">
            <v>400305</v>
          </cell>
          <cell r="B52" t="str">
            <v>ค่าเบี้ยประกันทรัพย์สิน</v>
          </cell>
          <cell r="C52">
            <v>40</v>
          </cell>
        </row>
        <row r="53">
          <cell r="B53" t="str">
            <v>ยอดรวม :  หมวดค่าเดินทางและสาธารณูปโภค</v>
          </cell>
        </row>
        <row r="54">
          <cell r="A54">
            <v>255401</v>
          </cell>
          <cell r="B54" t="str">
            <v>จัดซื้อเครื่องคอมพิวเตอร์ทดแทนเครื่องเก่า 3 ชุด</v>
          </cell>
          <cell r="C54">
            <v>2554</v>
          </cell>
        </row>
        <row r="55">
          <cell r="A55">
            <v>255402</v>
          </cell>
          <cell r="B55" t="str">
            <v>ระบบ Finger Scan เพื่อปรับปรุงการลงเวลาทำงาน</v>
          </cell>
          <cell r="C55">
            <v>2554</v>
          </cell>
        </row>
        <row r="56">
          <cell r="A56">
            <v>255403</v>
          </cell>
          <cell r="B56" t="str">
            <v>เครื่อง LCD Projector สำหรับห้องประชุม A</v>
          </cell>
          <cell r="C56">
            <v>2554</v>
          </cell>
        </row>
        <row r="57">
          <cell r="A57">
            <v>255404</v>
          </cell>
          <cell r="B57" t="str">
            <v>ปรับปรุงหลังคาลานจอดรถพนักงาน</v>
          </cell>
          <cell r="C57">
            <v>2554</v>
          </cell>
        </row>
        <row r="58">
          <cell r="A58">
            <v>255405</v>
          </cell>
          <cell r="B58" t="str">
            <v>ปรับปรุงห้องน้ำสำนักงานชั้นสอง</v>
          </cell>
          <cell r="C58">
            <v>2554</v>
          </cell>
        </row>
        <row r="59">
          <cell r="B59" t="str">
            <v>ยอดรวม :  หมวดโครงการพิเศษ</v>
          </cell>
        </row>
      </sheetData>
      <sheetData sheetId="1" refreshError="1"/>
      <sheetData sheetId="2">
        <row r="1">
          <cell r="A1" t="str">
            <v>วันที่</v>
          </cell>
        </row>
        <row r="2">
          <cell r="A2">
            <v>40553</v>
          </cell>
        </row>
        <row r="3">
          <cell r="A3">
            <v>40553</v>
          </cell>
        </row>
        <row r="4">
          <cell r="A4">
            <v>40563</v>
          </cell>
        </row>
        <row r="5">
          <cell r="A5">
            <v>40560</v>
          </cell>
        </row>
        <row r="6">
          <cell r="A6">
            <v>40574</v>
          </cell>
        </row>
        <row r="7">
          <cell r="A7">
            <v>40574</v>
          </cell>
        </row>
        <row r="8">
          <cell r="A8">
            <v>40574</v>
          </cell>
        </row>
        <row r="9">
          <cell r="A9">
            <v>40574</v>
          </cell>
        </row>
        <row r="10">
          <cell r="A10">
            <v>40589</v>
          </cell>
        </row>
        <row r="11">
          <cell r="A11">
            <v>40595</v>
          </cell>
        </row>
        <row r="12">
          <cell r="A12">
            <v>40595</v>
          </cell>
        </row>
        <row r="13">
          <cell r="A13">
            <v>40602</v>
          </cell>
        </row>
        <row r="14">
          <cell r="A14">
            <v>40602</v>
          </cell>
        </row>
        <row r="15">
          <cell r="A15">
            <v>40602</v>
          </cell>
        </row>
        <row r="16">
          <cell r="A16">
            <v>40602</v>
          </cell>
        </row>
        <row r="17">
          <cell r="A17">
            <v>40617</v>
          </cell>
        </row>
        <row r="18">
          <cell r="A18">
            <v>40618</v>
          </cell>
        </row>
        <row r="19">
          <cell r="A19">
            <v>40625</v>
          </cell>
        </row>
        <row r="20">
          <cell r="A20">
            <v>40625</v>
          </cell>
        </row>
        <row r="21">
          <cell r="A21">
            <v>40625</v>
          </cell>
        </row>
        <row r="22">
          <cell r="A22">
            <v>40633</v>
          </cell>
        </row>
        <row r="23">
          <cell r="A23">
            <v>40633</v>
          </cell>
        </row>
        <row r="24">
          <cell r="A24">
            <v>40633</v>
          </cell>
        </row>
        <row r="25">
          <cell r="A25">
            <v>40633</v>
          </cell>
        </row>
        <row r="26">
          <cell r="A26">
            <v>40651</v>
          </cell>
        </row>
        <row r="27">
          <cell r="A27">
            <v>40651</v>
          </cell>
        </row>
        <row r="28">
          <cell r="A28">
            <v>40651</v>
          </cell>
        </row>
        <row r="29">
          <cell r="A29">
            <v>40653</v>
          </cell>
        </row>
        <row r="30">
          <cell r="A30">
            <v>40658</v>
          </cell>
        </row>
        <row r="31">
          <cell r="A31">
            <v>40658</v>
          </cell>
        </row>
        <row r="32">
          <cell r="A32">
            <v>40663</v>
          </cell>
        </row>
        <row r="33">
          <cell r="A33">
            <v>40663</v>
          </cell>
        </row>
        <row r="34">
          <cell r="A34">
            <v>40663</v>
          </cell>
        </row>
        <row r="35">
          <cell r="A35">
            <v>40663</v>
          </cell>
        </row>
        <row r="36">
          <cell r="A36">
            <v>40680</v>
          </cell>
        </row>
        <row r="37">
          <cell r="A37">
            <v>40680</v>
          </cell>
        </row>
        <row r="38">
          <cell r="A38">
            <v>40680</v>
          </cell>
        </row>
        <row r="39">
          <cell r="A39">
            <v>40688</v>
          </cell>
        </row>
        <row r="40">
          <cell r="A40">
            <v>40694</v>
          </cell>
        </row>
        <row r="41">
          <cell r="A41">
            <v>40694</v>
          </cell>
        </row>
        <row r="42">
          <cell r="A42">
            <v>40694</v>
          </cell>
        </row>
        <row r="43">
          <cell r="A43">
            <v>40694</v>
          </cell>
        </row>
        <row r="44">
          <cell r="A44">
            <v>40722</v>
          </cell>
        </row>
        <row r="45">
          <cell r="A45">
            <v>40722</v>
          </cell>
        </row>
        <row r="46">
          <cell r="A46">
            <v>40724</v>
          </cell>
        </row>
        <row r="47">
          <cell r="A47">
            <v>40724</v>
          </cell>
        </row>
        <row r="48">
          <cell r="A48">
            <v>40724</v>
          </cell>
        </row>
        <row r="49">
          <cell r="A49">
            <v>40724</v>
          </cell>
        </row>
        <row r="50">
          <cell r="A50">
            <v>40724</v>
          </cell>
        </row>
        <row r="51">
          <cell r="A51">
            <v>40742</v>
          </cell>
        </row>
        <row r="52">
          <cell r="A52">
            <v>40742</v>
          </cell>
        </row>
        <row r="53">
          <cell r="A53">
            <v>40742</v>
          </cell>
        </row>
        <row r="54">
          <cell r="A54">
            <v>40744</v>
          </cell>
        </row>
        <row r="55">
          <cell r="A55">
            <v>40744</v>
          </cell>
        </row>
        <row r="56">
          <cell r="A56">
            <v>40755</v>
          </cell>
        </row>
        <row r="57">
          <cell r="A57">
            <v>40755</v>
          </cell>
        </row>
        <row r="58">
          <cell r="A58">
            <v>40755</v>
          </cell>
        </row>
        <row r="59">
          <cell r="A59">
            <v>40755</v>
          </cell>
        </row>
      </sheetData>
      <sheetData sheetId="3">
        <row r="3">
          <cell r="B3" t="str">
            <v>หมวดธุรการและการใช้สอยวัสดุ</v>
          </cell>
        </row>
      </sheetData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ครื่องจักร"/>
      <sheetName val="Machine MasterList"/>
      <sheetName val="data"/>
      <sheetName val="data_express"/>
      <sheetName val="2.BOIEMT_updated31May2554"/>
    </sheetNames>
    <sheetDataSet>
      <sheetData sheetId="0"/>
      <sheetData sheetId="1"/>
      <sheetData sheetId="2">
        <row r="1">
          <cell r="A1" t="str">
            <v>ใช่</v>
          </cell>
          <cell r="B1" t="str">
            <v xml:space="preserve"> ...</v>
          </cell>
          <cell r="D1" t="str">
            <v>AED</v>
          </cell>
          <cell r="F1" t="str">
            <v>ใหม่</v>
          </cell>
          <cell r="G1">
            <v>2010</v>
          </cell>
          <cell r="H1" t="str">
            <v xml:space="preserve"> ...</v>
          </cell>
          <cell r="J1" t="str">
            <v>อาหารสัตว์ : อื่นๆ</v>
          </cell>
        </row>
        <row r="2">
          <cell r="A2" t="str">
            <v>ไม่ใช่</v>
          </cell>
          <cell r="B2" t="str">
            <v>...</v>
          </cell>
          <cell r="D2" t="str">
            <v>AUD</v>
          </cell>
          <cell r="F2" t="str">
            <v>เก่า</v>
          </cell>
          <cell r="G2">
            <v>2009</v>
          </cell>
          <cell r="H2" t="str">
            <v>...</v>
          </cell>
        </row>
        <row r="3">
          <cell r="B3" t="str">
            <v>...</v>
          </cell>
          <cell r="D3" t="str">
            <v>BHD</v>
          </cell>
          <cell r="G3">
            <v>2008</v>
          </cell>
          <cell r="H3" t="str">
            <v>...</v>
          </cell>
        </row>
        <row r="4">
          <cell r="B4" t="str">
            <v>...</v>
          </cell>
          <cell r="D4" t="str">
            <v>BHT</v>
          </cell>
          <cell r="G4">
            <v>2007</v>
          </cell>
          <cell r="H4" t="str">
            <v>...</v>
          </cell>
        </row>
        <row r="5">
          <cell r="B5" t="str">
            <v>...</v>
          </cell>
          <cell r="D5" t="str">
            <v>BRD</v>
          </cell>
          <cell r="G5">
            <v>2006</v>
          </cell>
          <cell r="H5" t="str">
            <v>...</v>
          </cell>
        </row>
        <row r="6">
          <cell r="B6" t="str">
            <v>...</v>
          </cell>
          <cell r="D6" t="str">
            <v>CAD</v>
          </cell>
          <cell r="G6">
            <v>2005</v>
          </cell>
          <cell r="H6" t="str">
            <v>...</v>
          </cell>
        </row>
        <row r="7">
          <cell r="B7" t="str">
            <v>...</v>
          </cell>
          <cell r="D7" t="str">
            <v>CHF</v>
          </cell>
          <cell r="G7">
            <v>2004</v>
          </cell>
          <cell r="H7" t="str">
            <v>...</v>
          </cell>
        </row>
        <row r="8">
          <cell r="B8" t="str">
            <v>...</v>
          </cell>
          <cell r="D8" t="str">
            <v>CNY</v>
          </cell>
          <cell r="G8">
            <v>2003</v>
          </cell>
          <cell r="H8" t="str">
            <v>...</v>
          </cell>
        </row>
        <row r="9">
          <cell r="B9" t="str">
            <v>...</v>
          </cell>
          <cell r="D9" t="str">
            <v>DKK</v>
          </cell>
          <cell r="G9">
            <v>2002</v>
          </cell>
          <cell r="H9" t="str">
            <v>...</v>
          </cell>
        </row>
        <row r="10">
          <cell r="B10" t="str">
            <v>...</v>
          </cell>
          <cell r="D10" t="str">
            <v>EUR</v>
          </cell>
          <cell r="G10">
            <v>2001</v>
          </cell>
          <cell r="H10" t="str">
            <v>...</v>
          </cell>
        </row>
        <row r="11">
          <cell r="B11" t="str">
            <v>...</v>
          </cell>
          <cell r="D11" t="str">
            <v>GBP</v>
          </cell>
          <cell r="G11">
            <v>2000</v>
          </cell>
          <cell r="H11" t="str">
            <v>...</v>
          </cell>
        </row>
        <row r="12">
          <cell r="B12" t="str">
            <v>...</v>
          </cell>
          <cell r="D12" t="str">
            <v>HKD</v>
          </cell>
          <cell r="G12">
            <v>1999</v>
          </cell>
          <cell r="H12" t="str">
            <v>...</v>
          </cell>
        </row>
        <row r="13">
          <cell r="B13" t="str">
            <v>...</v>
          </cell>
          <cell r="D13" t="str">
            <v>IDR</v>
          </cell>
          <cell r="G13">
            <v>1998</v>
          </cell>
          <cell r="H13" t="str">
            <v>...</v>
          </cell>
        </row>
        <row r="14">
          <cell r="B14" t="str">
            <v>...</v>
          </cell>
          <cell r="D14" t="str">
            <v>INR</v>
          </cell>
          <cell r="G14">
            <v>1997</v>
          </cell>
          <cell r="H14" t="str">
            <v>...</v>
          </cell>
        </row>
        <row r="15">
          <cell r="B15" t="str">
            <v>Carat</v>
          </cell>
          <cell r="D15" t="str">
            <v>JPY</v>
          </cell>
          <cell r="G15">
            <v>1996</v>
          </cell>
          <cell r="H15" t="str">
            <v>Carat</v>
          </cell>
        </row>
        <row r="16">
          <cell r="B16" t="str">
            <v>Cubic centimetre</v>
          </cell>
          <cell r="D16" t="str">
            <v>KRW</v>
          </cell>
          <cell r="G16">
            <v>1995</v>
          </cell>
          <cell r="H16" t="str">
            <v>Cubic centimetre</v>
          </cell>
        </row>
        <row r="17">
          <cell r="B17" t="str">
            <v>Cubic foot</v>
          </cell>
          <cell r="D17" t="str">
            <v>MYR</v>
          </cell>
          <cell r="G17">
            <v>1994</v>
          </cell>
          <cell r="H17" t="str">
            <v>Cubic foot</v>
          </cell>
        </row>
        <row r="18">
          <cell r="B18" t="str">
            <v>Cubic metre</v>
          </cell>
          <cell r="D18" t="str">
            <v>NOK</v>
          </cell>
          <cell r="G18">
            <v>1993</v>
          </cell>
          <cell r="H18" t="str">
            <v>Cubic metre</v>
          </cell>
        </row>
        <row r="19">
          <cell r="B19" t="str">
            <v>Currency</v>
          </cell>
          <cell r="D19" t="str">
            <v>NZD</v>
          </cell>
          <cell r="G19">
            <v>1992</v>
          </cell>
          <cell r="H19" t="str">
            <v>Foot</v>
          </cell>
        </row>
        <row r="20">
          <cell r="B20" t="str">
            <v>Foot</v>
          </cell>
          <cell r="D20" t="str">
            <v>OMR</v>
          </cell>
          <cell r="G20">
            <v>1991</v>
          </cell>
          <cell r="H20" t="str">
            <v>Frame</v>
          </cell>
        </row>
        <row r="21">
          <cell r="B21" t="str">
            <v>Frame</v>
          </cell>
          <cell r="D21" t="str">
            <v>QAR</v>
          </cell>
          <cell r="G21">
            <v>1990</v>
          </cell>
          <cell r="H21" t="str">
            <v>Gram</v>
          </cell>
        </row>
        <row r="22">
          <cell r="B22" t="str">
            <v>Gram</v>
          </cell>
          <cell r="D22" t="str">
            <v>SAR</v>
          </cell>
          <cell r="G22">
            <v>1989</v>
          </cell>
          <cell r="H22" t="str">
            <v>Kilo watt hour</v>
          </cell>
        </row>
        <row r="23">
          <cell r="B23" t="str">
            <v>Kilo watt hour</v>
          </cell>
          <cell r="D23" t="str">
            <v>SEK</v>
          </cell>
          <cell r="G23">
            <v>1988</v>
          </cell>
          <cell r="H23" t="str">
            <v>Kilo-gram</v>
          </cell>
        </row>
        <row r="24">
          <cell r="B24" t="str">
            <v>Kilo-gram</v>
          </cell>
          <cell r="D24" t="str">
            <v>SGD</v>
          </cell>
          <cell r="G24">
            <v>1987</v>
          </cell>
          <cell r="H24" t="str">
            <v>Kilometre</v>
          </cell>
        </row>
        <row r="25">
          <cell r="B25" t="str">
            <v>Kilometre</v>
          </cell>
          <cell r="D25" t="str">
            <v>TWD</v>
          </cell>
          <cell r="G25">
            <v>1986</v>
          </cell>
          <cell r="H25" t="str">
            <v>Litre</v>
          </cell>
        </row>
        <row r="26">
          <cell r="B26" t="str">
            <v>Litre</v>
          </cell>
          <cell r="D26" t="str">
            <v>USD</v>
          </cell>
          <cell r="G26">
            <v>1985</v>
          </cell>
          <cell r="H26" t="str">
            <v>Metre</v>
          </cell>
        </row>
        <row r="27">
          <cell r="B27" t="str">
            <v>Metre</v>
          </cell>
          <cell r="D27" t="str">
            <v>ZAR</v>
          </cell>
          <cell r="G27">
            <v>1984</v>
          </cell>
          <cell r="H27" t="str">
            <v>Metric ton</v>
          </cell>
        </row>
        <row r="28">
          <cell r="B28" t="str">
            <v>Metric ton</v>
          </cell>
          <cell r="G28">
            <v>1983</v>
          </cell>
          <cell r="H28" t="str">
            <v>Onze</v>
          </cell>
        </row>
        <row r="29">
          <cell r="B29" t="str">
            <v>Onze</v>
          </cell>
          <cell r="G29">
            <v>1982</v>
          </cell>
          <cell r="H29" t="str">
            <v>Pair</v>
          </cell>
        </row>
        <row r="30">
          <cell r="B30" t="str">
            <v>Pair</v>
          </cell>
          <cell r="G30">
            <v>1981</v>
          </cell>
          <cell r="H30" t="str">
            <v>Piece</v>
          </cell>
        </row>
        <row r="31">
          <cell r="B31" t="str">
            <v>Piece</v>
          </cell>
          <cell r="G31">
            <v>1980</v>
          </cell>
          <cell r="H31" t="str">
            <v>Piece / Unit</v>
          </cell>
        </row>
        <row r="32">
          <cell r="B32" t="str">
            <v>Piece / Unit</v>
          </cell>
          <cell r="G32">
            <v>1979</v>
          </cell>
          <cell r="H32" t="str">
            <v>Pound</v>
          </cell>
        </row>
        <row r="33">
          <cell r="B33" t="str">
            <v>Pound</v>
          </cell>
          <cell r="G33">
            <v>1978</v>
          </cell>
          <cell r="H33" t="str">
            <v>Roll</v>
          </cell>
        </row>
        <row r="34">
          <cell r="B34" t="str">
            <v>Roll</v>
          </cell>
          <cell r="G34">
            <v>1977</v>
          </cell>
          <cell r="H34" t="str">
            <v>Set</v>
          </cell>
        </row>
        <row r="35">
          <cell r="B35" t="str">
            <v>Set</v>
          </cell>
          <cell r="G35">
            <v>1976</v>
          </cell>
          <cell r="H35" t="str">
            <v>Square foot</v>
          </cell>
        </row>
        <row r="36">
          <cell r="B36" t="str">
            <v>Square foot</v>
          </cell>
          <cell r="G36">
            <v>1975</v>
          </cell>
          <cell r="H36" t="str">
            <v>Square metre</v>
          </cell>
        </row>
        <row r="37">
          <cell r="B37" t="str">
            <v>Square metre</v>
          </cell>
          <cell r="G37">
            <v>1974</v>
          </cell>
          <cell r="H37" t="str">
            <v>Square yard</v>
          </cell>
        </row>
        <row r="38">
          <cell r="B38" t="str">
            <v>Square yard</v>
          </cell>
          <cell r="G38">
            <v>1973</v>
          </cell>
          <cell r="H38" t="str">
            <v>Ton</v>
          </cell>
        </row>
        <row r="39">
          <cell r="B39" t="str">
            <v>Ton</v>
          </cell>
          <cell r="G39">
            <v>1972</v>
          </cell>
          <cell r="H39" t="str">
            <v>Unit</v>
          </cell>
        </row>
        <row r="40">
          <cell r="B40" t="str">
            <v>Unit</v>
          </cell>
          <cell r="G40">
            <v>1971</v>
          </cell>
          <cell r="H40" t="str">
            <v>Yard</v>
          </cell>
        </row>
        <row r="41">
          <cell r="B41" t="str">
            <v>Yard</v>
          </cell>
          <cell r="G41">
            <v>1970</v>
          </cell>
        </row>
        <row r="42">
          <cell r="G42">
            <v>1969</v>
          </cell>
        </row>
        <row r="43">
          <cell r="G43">
            <v>1968</v>
          </cell>
        </row>
        <row r="44">
          <cell r="G44">
            <v>1967</v>
          </cell>
        </row>
        <row r="45">
          <cell r="G45">
            <v>1966</v>
          </cell>
        </row>
        <row r="46">
          <cell r="G46">
            <v>1965</v>
          </cell>
        </row>
        <row r="47">
          <cell r="G47">
            <v>1964</v>
          </cell>
        </row>
        <row r="48">
          <cell r="G48">
            <v>1963</v>
          </cell>
        </row>
        <row r="49">
          <cell r="G49">
            <v>1962</v>
          </cell>
        </row>
        <row r="50">
          <cell r="G50">
            <v>1961</v>
          </cell>
        </row>
        <row r="51">
          <cell r="G51">
            <v>1960</v>
          </cell>
        </row>
        <row r="52">
          <cell r="G52">
            <v>1959</v>
          </cell>
        </row>
        <row r="53">
          <cell r="G53">
            <v>1958</v>
          </cell>
        </row>
        <row r="54">
          <cell r="G54">
            <v>1957</v>
          </cell>
        </row>
        <row r="55">
          <cell r="G55">
            <v>1956</v>
          </cell>
        </row>
        <row r="56">
          <cell r="G56">
            <v>1955</v>
          </cell>
        </row>
        <row r="57">
          <cell r="G57">
            <v>1954</v>
          </cell>
        </row>
        <row r="58">
          <cell r="G58">
            <v>1953</v>
          </cell>
        </row>
        <row r="59">
          <cell r="G59">
            <v>1952</v>
          </cell>
        </row>
        <row r="60">
          <cell r="G60">
            <v>1951</v>
          </cell>
        </row>
        <row r="61">
          <cell r="G61">
            <v>1950</v>
          </cell>
        </row>
      </sheetData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ครื่องจักร"/>
      <sheetName val="Machine MasterList"/>
      <sheetName val="data"/>
    </sheetNames>
    <sheetDataSet>
      <sheetData sheetId="0"/>
      <sheetData sheetId="1"/>
      <sheetData sheetId="2">
        <row r="1">
          <cell r="A1" t="str">
            <v>ใช่</v>
          </cell>
          <cell r="B1" t="str">
            <v xml:space="preserve"> ...</v>
          </cell>
          <cell r="D1" t="str">
            <v>AED</v>
          </cell>
          <cell r="F1" t="str">
            <v>ใหม่</v>
          </cell>
          <cell r="G1">
            <v>2010</v>
          </cell>
          <cell r="H1" t="str">
            <v xml:space="preserve"> ...</v>
          </cell>
          <cell r="J1" t="str">
            <v>อาหารสัตว์ : อื่นๆ</v>
          </cell>
        </row>
        <row r="2">
          <cell r="A2" t="str">
            <v>ไม่ใช่</v>
          </cell>
          <cell r="B2" t="str">
            <v>...</v>
          </cell>
          <cell r="D2" t="str">
            <v>AUD</v>
          </cell>
          <cell r="F2" t="str">
            <v>เก่า</v>
          </cell>
          <cell r="G2">
            <v>2009</v>
          </cell>
          <cell r="H2" t="str">
            <v>...</v>
          </cell>
        </row>
        <row r="3">
          <cell r="B3" t="str">
            <v>...</v>
          </cell>
          <cell r="D3" t="str">
            <v>BHD</v>
          </cell>
          <cell r="G3">
            <v>2008</v>
          </cell>
          <cell r="H3" t="str">
            <v>...</v>
          </cell>
        </row>
        <row r="4">
          <cell r="B4" t="str">
            <v>...</v>
          </cell>
          <cell r="D4" t="str">
            <v>BHT</v>
          </cell>
          <cell r="G4">
            <v>2007</v>
          </cell>
          <cell r="H4" t="str">
            <v>...</v>
          </cell>
        </row>
        <row r="5">
          <cell r="B5" t="str">
            <v>...</v>
          </cell>
          <cell r="D5" t="str">
            <v>BRD</v>
          </cell>
          <cell r="G5">
            <v>2006</v>
          </cell>
          <cell r="H5" t="str">
            <v>...</v>
          </cell>
        </row>
        <row r="6">
          <cell r="B6" t="str">
            <v>...</v>
          </cell>
          <cell r="D6" t="str">
            <v>CAD</v>
          </cell>
          <cell r="G6">
            <v>2005</v>
          </cell>
          <cell r="H6" t="str">
            <v>...</v>
          </cell>
        </row>
        <row r="7">
          <cell r="B7" t="str">
            <v>...</v>
          </cell>
          <cell r="D7" t="str">
            <v>CHF</v>
          </cell>
          <cell r="G7">
            <v>2004</v>
          </cell>
          <cell r="H7" t="str">
            <v>...</v>
          </cell>
        </row>
        <row r="8">
          <cell r="B8" t="str">
            <v>...</v>
          </cell>
          <cell r="D8" t="str">
            <v>CNY</v>
          </cell>
          <cell r="G8">
            <v>2003</v>
          </cell>
          <cell r="H8" t="str">
            <v>...</v>
          </cell>
        </row>
        <row r="9">
          <cell r="B9" t="str">
            <v>...</v>
          </cell>
          <cell r="D9" t="str">
            <v>DKK</v>
          </cell>
          <cell r="G9">
            <v>2002</v>
          </cell>
          <cell r="H9" t="str">
            <v>...</v>
          </cell>
        </row>
        <row r="10">
          <cell r="B10" t="str">
            <v>...</v>
          </cell>
          <cell r="D10" t="str">
            <v>EUR</v>
          </cell>
          <cell r="G10">
            <v>2001</v>
          </cell>
          <cell r="H10" t="str">
            <v>...</v>
          </cell>
        </row>
        <row r="11">
          <cell r="B11" t="str">
            <v>...</v>
          </cell>
          <cell r="D11" t="str">
            <v>GBP</v>
          </cell>
          <cell r="G11">
            <v>2000</v>
          </cell>
          <cell r="H11" t="str">
            <v>...</v>
          </cell>
        </row>
        <row r="12">
          <cell r="B12" t="str">
            <v>...</v>
          </cell>
          <cell r="D12" t="str">
            <v>HKD</v>
          </cell>
          <cell r="G12">
            <v>1999</v>
          </cell>
          <cell r="H12" t="str">
            <v>...</v>
          </cell>
        </row>
        <row r="13">
          <cell r="B13" t="str">
            <v>...</v>
          </cell>
          <cell r="D13" t="str">
            <v>IDR</v>
          </cell>
          <cell r="G13">
            <v>1998</v>
          </cell>
          <cell r="H13" t="str">
            <v>...</v>
          </cell>
        </row>
        <row r="14">
          <cell r="B14" t="str">
            <v>...</v>
          </cell>
          <cell r="D14" t="str">
            <v>INR</v>
          </cell>
          <cell r="G14">
            <v>1997</v>
          </cell>
          <cell r="H14" t="str">
            <v>...</v>
          </cell>
        </row>
        <row r="15">
          <cell r="B15" t="str">
            <v>Carat</v>
          </cell>
          <cell r="D15" t="str">
            <v>JPY</v>
          </cell>
          <cell r="G15">
            <v>1996</v>
          </cell>
          <cell r="H15" t="str">
            <v>Carat</v>
          </cell>
        </row>
        <row r="16">
          <cell r="B16" t="str">
            <v>Cubic centimetre</v>
          </cell>
          <cell r="D16" t="str">
            <v>KRW</v>
          </cell>
          <cell r="G16">
            <v>1995</v>
          </cell>
          <cell r="H16" t="str">
            <v>Cubic centimetre</v>
          </cell>
        </row>
        <row r="17">
          <cell r="B17" t="str">
            <v>Cubic foot</v>
          </cell>
          <cell r="D17" t="str">
            <v>MYR</v>
          </cell>
          <cell r="G17">
            <v>1994</v>
          </cell>
          <cell r="H17" t="str">
            <v>Cubic foot</v>
          </cell>
        </row>
        <row r="18">
          <cell r="B18" t="str">
            <v>Cubic metre</v>
          </cell>
          <cell r="D18" t="str">
            <v>NOK</v>
          </cell>
          <cell r="G18">
            <v>1993</v>
          </cell>
          <cell r="H18" t="str">
            <v>Cubic metre</v>
          </cell>
        </row>
        <row r="19">
          <cell r="B19" t="str">
            <v>Currency</v>
          </cell>
          <cell r="D19" t="str">
            <v>NZD</v>
          </cell>
          <cell r="G19">
            <v>1992</v>
          </cell>
          <cell r="H19" t="str">
            <v>Foot</v>
          </cell>
        </row>
        <row r="20">
          <cell r="B20" t="str">
            <v>Foot</v>
          </cell>
          <cell r="D20" t="str">
            <v>OMR</v>
          </cell>
          <cell r="G20">
            <v>1991</v>
          </cell>
          <cell r="H20" t="str">
            <v>Frame</v>
          </cell>
        </row>
        <row r="21">
          <cell r="B21" t="str">
            <v>Frame</v>
          </cell>
          <cell r="D21" t="str">
            <v>QAR</v>
          </cell>
          <cell r="G21">
            <v>1990</v>
          </cell>
          <cell r="H21" t="str">
            <v>Gram</v>
          </cell>
        </row>
        <row r="22">
          <cell r="B22" t="str">
            <v>Gram</v>
          </cell>
          <cell r="D22" t="str">
            <v>SAR</v>
          </cell>
          <cell r="G22">
            <v>1989</v>
          </cell>
          <cell r="H22" t="str">
            <v>Kilo watt hour</v>
          </cell>
        </row>
        <row r="23">
          <cell r="B23" t="str">
            <v>Kilo watt hour</v>
          </cell>
          <cell r="D23" t="str">
            <v>SEK</v>
          </cell>
          <cell r="G23">
            <v>1988</v>
          </cell>
          <cell r="H23" t="str">
            <v>Kilo-gram</v>
          </cell>
        </row>
        <row r="24">
          <cell r="B24" t="str">
            <v>Kilo-gram</v>
          </cell>
          <cell r="D24" t="str">
            <v>SGD</v>
          </cell>
          <cell r="G24">
            <v>1987</v>
          </cell>
          <cell r="H24" t="str">
            <v>Kilometre</v>
          </cell>
        </row>
        <row r="25">
          <cell r="B25" t="str">
            <v>Kilometre</v>
          </cell>
          <cell r="D25" t="str">
            <v>TWD</v>
          </cell>
          <cell r="G25">
            <v>1986</v>
          </cell>
          <cell r="H25" t="str">
            <v>Litre</v>
          </cell>
        </row>
        <row r="26">
          <cell r="B26" t="str">
            <v>Litre</v>
          </cell>
          <cell r="D26" t="str">
            <v>USD</v>
          </cell>
          <cell r="G26">
            <v>1985</v>
          </cell>
          <cell r="H26" t="str">
            <v>Metre</v>
          </cell>
        </row>
        <row r="27">
          <cell r="B27" t="str">
            <v>Metre</v>
          </cell>
          <cell r="D27" t="str">
            <v>ZAR</v>
          </cell>
          <cell r="G27">
            <v>1984</v>
          </cell>
          <cell r="H27" t="str">
            <v>Metric ton</v>
          </cell>
        </row>
        <row r="28">
          <cell r="B28" t="str">
            <v>Metric ton</v>
          </cell>
          <cell r="G28">
            <v>1983</v>
          </cell>
          <cell r="H28" t="str">
            <v>Onze</v>
          </cell>
        </row>
        <row r="29">
          <cell r="B29" t="str">
            <v>Onze</v>
          </cell>
          <cell r="G29">
            <v>1982</v>
          </cell>
          <cell r="H29" t="str">
            <v>Pair</v>
          </cell>
        </row>
        <row r="30">
          <cell r="B30" t="str">
            <v>Pair</v>
          </cell>
          <cell r="G30">
            <v>1981</v>
          </cell>
          <cell r="H30" t="str">
            <v>Piece</v>
          </cell>
        </row>
        <row r="31">
          <cell r="B31" t="str">
            <v>Piece</v>
          </cell>
          <cell r="G31">
            <v>1980</v>
          </cell>
          <cell r="H31" t="str">
            <v>Piece / Unit</v>
          </cell>
        </row>
        <row r="32">
          <cell r="B32" t="str">
            <v>Piece / Unit</v>
          </cell>
          <cell r="G32">
            <v>1979</v>
          </cell>
          <cell r="H32" t="str">
            <v>Pound</v>
          </cell>
        </row>
        <row r="33">
          <cell r="B33" t="str">
            <v>Pound</v>
          </cell>
          <cell r="G33">
            <v>1978</v>
          </cell>
          <cell r="H33" t="str">
            <v>Roll</v>
          </cell>
        </row>
        <row r="34">
          <cell r="B34" t="str">
            <v>Roll</v>
          </cell>
          <cell r="G34">
            <v>1977</v>
          </cell>
          <cell r="H34" t="str">
            <v>Set</v>
          </cell>
        </row>
        <row r="35">
          <cell r="B35" t="str">
            <v>Set</v>
          </cell>
          <cell r="G35">
            <v>1976</v>
          </cell>
          <cell r="H35" t="str">
            <v>Square foot</v>
          </cell>
        </row>
        <row r="36">
          <cell r="B36" t="str">
            <v>Square foot</v>
          </cell>
          <cell r="G36">
            <v>1975</v>
          </cell>
          <cell r="H36" t="str">
            <v>Square metre</v>
          </cell>
        </row>
        <row r="37">
          <cell r="B37" t="str">
            <v>Square metre</v>
          </cell>
          <cell r="G37">
            <v>1974</v>
          </cell>
          <cell r="H37" t="str">
            <v>Square yard</v>
          </cell>
        </row>
        <row r="38">
          <cell r="B38" t="str">
            <v>Square yard</v>
          </cell>
          <cell r="G38">
            <v>1973</v>
          </cell>
          <cell r="H38" t="str">
            <v>Ton</v>
          </cell>
        </row>
        <row r="39">
          <cell r="B39" t="str">
            <v>Ton</v>
          </cell>
          <cell r="G39">
            <v>1972</v>
          </cell>
          <cell r="H39" t="str">
            <v>Unit</v>
          </cell>
        </row>
        <row r="40">
          <cell r="B40" t="str">
            <v>Unit</v>
          </cell>
          <cell r="G40">
            <v>1971</v>
          </cell>
          <cell r="H40" t="str">
            <v>Yard</v>
          </cell>
        </row>
        <row r="41">
          <cell r="B41" t="str">
            <v>Yard</v>
          </cell>
          <cell r="G41">
            <v>1970</v>
          </cell>
        </row>
        <row r="42">
          <cell r="G42">
            <v>1969</v>
          </cell>
        </row>
        <row r="43">
          <cell r="G43">
            <v>1968</v>
          </cell>
        </row>
        <row r="44">
          <cell r="G44">
            <v>1967</v>
          </cell>
        </row>
        <row r="45">
          <cell r="G45">
            <v>1966</v>
          </cell>
        </row>
        <row r="46">
          <cell r="G46">
            <v>1965</v>
          </cell>
        </row>
        <row r="47">
          <cell r="G47">
            <v>1964</v>
          </cell>
        </row>
        <row r="48">
          <cell r="G48">
            <v>1963</v>
          </cell>
        </row>
        <row r="49">
          <cell r="G49">
            <v>1962</v>
          </cell>
        </row>
        <row r="50">
          <cell r="G50">
            <v>1961</v>
          </cell>
        </row>
        <row r="51">
          <cell r="G51">
            <v>1960</v>
          </cell>
        </row>
        <row r="52">
          <cell r="G52">
            <v>1959</v>
          </cell>
        </row>
        <row r="53">
          <cell r="G53">
            <v>1958</v>
          </cell>
        </row>
        <row r="54">
          <cell r="G54">
            <v>1957</v>
          </cell>
        </row>
        <row r="55">
          <cell r="G55">
            <v>1956</v>
          </cell>
        </row>
        <row r="56">
          <cell r="G56">
            <v>1955</v>
          </cell>
        </row>
        <row r="57">
          <cell r="G57">
            <v>1954</v>
          </cell>
        </row>
        <row r="58">
          <cell r="G58">
            <v>1953</v>
          </cell>
        </row>
        <row r="59">
          <cell r="G59">
            <v>1952</v>
          </cell>
        </row>
        <row r="60">
          <cell r="G60">
            <v>1951</v>
          </cell>
        </row>
        <row r="61">
          <cell r="G61">
            <v>1950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SS2"/>
    </sheetNames>
    <definedNames>
      <definedName name="changecolor"/>
      <definedName name="color_CANCEL"/>
      <definedName name="color_DEFAULT"/>
      <definedName name="color_OK"/>
      <definedName name="colorlist_change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  <sheetName val="Dt1"/>
    </sheetNames>
    <sheetDataSet>
      <sheetData sheetId="0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 &amp; graph"/>
      <sheetName val="result"/>
      <sheetName val="1201B (stability no 64)"/>
      <sheetName val="Dt1"/>
      <sheetName val="fr"/>
    </sheetNames>
    <sheetDataSet>
      <sheetData sheetId="0" refreshError="1"/>
      <sheetData sheetId="1" refreshError="1">
        <row r="2">
          <cell r="D2" t="str">
            <v>S-JAR  FERMENTATION REPORT No. 1201B</v>
          </cell>
        </row>
        <row r="3">
          <cell r="L3" t="str">
            <v>Incharge</v>
          </cell>
          <cell r="M3" t="str">
            <v>Supervisor</v>
          </cell>
          <cell r="N3" t="str">
            <v>Advisor</v>
          </cell>
          <cell r="O3" t="str">
            <v>Dev. Mgr.</v>
          </cell>
          <cell r="P3" t="str">
            <v>Dept.Mgr.</v>
          </cell>
        </row>
        <row r="4">
          <cell r="A4" t="str">
            <v>OBJECTIVE:</v>
          </cell>
          <cell r="B4" t="str">
            <v>To  evaluate the stability of bacterial strain 19B-02-64.</v>
          </cell>
          <cell r="L4" t="str">
            <v>Sommas</v>
          </cell>
        </row>
        <row r="5">
          <cell r="A5" t="str">
            <v>N-SOURCE:</v>
          </cell>
          <cell r="B5" t="str">
            <v xml:space="preserve"> MN(TN)</v>
          </cell>
          <cell r="L5" t="str">
            <v>T.NATEE</v>
          </cell>
        </row>
        <row r="6">
          <cell r="A6" t="str">
            <v>C-SOURCE:</v>
          </cell>
          <cell r="B6" t="str">
            <v>Glucose[TS=160 g/B]</v>
          </cell>
        </row>
        <row r="7">
          <cell r="A7" t="str">
            <v>BACTERIAL STRAIN:</v>
          </cell>
          <cell r="B7" t="str">
            <v>19B-02-64</v>
          </cell>
          <cell r="M7" t="str">
            <v>DATE:September 24, 2001.</v>
          </cell>
        </row>
        <row r="8">
          <cell r="A8" t="str">
            <v>TEST ITEMS:</v>
          </cell>
        </row>
        <row r="9">
          <cell r="H9" t="str">
            <v>Note :  At CT ~ 5 hr , Temperature of no.5 reached 48 oC by accident. So cell growth was depressed.</v>
          </cell>
        </row>
        <row r="10">
          <cell r="A10" t="str">
            <v>JAR No.</v>
          </cell>
          <cell r="B10" t="str">
            <v xml:space="preserve">Preseed </v>
          </cell>
          <cell r="H10" t="str">
            <v>Jar No.</v>
          </cell>
          <cell r="K10">
            <v>1</v>
          </cell>
          <cell r="L10" t="str">
            <v>2</v>
          </cell>
          <cell r="M10" t="str">
            <v>3</v>
          </cell>
          <cell r="N10" t="str">
            <v>4</v>
          </cell>
          <cell r="O10" t="str">
            <v>5</v>
          </cell>
          <cell r="P10" t="str">
            <v>6</v>
          </cell>
        </row>
        <row r="11">
          <cell r="B11" t="str">
            <v>generation</v>
          </cell>
          <cell r="H11" t="str">
            <v>Start Volume</v>
          </cell>
          <cell r="J11" t="str">
            <v>(ml)</v>
          </cell>
          <cell r="K11">
            <v>260</v>
          </cell>
          <cell r="L11">
            <v>260</v>
          </cell>
          <cell r="M11">
            <v>260</v>
          </cell>
          <cell r="N11">
            <v>260</v>
          </cell>
          <cell r="O11">
            <v>260</v>
          </cell>
          <cell r="P11">
            <v>260</v>
          </cell>
        </row>
        <row r="12">
          <cell r="A12" t="str">
            <v>1</v>
          </cell>
          <cell r="B12" t="str">
            <v>1st</v>
          </cell>
          <cell r="H12" t="str">
            <v>Initial sugar concentration</v>
          </cell>
          <cell r="J12" t="str">
            <v>(g/dl)</v>
          </cell>
          <cell r="K12">
            <v>6.54</v>
          </cell>
          <cell r="L12">
            <v>6.54</v>
          </cell>
          <cell r="M12">
            <v>6.54</v>
          </cell>
          <cell r="N12">
            <v>6.48</v>
          </cell>
          <cell r="O12">
            <v>6.68</v>
          </cell>
          <cell r="P12">
            <v>6.68</v>
          </cell>
        </row>
        <row r="13">
          <cell r="A13" t="str">
            <v>2</v>
          </cell>
          <cell r="B13" t="str">
            <v>1st</v>
          </cell>
          <cell r="H13" t="str">
            <v>Feed volume</v>
          </cell>
          <cell r="J13" t="str">
            <v>(ml)</v>
          </cell>
          <cell r="K13">
            <v>208</v>
          </cell>
          <cell r="L13">
            <v>218</v>
          </cell>
          <cell r="M13">
            <v>213</v>
          </cell>
          <cell r="N13">
            <v>235</v>
          </cell>
          <cell r="O13">
            <v>223</v>
          </cell>
          <cell r="P13">
            <v>286</v>
          </cell>
        </row>
        <row r="14">
          <cell r="A14" t="str">
            <v>3</v>
          </cell>
          <cell r="B14" t="str">
            <v>3rd</v>
          </cell>
          <cell r="H14" t="str">
            <v xml:space="preserve">Feed sugar concentration    </v>
          </cell>
          <cell r="J14" t="str">
            <v>(g/dl)</v>
          </cell>
          <cell r="K14">
            <v>49.06</v>
          </cell>
          <cell r="L14">
            <v>49.06</v>
          </cell>
          <cell r="M14">
            <v>49.06</v>
          </cell>
          <cell r="N14">
            <v>49.06</v>
          </cell>
          <cell r="O14">
            <v>49.06</v>
          </cell>
          <cell r="P14">
            <v>49.06</v>
          </cell>
        </row>
        <row r="15">
          <cell r="A15" t="str">
            <v>4</v>
          </cell>
          <cell r="B15" t="str">
            <v>3rd</v>
          </cell>
          <cell r="H15" t="str">
            <v>BO volume</v>
          </cell>
          <cell r="J15" t="str">
            <v>(ml)</v>
          </cell>
          <cell r="K15">
            <v>430</v>
          </cell>
          <cell r="L15">
            <v>443</v>
          </cell>
          <cell r="M15">
            <v>415</v>
          </cell>
          <cell r="N15">
            <v>450</v>
          </cell>
          <cell r="O15">
            <v>420</v>
          </cell>
          <cell r="P15">
            <v>491</v>
          </cell>
        </row>
        <row r="16">
          <cell r="A16" t="str">
            <v>5</v>
          </cell>
          <cell r="B16" t="str">
            <v>5th</v>
          </cell>
          <cell r="H16" t="str">
            <v>Sample cut</v>
          </cell>
          <cell r="J16" t="str">
            <v>(ml)</v>
          </cell>
          <cell r="K16">
            <v>29.1</v>
          </cell>
          <cell r="L16">
            <v>31.2</v>
          </cell>
          <cell r="M16">
            <v>31.2</v>
          </cell>
          <cell r="N16">
            <v>29.8</v>
          </cell>
          <cell r="O16">
            <v>35.200000000000003</v>
          </cell>
          <cell r="P16">
            <v>31.1</v>
          </cell>
        </row>
        <row r="17">
          <cell r="A17" t="str">
            <v>6</v>
          </cell>
          <cell r="B17" t="str">
            <v>5th</v>
          </cell>
          <cell r="H17" t="str">
            <v>F-GH in sample cut</v>
          </cell>
          <cell r="J17" t="str">
            <v>(g/dl)</v>
          </cell>
          <cell r="K17">
            <v>8.468</v>
          </cell>
          <cell r="L17">
            <v>8.15</v>
          </cell>
          <cell r="M17">
            <v>8.7850000000000001</v>
          </cell>
          <cell r="N17">
            <v>7.806</v>
          </cell>
          <cell r="O17">
            <v>6.96</v>
          </cell>
          <cell r="P17">
            <v>7.5679999999999996</v>
          </cell>
        </row>
        <row r="18">
          <cell r="A18" t="str">
            <v>MEDIUM COMPOSITION</v>
          </cell>
          <cell r="H18" t="str">
            <v>Solution added(Af)</v>
          </cell>
          <cell r="J18" t="str">
            <v>(ml)</v>
          </cell>
          <cell r="K18">
            <v>20.5</v>
          </cell>
          <cell r="L18">
            <v>14.5</v>
          </cell>
          <cell r="M18">
            <v>13</v>
          </cell>
          <cell r="N18">
            <v>14</v>
          </cell>
          <cell r="O18">
            <v>9.5</v>
          </cell>
          <cell r="P18">
            <v>14</v>
          </cell>
        </row>
        <row r="19">
          <cell r="A19" t="str">
            <v>Composition</v>
          </cell>
          <cell r="B19" t="str">
            <v>Unit</v>
          </cell>
          <cell r="C19" t="str">
            <v>Seed</v>
          </cell>
          <cell r="D19" t="str">
            <v>Main</v>
          </cell>
          <cell r="E19" t="str">
            <v>Feed</v>
          </cell>
          <cell r="H19" t="str">
            <v>F-GH in broth end</v>
          </cell>
          <cell r="J19" t="str">
            <v>(g/dl)</v>
          </cell>
          <cell r="K19">
            <v>18.183</v>
          </cell>
          <cell r="L19">
            <v>18.391999999999999</v>
          </cell>
          <cell r="M19">
            <v>19.074000000000002</v>
          </cell>
          <cell r="N19">
            <v>18.759</v>
          </cell>
          <cell r="O19">
            <v>18.391999999999999</v>
          </cell>
          <cell r="P19">
            <v>18.654</v>
          </cell>
        </row>
        <row r="20">
          <cell r="A20" t="str">
            <v>Glucose</v>
          </cell>
          <cell r="B20" t="str">
            <v>g/dl</v>
          </cell>
          <cell r="C20">
            <v>6</v>
          </cell>
          <cell r="D20">
            <v>6</v>
          </cell>
          <cell r="E20">
            <v>49.06</v>
          </cell>
          <cell r="H20" t="str">
            <v xml:space="preserve">DCW                </v>
          </cell>
          <cell r="J20" t="str">
            <v>(g/dl)</v>
          </cell>
          <cell r="K20">
            <v>1.0920000000000001</v>
          </cell>
          <cell r="L20">
            <v>1.1140000000000001</v>
          </cell>
          <cell r="M20">
            <v>1.286</v>
          </cell>
          <cell r="N20">
            <v>1.272</v>
          </cell>
          <cell r="O20">
            <v>1.528</v>
          </cell>
          <cell r="P20">
            <v>1.8720000000000001</v>
          </cell>
        </row>
        <row r="21">
          <cell r="A21" t="str">
            <v>BM</v>
          </cell>
          <cell r="B21" t="str">
            <v>g/dl</v>
          </cell>
          <cell r="C21" t="str">
            <v>-</v>
          </cell>
          <cell r="D21" t="str">
            <v xml:space="preserve"> -</v>
          </cell>
          <cell r="H21" t="str">
            <v xml:space="preserve">CT                 </v>
          </cell>
          <cell r="J21" t="str">
            <v>(hr)</v>
          </cell>
          <cell r="K21">
            <v>40.33</v>
          </cell>
          <cell r="L21">
            <v>40.33</v>
          </cell>
          <cell r="M21">
            <v>40.33</v>
          </cell>
          <cell r="N21">
            <v>40.33</v>
          </cell>
          <cell r="O21">
            <v>40.33</v>
          </cell>
          <cell r="P21">
            <v>40.33</v>
          </cell>
        </row>
        <row r="22">
          <cell r="A22" t="str">
            <v>H3PO4 (85%)</v>
          </cell>
          <cell r="B22" t="str">
            <v>g/dl</v>
          </cell>
          <cell r="C22" t="str">
            <v>0.236</v>
          </cell>
          <cell r="D22">
            <v>0.3</v>
          </cell>
          <cell r="H22" t="str">
            <v>RS</v>
          </cell>
          <cell r="J22" t="str">
            <v>(g/dl)</v>
          </cell>
          <cell r="K22">
            <v>0.53</v>
          </cell>
          <cell r="L22">
            <v>0.56000000000000005</v>
          </cell>
          <cell r="M22">
            <v>0.53</v>
          </cell>
          <cell r="N22">
            <v>0.56999999999999995</v>
          </cell>
          <cell r="O22">
            <v>0.59</v>
          </cell>
          <cell r="P22">
            <v>0.56000000000000005</v>
          </cell>
        </row>
        <row r="23">
          <cell r="A23" t="str">
            <v>MgSO4.7H2O</v>
          </cell>
          <cell r="B23" t="str">
            <v>g/dl</v>
          </cell>
          <cell r="C23" t="str">
            <v>0.077</v>
          </cell>
          <cell r="D23">
            <v>0.13</v>
          </cell>
          <cell r="H23" t="str">
            <v>CONTAMINATION CHECK</v>
          </cell>
          <cell r="K23" t="str">
            <v xml:space="preserve"> -</v>
          </cell>
          <cell r="L23" t="str">
            <v xml:space="preserve"> -</v>
          </cell>
          <cell r="M23" t="str">
            <v xml:space="preserve"> -</v>
          </cell>
          <cell r="N23" t="str">
            <v xml:space="preserve"> -</v>
          </cell>
          <cell r="O23" t="str">
            <v xml:space="preserve"> +</v>
          </cell>
          <cell r="P23" t="str">
            <v xml:space="preserve"> -</v>
          </cell>
        </row>
        <row r="24">
          <cell r="A24" t="str">
            <v>FeSO4.7H2O</v>
          </cell>
          <cell r="B24" t="str">
            <v>g/dl</v>
          </cell>
          <cell r="C24" t="str">
            <v>0.0015</v>
          </cell>
          <cell r="D24" t="str">
            <v xml:space="preserve"> -</v>
          </cell>
          <cell r="H24" t="str">
            <v xml:space="preserve">SEED CULTURE TIME             </v>
          </cell>
          <cell r="J24" t="str">
            <v>(hr)</v>
          </cell>
          <cell r="K24">
            <v>26.33</v>
          </cell>
          <cell r="L24">
            <v>26.33</v>
          </cell>
          <cell r="M24">
            <v>27</v>
          </cell>
          <cell r="N24">
            <v>27</v>
          </cell>
          <cell r="O24">
            <v>24.5</v>
          </cell>
          <cell r="P24">
            <v>24.5</v>
          </cell>
        </row>
        <row r="25">
          <cell r="A25" t="str">
            <v>VB1</v>
          </cell>
          <cell r="B25" t="str">
            <v>ug/l</v>
          </cell>
          <cell r="C25" t="str">
            <v>450.0</v>
          </cell>
          <cell r="D25">
            <v>270</v>
          </cell>
        </row>
        <row r="26">
          <cell r="A26" t="str">
            <v>Biotin</v>
          </cell>
          <cell r="B26" t="str">
            <v>ug/l</v>
          </cell>
          <cell r="C26" t="str">
            <v>450.0</v>
          </cell>
          <cell r="D26">
            <v>600</v>
          </cell>
          <cell r="H26" t="str">
            <v>Corrected BO Volume</v>
          </cell>
          <cell r="J26" t="str">
            <v>(ml)</v>
          </cell>
          <cell r="K26">
            <v>451.82499999999999</v>
          </cell>
          <cell r="L26">
            <v>466.4</v>
          </cell>
          <cell r="M26">
            <v>438.4</v>
          </cell>
          <cell r="N26">
            <v>472.35</v>
          </cell>
          <cell r="O26">
            <v>446.4</v>
          </cell>
          <cell r="P26">
            <v>514.32500000000005</v>
          </cell>
        </row>
        <row r="27">
          <cell r="A27" t="str">
            <v>Mameno (TN)</v>
          </cell>
          <cell r="B27" t="str">
            <v>mg/dl</v>
          </cell>
          <cell r="C27" t="str">
            <v>135.0</v>
          </cell>
          <cell r="D27">
            <v>40</v>
          </cell>
          <cell r="H27" t="str">
            <v>Total sugar consumption</v>
          </cell>
          <cell r="J27" t="str">
            <v>(g/B)</v>
          </cell>
          <cell r="K27">
            <v>119.0488</v>
          </cell>
          <cell r="L27">
            <v>123.95480000000001</v>
          </cell>
          <cell r="M27">
            <v>121.50180000000002</v>
          </cell>
          <cell r="N27">
            <v>132.13900000000001</v>
          </cell>
          <cell r="O27">
            <v>126.7718</v>
          </cell>
          <cell r="P27">
            <v>157.67959999999999</v>
          </cell>
        </row>
        <row r="28">
          <cell r="A28" t="str">
            <v>Antifoam concentration</v>
          </cell>
          <cell r="B28" t="str">
            <v>g/dl</v>
          </cell>
          <cell r="C28" t="str">
            <v>0.01</v>
          </cell>
          <cell r="D28">
            <v>0.02</v>
          </cell>
          <cell r="E28">
            <v>0.67</v>
          </cell>
          <cell r="H28" t="str">
            <v xml:space="preserve">F-GH               </v>
          </cell>
          <cell r="J28" t="str">
            <v>(g/B)</v>
          </cell>
          <cell r="K28">
            <v>80.651087999999987</v>
          </cell>
          <cell r="L28">
            <v>84.019360000000006</v>
          </cell>
          <cell r="M28">
            <v>81.898020000000017</v>
          </cell>
          <cell r="N28">
            <v>86.741687999999996</v>
          </cell>
          <cell r="O28">
            <v>79.69632</v>
          </cell>
          <cell r="P28">
            <v>93.944788000000003</v>
          </cell>
        </row>
        <row r="29">
          <cell r="A29" t="str">
            <v>PABA</v>
          </cell>
          <cell r="B29" t="str">
            <v>ug/l</v>
          </cell>
          <cell r="C29" t="str">
            <v>7500.0</v>
          </cell>
          <cell r="D29" t="str">
            <v xml:space="preserve"> -</v>
          </cell>
          <cell r="H29" t="str">
            <v xml:space="preserve">F-GH yield         </v>
          </cell>
          <cell r="J29" t="str">
            <v xml:space="preserve">(%) </v>
          </cell>
          <cell r="K29">
            <v>67.746241877280568</v>
          </cell>
          <cell r="L29">
            <v>67.782256112712062</v>
          </cell>
          <cell r="M29">
            <v>67.404779188456473</v>
          </cell>
          <cell r="N29">
            <v>65.644274589636666</v>
          </cell>
          <cell r="O29">
            <v>62.865968614471043</v>
          </cell>
          <cell r="P29">
            <v>59.579544849175171</v>
          </cell>
        </row>
        <row r="30">
          <cell r="A30" t="str">
            <v>Vitamin C</v>
          </cell>
          <cell r="B30" t="str">
            <v>ug/l</v>
          </cell>
          <cell r="C30" t="str">
            <v>7500.0</v>
          </cell>
          <cell r="D30" t="str">
            <v xml:space="preserve"> -</v>
          </cell>
          <cell r="H30" t="str">
            <v xml:space="preserve">DCW                </v>
          </cell>
          <cell r="J30" t="str">
            <v>(g/B)</v>
          </cell>
          <cell r="K30">
            <v>4.933929</v>
          </cell>
          <cell r="L30">
            <v>5.1956960000000008</v>
          </cell>
          <cell r="M30">
            <v>5.6378239999999993</v>
          </cell>
          <cell r="N30">
            <v>6.008292</v>
          </cell>
          <cell r="O30">
            <v>6.8209920000000004</v>
          </cell>
          <cell r="P30">
            <v>9.6281640000000017</v>
          </cell>
        </row>
        <row r="31">
          <cell r="A31" t="str">
            <v>Vitamin B12</v>
          </cell>
          <cell r="B31" t="str">
            <v>ug/l</v>
          </cell>
          <cell r="C31" t="str">
            <v>3.0</v>
          </cell>
          <cell r="D31" t="str">
            <v xml:space="preserve"> -</v>
          </cell>
          <cell r="H31" t="str">
            <v xml:space="preserve">DCW yield               </v>
          </cell>
          <cell r="J31" t="str">
            <v xml:space="preserve">(%) </v>
          </cell>
          <cell r="K31">
            <v>4.1444592469642698</v>
          </cell>
          <cell r="L31">
            <v>4.1916053271031064</v>
          </cell>
          <cell r="M31">
            <v>4.6401156196862914</v>
          </cell>
          <cell r="N31">
            <v>4.546948289301417</v>
          </cell>
          <cell r="O31">
            <v>5.3805278460982651</v>
          </cell>
          <cell r="P31">
            <v>6.1061570425089879</v>
          </cell>
        </row>
        <row r="32">
          <cell r="A32" t="str">
            <v>KCl</v>
          </cell>
          <cell r="B32" t="str">
            <v>g/dl</v>
          </cell>
          <cell r="C32" t="str">
            <v>-</v>
          </cell>
          <cell r="D32">
            <v>0.51</v>
          </cell>
          <cell r="H32" t="str">
            <v xml:space="preserve">G/K                </v>
          </cell>
          <cell r="J32" t="str">
            <v/>
          </cell>
          <cell r="K32">
            <v>16.346219817917927</v>
          </cell>
          <cell r="L32">
            <v>16.170953804841545</v>
          </cell>
          <cell r="M32">
            <v>14.526530093880197</v>
          </cell>
          <cell r="N32">
            <v>14.436996071429284</v>
          </cell>
          <cell r="O32">
            <v>11.683977931655688</v>
          </cell>
          <cell r="P32">
            <v>9.7572899672253186</v>
          </cell>
        </row>
        <row r="33">
          <cell r="A33" t="str">
            <v>Amix (USA)</v>
          </cell>
          <cell r="B33" t="str">
            <v>ml/dl</v>
          </cell>
          <cell r="C33" t="str">
            <v>-</v>
          </cell>
          <cell r="D33">
            <v>1.5</v>
          </cell>
          <cell r="H33" t="str">
            <v xml:space="preserve">G/K/CT                 </v>
          </cell>
          <cell r="J33" t="str">
            <v/>
          </cell>
          <cell r="K33">
            <v>0.40531167413632352</v>
          </cell>
          <cell r="L33">
            <v>0.40096587663876881</v>
          </cell>
          <cell r="M33">
            <v>0.36019167106075373</v>
          </cell>
          <cell r="N33">
            <v>0.35797163579046082</v>
          </cell>
          <cell r="O33">
            <v>0.28970934618536298</v>
          </cell>
          <cell r="P33">
            <v>0.241936274912604</v>
          </cell>
        </row>
        <row r="34">
          <cell r="B34" t="str">
            <v/>
          </cell>
          <cell r="C34" t="str">
            <v/>
          </cell>
          <cell r="D34" t="str">
            <v/>
          </cell>
          <cell r="H34" t="str">
            <v xml:space="preserve">T/K                </v>
          </cell>
          <cell r="J34" t="str">
            <v/>
          </cell>
          <cell r="K34">
            <v>24.128600148076714</v>
          </cell>
          <cell r="L34">
            <v>23.857207965977992</v>
          </cell>
          <cell r="M34">
            <v>21.551187124677895</v>
          </cell>
          <cell r="N34">
            <v>21.992772654857657</v>
          </cell>
          <cell r="O34">
            <v>18.58553711835463</v>
          </cell>
          <cell r="P34">
            <v>16.376912566092557</v>
          </cell>
        </row>
        <row r="35">
          <cell r="A35" t="str">
            <v>CULTIVATION CONDITION</v>
          </cell>
          <cell r="H35" t="str">
            <v xml:space="preserve">T/K/CT                    </v>
          </cell>
          <cell r="J35" t="str">
            <v/>
          </cell>
          <cell r="K35">
            <v>0.59827920029944748</v>
          </cell>
          <cell r="L35">
            <v>0.59154991237237775</v>
          </cell>
          <cell r="M35">
            <v>0.53437111640659296</v>
          </cell>
          <cell r="N35">
            <v>0.54532042288265947</v>
          </cell>
          <cell r="O35">
            <v>0.4608365266142978</v>
          </cell>
          <cell r="P35">
            <v>0.40607271425967162</v>
          </cell>
        </row>
        <row r="36">
          <cell r="A36" t="str">
            <v>Condition</v>
          </cell>
          <cell r="B36" t="str">
            <v>Seed</v>
          </cell>
          <cell r="C36" t="str">
            <v>Main</v>
          </cell>
          <cell r="D36" t="str">
            <v xml:space="preserve">NOTE :  </v>
          </cell>
          <cell r="H36" t="str">
            <v xml:space="preserve">TS/CT                        </v>
          </cell>
          <cell r="J36" t="str">
            <v/>
          </cell>
          <cell r="K36">
            <v>2.9518670964542526</v>
          </cell>
          <cell r="L36">
            <v>3.0735135135135137</v>
          </cell>
          <cell r="M36">
            <v>3.0126903049838836</v>
          </cell>
          <cell r="N36">
            <v>3.2764443342424996</v>
          </cell>
          <cell r="O36">
            <v>3.1433622613439129</v>
          </cell>
          <cell r="P36">
            <v>3.9097346888172577</v>
          </cell>
        </row>
        <row r="37">
          <cell r="A37" t="str">
            <v>Antifoam (type)</v>
          </cell>
          <cell r="B37" t="str">
            <v>fermol 1000</v>
          </cell>
          <cell r="C37" t="str">
            <v>fermol 1000</v>
          </cell>
          <cell r="D37" t="str">
            <v>Temp. control profile</v>
          </cell>
          <cell r="H37" t="str">
            <v xml:space="preserve">GS/CT                     </v>
          </cell>
          <cell r="J37" t="str">
            <v/>
          </cell>
          <cell r="K37">
            <v>1.9997790230597567</v>
          </cell>
          <cell r="L37">
            <v>2.0832968013885447</v>
          </cell>
          <cell r="M37">
            <v>2.0306972477064225</v>
          </cell>
          <cell r="N37">
            <v>2.1507981155467393</v>
          </cell>
          <cell r="O37">
            <v>1.9761051326555914</v>
          </cell>
          <cell r="P37">
            <v>2.3294021324076373</v>
          </cell>
        </row>
        <row r="38">
          <cell r="A38" t="str">
            <v>pH adjust</v>
          </cell>
          <cell r="B38" t="str">
            <v>3.5 by NaOH</v>
          </cell>
          <cell r="C38" t="str">
            <v>3.5 by NH4OH(B)</v>
          </cell>
          <cell r="D38" t="str">
            <v>delOD 0.30 / fOD 0.80</v>
          </cell>
          <cell r="H38" t="str">
            <v>Total sugar concentration</v>
          </cell>
          <cell r="J38" t="str">
            <v>(g/dl)</v>
          </cell>
          <cell r="K38">
            <v>26.348431361699774</v>
          </cell>
          <cell r="L38">
            <v>26.576929674099485</v>
          </cell>
          <cell r="M38">
            <v>27.714826642335773</v>
          </cell>
          <cell r="N38">
            <v>27.974806816978937</v>
          </cell>
          <cell r="O38">
            <v>28.39870071684588</v>
          </cell>
          <cell r="P38">
            <v>30.65758032372527</v>
          </cell>
        </row>
        <row r="39">
          <cell r="A39" t="str">
            <v>Initial volume</v>
          </cell>
          <cell r="B39" t="str">
            <v>450 ml.</v>
          </cell>
          <cell r="C39" t="str">
            <v>260ml</v>
          </cell>
          <cell r="D39" t="str">
            <v xml:space="preserve"> 33--&gt;37--&gt;39 C</v>
          </cell>
          <cell r="H39" t="str">
            <v>Evaporation Ratio (%)</v>
          </cell>
          <cell r="K39">
            <v>92.49232343909928</v>
          </cell>
          <cell r="L39">
            <v>94.700507614213194</v>
          </cell>
          <cell r="M39">
            <v>90.205761316872426</v>
          </cell>
          <cell r="N39">
            <v>92.799607072691558</v>
          </cell>
          <cell r="O39">
            <v>90.639593908629436</v>
          </cell>
          <cell r="P39">
            <v>91.843750000000014</v>
          </cell>
        </row>
        <row r="40">
          <cell r="A40" t="str">
            <v>Inoculum size</v>
          </cell>
          <cell r="B40" t="str">
            <v>0.1 ml.</v>
          </cell>
          <cell r="C40" t="str">
            <v>28.0 ml.</v>
          </cell>
        </row>
        <row r="41">
          <cell r="A41" t="str">
            <v>Sterilization (C,min)</v>
          </cell>
          <cell r="B41" t="str">
            <v>120 , 20</v>
          </cell>
          <cell r="C41" t="str">
            <v>120 , 20</v>
          </cell>
          <cell r="D41" t="str">
            <v xml:space="preserve">Seed OD 1.05 (26 folds) </v>
          </cell>
        </row>
        <row r="42">
          <cell r="A42" t="str">
            <v>Cultivation temp. (C)</v>
          </cell>
          <cell r="B42" t="str">
            <v>31.5</v>
          </cell>
          <cell r="C42" t="str">
            <v>33--&gt;37--&gt;39</v>
          </cell>
          <cell r="H42" t="str">
            <v xml:space="preserve">G/TS               </v>
          </cell>
          <cell r="J42" t="str">
            <v xml:space="preserve">(%) </v>
          </cell>
          <cell r="K42">
            <v>78.788879303277298</v>
          </cell>
          <cell r="L42">
            <v>78.830763859084129</v>
          </cell>
          <cell r="M42">
            <v>78.391758196174877</v>
          </cell>
          <cell r="N42">
            <v>76.344291347747443</v>
          </cell>
          <cell r="O42">
            <v>73.113121498629823</v>
          </cell>
          <cell r="P42">
            <v>69.291010659590725</v>
          </cell>
        </row>
        <row r="43">
          <cell r="A43" t="str">
            <v>Aeration (vvm)</v>
          </cell>
          <cell r="B43" t="str">
            <v>1.0</v>
          </cell>
          <cell r="C43" t="str">
            <v>1.0 vvm.</v>
          </cell>
          <cell r="H43" t="str">
            <v xml:space="preserve">K/TS              </v>
          </cell>
          <cell r="J43" t="str">
            <v xml:space="preserve">(%) </v>
          </cell>
          <cell r="K43">
            <v>8.0816955315803263</v>
          </cell>
          <cell r="L43">
            <v>8.1736303878510572</v>
          </cell>
          <cell r="M43">
            <v>9.0482254583882682</v>
          </cell>
          <cell r="N43">
            <v>8.8665491641377638</v>
          </cell>
          <cell r="O43">
            <v>10.492029299891616</v>
          </cell>
          <cell r="P43">
            <v>11.907006232892526</v>
          </cell>
        </row>
        <row r="44">
          <cell r="A44" t="str">
            <v>Agitation (rpm) fixed</v>
          </cell>
          <cell r="B44" t="str">
            <v>700-1,300</v>
          </cell>
          <cell r="C44" t="str">
            <v>1000--&gt;1700</v>
          </cell>
          <cell r="H44" t="str">
            <v xml:space="preserve">RS/T              </v>
          </cell>
          <cell r="J44" t="str">
            <v xml:space="preserve">(%) </v>
          </cell>
          <cell r="K44">
            <v>2.0115049458709366</v>
          </cell>
          <cell r="L44">
            <v>2.1070906491721177</v>
          </cell>
          <cell r="M44">
            <v>1.9123338090464501</v>
          </cell>
          <cell r="N44">
            <v>2.0375475824699745</v>
          </cell>
          <cell r="O44">
            <v>2.0775598358625498</v>
          </cell>
          <cell r="P44">
            <v>1.8266281751095261</v>
          </cell>
        </row>
        <row r="45">
          <cell r="A45" t="str">
            <v>pH control</v>
          </cell>
          <cell r="B45" t="str">
            <v>7.0</v>
          </cell>
          <cell r="C45">
            <v>7.2</v>
          </cell>
          <cell r="H45" t="str">
            <v xml:space="preserve">BP/T              </v>
          </cell>
          <cell r="J45" t="str">
            <v xml:space="preserve">(%) </v>
          </cell>
          <cell r="K45">
            <v>11.11792021927144</v>
          </cell>
          <cell r="L45">
            <v>10.888515103892686</v>
          </cell>
          <cell r="M45">
            <v>10.647682536390406</v>
          </cell>
          <cell r="N45">
            <v>12.751611905644822</v>
          </cell>
          <cell r="O45">
            <v>14.31728936561602</v>
          </cell>
          <cell r="P45">
            <v>16.975354932407228</v>
          </cell>
        </row>
        <row r="46">
          <cell r="A46" t="str">
            <v>PL</v>
          </cell>
          <cell r="B46" t="str">
            <v>-</v>
          </cell>
          <cell r="C46" t="str">
            <v>&gt;0%</v>
          </cell>
        </row>
        <row r="47">
          <cell r="H47" t="str">
            <v>T : Total sugar conc. (g/dl)        K : Cell conc. (g/dl)                        G : F-GH (g/dl)</v>
          </cell>
        </row>
        <row r="48">
          <cell r="H48" t="str">
            <v>TS : Total sugar (g/B)                  KS : Total cell amount (g/B)        GS : F-GH (g/B)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Equipment List"/>
      <sheetName val="BOQ"/>
      <sheetName val="form901, page 1"/>
      <sheetName val="form901, page 2-4"/>
      <sheetName val="PET"/>
      <sheetName val="ขนมปัง"/>
      <sheetName val="บะหมี่ 1"/>
      <sheetName val="บิสกริต (2)"/>
      <sheetName val="ปาโก๋ (2)"/>
      <sheetName val="อเนกประสงค์ (2)"/>
      <sheetName val="สรุป (2)"/>
      <sheetName val="ปาโก๋"/>
      <sheetName val="อเนกประสงค์"/>
      <sheetName val="บะหมี่"/>
      <sheetName val="บิสกริต"/>
      <sheetName val="สรุป"/>
      <sheetName val="สรุปอุ๋ม"/>
      <sheetName val="สรุปออย"/>
      <sheetName val="สรุปรวม"/>
      <sheetName val="สรุปรวม (2)"/>
      <sheetName val="Sheet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_p2"/>
      <sheetName val="LYS-025C"/>
      <sheetName val="สน"/>
      <sheetName val="เชฟ"/>
      <sheetName val="เนยนิ้ม"/>
      <sheetName val="ชัช"/>
      <sheetName val="ใบเสนอราคา"/>
    </sheetNames>
    <sheetDataSet>
      <sheetData sheetId="0" refreshError="1">
        <row r="7">
          <cell r="C7" t="str">
            <v>CEC-D-96027</v>
          </cell>
        </row>
        <row r="9">
          <cell r="C9" t="str">
            <v xml:space="preserve">ฅ_ จส ตุ ผํ คj ทH </v>
          </cell>
        </row>
      </sheetData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-5-06"/>
      <sheetName val="H-4"/>
      <sheetName val="GH-10-05"/>
    </sheetNames>
    <sheetDataSet>
      <sheetData sheetId="0" refreshError="1">
        <row r="6">
          <cell r="B6">
            <v>50301</v>
          </cell>
          <cell r="C6" t="str">
            <v>J</v>
          </cell>
          <cell r="D6">
            <v>108</v>
          </cell>
          <cell r="E6">
            <v>56</v>
          </cell>
          <cell r="F6">
            <v>5.84</v>
          </cell>
          <cell r="G6">
            <v>61.84</v>
          </cell>
          <cell r="H6">
            <v>7</v>
          </cell>
          <cell r="I6">
            <v>16.940000000000001</v>
          </cell>
          <cell r="J6">
            <v>7</v>
          </cell>
          <cell r="K6">
            <v>17.53</v>
          </cell>
          <cell r="L6">
            <v>4</v>
          </cell>
          <cell r="M6">
            <v>17.84</v>
          </cell>
          <cell r="P6">
            <v>230</v>
          </cell>
          <cell r="Q6">
            <v>17.899999999999999</v>
          </cell>
          <cell r="S6">
            <v>44.296499999999995</v>
          </cell>
          <cell r="T6" t="e">
            <v>#DIV/0!</v>
          </cell>
          <cell r="U6">
            <v>71.630821474773597</v>
          </cell>
          <cell r="V6">
            <v>40</v>
          </cell>
        </row>
        <row r="7">
          <cell r="B7">
            <v>50302</v>
          </cell>
          <cell r="C7" t="str">
            <v>C</v>
          </cell>
          <cell r="D7">
            <v>75.5</v>
          </cell>
          <cell r="E7">
            <v>38.89</v>
          </cell>
          <cell r="F7">
            <v>4.32</v>
          </cell>
          <cell r="G7">
            <v>43.21</v>
          </cell>
          <cell r="H7">
            <v>5</v>
          </cell>
          <cell r="I7">
            <v>16.2</v>
          </cell>
          <cell r="P7">
            <v>175</v>
          </cell>
          <cell r="Q7">
            <v>16.899999999999999</v>
          </cell>
          <cell r="S7">
            <v>30.384999999999994</v>
          </cell>
          <cell r="T7" t="e">
            <v>#DIV/0!</v>
          </cell>
          <cell r="U7">
            <v>70.31937051608422</v>
          </cell>
          <cell r="V7">
            <v>41</v>
          </cell>
        </row>
        <row r="8">
          <cell r="B8">
            <v>50303</v>
          </cell>
          <cell r="C8" t="str">
            <v>E</v>
          </cell>
          <cell r="D8">
            <v>98.5</v>
          </cell>
          <cell r="E8">
            <v>51.06</v>
          </cell>
          <cell r="F8">
            <v>5.8</v>
          </cell>
          <cell r="G8">
            <v>56.86</v>
          </cell>
          <cell r="H8">
            <v>7</v>
          </cell>
          <cell r="I8">
            <v>16.170000000000002</v>
          </cell>
          <cell r="P8">
            <v>223</v>
          </cell>
          <cell r="Q8">
            <v>17.04</v>
          </cell>
          <cell r="S8">
            <v>39.131099999999996</v>
          </cell>
          <cell r="T8" t="e">
            <v>#DIV/0!</v>
          </cell>
          <cell r="U8">
            <v>68.820084417868443</v>
          </cell>
          <cell r="V8">
            <v>39.5</v>
          </cell>
        </row>
        <row r="9">
          <cell r="B9">
            <v>50304</v>
          </cell>
          <cell r="C9" t="str">
            <v>F</v>
          </cell>
          <cell r="D9">
            <v>100</v>
          </cell>
          <cell r="E9">
            <v>52.15</v>
          </cell>
          <cell r="F9">
            <v>5.72</v>
          </cell>
          <cell r="G9">
            <v>57.87</v>
          </cell>
          <cell r="H9">
            <v>7</v>
          </cell>
          <cell r="I9">
            <v>17.079999999999998</v>
          </cell>
          <cell r="P9">
            <v>221</v>
          </cell>
          <cell r="Q9">
            <v>17.61</v>
          </cell>
          <cell r="S9">
            <v>40.113700000000001</v>
          </cell>
          <cell r="T9" t="e">
            <v>#DIV/0!</v>
          </cell>
          <cell r="U9">
            <v>69.31691722827027</v>
          </cell>
          <cell r="V9">
            <v>39.5</v>
          </cell>
        </row>
        <row r="10">
          <cell r="B10">
            <v>50305</v>
          </cell>
          <cell r="C10" t="str">
            <v>D</v>
          </cell>
          <cell r="D10">
            <v>78.5</v>
          </cell>
          <cell r="E10">
            <v>40.950000000000003</v>
          </cell>
          <cell r="F10">
            <v>4.34</v>
          </cell>
          <cell r="G10">
            <v>45.290000000000006</v>
          </cell>
          <cell r="H10">
            <v>5</v>
          </cell>
          <cell r="I10">
            <v>16.88</v>
          </cell>
          <cell r="P10">
            <v>174</v>
          </cell>
          <cell r="Q10">
            <v>17.899999999999999</v>
          </cell>
          <cell r="S10">
            <v>31.99</v>
          </cell>
          <cell r="T10" t="e">
            <v>#DIV/0!</v>
          </cell>
          <cell r="U10">
            <v>70.633693972179273</v>
          </cell>
          <cell r="V10">
            <v>39.5</v>
          </cell>
        </row>
        <row r="11">
          <cell r="B11">
            <v>50306</v>
          </cell>
          <cell r="C11" t="str">
            <v>G</v>
          </cell>
          <cell r="D11">
            <v>98</v>
          </cell>
          <cell r="E11">
            <v>51.64</v>
          </cell>
          <cell r="F11">
            <v>5.76</v>
          </cell>
          <cell r="G11">
            <v>57.4</v>
          </cell>
          <cell r="H11">
            <v>7</v>
          </cell>
          <cell r="I11">
            <v>17.25</v>
          </cell>
          <cell r="P11">
            <v>218</v>
          </cell>
          <cell r="Q11">
            <v>17.739999999999998</v>
          </cell>
          <cell r="S11">
            <v>39.880699999999997</v>
          </cell>
          <cell r="T11" t="e">
            <v>#DIV/0!</v>
          </cell>
          <cell r="U11">
            <v>69.478571428571428</v>
          </cell>
          <cell r="V11">
            <v>39.5</v>
          </cell>
        </row>
        <row r="12">
          <cell r="B12">
            <v>50307</v>
          </cell>
          <cell r="C12" t="str">
            <v>A</v>
          </cell>
          <cell r="D12">
            <v>76.5</v>
          </cell>
          <cell r="E12">
            <v>40.08</v>
          </cell>
          <cell r="F12">
            <v>4.24</v>
          </cell>
          <cell r="G12">
            <v>44.32</v>
          </cell>
          <cell r="H12">
            <v>5</v>
          </cell>
          <cell r="I12">
            <v>16.72</v>
          </cell>
          <cell r="P12">
            <v>172</v>
          </cell>
          <cell r="Q12">
            <v>17.59</v>
          </cell>
          <cell r="S12">
            <v>31.090799999999998</v>
          </cell>
          <cell r="T12" t="e">
            <v>#DIV/0!</v>
          </cell>
          <cell r="U12">
            <v>70.150722021660656</v>
          </cell>
          <cell r="V12">
            <v>40.5</v>
          </cell>
        </row>
        <row r="13">
          <cell r="B13">
            <v>50308</v>
          </cell>
          <cell r="C13" t="str">
            <v>I</v>
          </cell>
          <cell r="D13">
            <v>98</v>
          </cell>
          <cell r="E13">
            <v>51.75</v>
          </cell>
          <cell r="F13">
            <v>5.87</v>
          </cell>
          <cell r="G13">
            <v>57.62</v>
          </cell>
          <cell r="H13">
            <v>7</v>
          </cell>
          <cell r="I13">
            <v>16.82</v>
          </cell>
          <cell r="P13">
            <v>220</v>
          </cell>
          <cell r="Q13">
            <v>17.61</v>
          </cell>
          <cell r="S13">
            <v>39.919399999999996</v>
          </cell>
          <cell r="T13" t="e">
            <v>#DIV/0!</v>
          </cell>
          <cell r="U13">
            <v>69.280458174245055</v>
          </cell>
          <cell r="V13">
            <v>39</v>
          </cell>
        </row>
        <row r="14">
          <cell r="B14">
            <v>50309</v>
          </cell>
          <cell r="C14" t="str">
            <v>H</v>
          </cell>
          <cell r="D14">
            <v>102</v>
          </cell>
          <cell r="E14">
            <v>53.91</v>
          </cell>
          <cell r="F14">
            <v>5.68</v>
          </cell>
          <cell r="G14">
            <v>59.589999999999996</v>
          </cell>
          <cell r="H14">
            <v>7</v>
          </cell>
          <cell r="I14">
            <v>16.940000000000001</v>
          </cell>
          <cell r="J14">
            <v>7</v>
          </cell>
          <cell r="K14">
            <v>17.489999999999998</v>
          </cell>
          <cell r="P14">
            <v>219</v>
          </cell>
          <cell r="Q14">
            <v>17.899999999999999</v>
          </cell>
          <cell r="S14">
            <v>41.611099999999993</v>
          </cell>
          <cell r="T14" t="e">
            <v>#DIV/0!</v>
          </cell>
          <cell r="U14">
            <v>69.828998154052684</v>
          </cell>
          <cell r="V14">
            <v>39.5</v>
          </cell>
        </row>
        <row r="15">
          <cell r="B15">
            <v>50310</v>
          </cell>
          <cell r="C15" t="str">
            <v>B</v>
          </cell>
          <cell r="D15">
            <v>80</v>
          </cell>
          <cell r="E15">
            <v>41.82</v>
          </cell>
          <cell r="F15">
            <v>4.28</v>
          </cell>
          <cell r="G15">
            <v>46.1</v>
          </cell>
          <cell r="H15">
            <v>5</v>
          </cell>
          <cell r="I15">
            <v>16.64</v>
          </cell>
          <cell r="P15">
            <v>179</v>
          </cell>
          <cell r="Q15">
            <v>17.510000000000002</v>
          </cell>
          <cell r="S15">
            <v>32.174900000000001</v>
          </cell>
          <cell r="T15" t="e">
            <v>#DIV/0!</v>
          </cell>
          <cell r="U15">
            <v>69.793709327548797</v>
          </cell>
          <cell r="V15">
            <v>40.5</v>
          </cell>
        </row>
        <row r="16">
          <cell r="B16">
            <v>50311</v>
          </cell>
          <cell r="C16" t="str">
            <v>J</v>
          </cell>
          <cell r="D16" t="str">
            <v>Cut</v>
          </cell>
          <cell r="G16">
            <v>0</v>
          </cell>
          <cell r="S16">
            <v>0</v>
          </cell>
          <cell r="T16" t="e">
            <v>#DIV/0!</v>
          </cell>
          <cell r="U16" t="e">
            <v>#DIV/0!</v>
          </cell>
        </row>
      </sheetData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-5-06"/>
      <sheetName val="H-4"/>
    </sheetNames>
    <sheetDataSet>
      <sheetData sheetId="0" refreshError="1">
        <row r="6">
          <cell r="B6">
            <v>50301</v>
          </cell>
          <cell r="U6">
            <v>71.630821474773597</v>
          </cell>
        </row>
        <row r="7">
          <cell r="U7">
            <v>70.31937051608422</v>
          </cell>
        </row>
        <row r="8">
          <cell r="U8">
            <v>68.820084417868443</v>
          </cell>
        </row>
        <row r="9">
          <cell r="U9">
            <v>69.31691722827027</v>
          </cell>
        </row>
        <row r="10">
          <cell r="U10">
            <v>70.633693972179273</v>
          </cell>
        </row>
        <row r="11">
          <cell r="U11">
            <v>69.478571428571428</v>
          </cell>
        </row>
        <row r="12">
          <cell r="U12">
            <v>70.150722021660656</v>
          </cell>
        </row>
        <row r="13">
          <cell r="U13">
            <v>69.280458174245055</v>
          </cell>
        </row>
        <row r="14">
          <cell r="U14">
            <v>69.828998154052684</v>
          </cell>
        </row>
        <row r="15">
          <cell r="U15">
            <v>69.793709327548797</v>
          </cell>
        </row>
        <row r="16">
          <cell r="U16" t="e">
            <v>#DIV/0!</v>
          </cell>
        </row>
      </sheetData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LYSINE"/>
      <sheetName val="L-2 PIT"/>
      <sheetName val="NS ' XAL"/>
      <sheetName val="LYSINR PRODUCT"/>
      <sheetName val="EL"/>
      <sheetName val="TANA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Output Summary"/>
      <sheetName val="EXCEL5000"/>
      <sheetName val="BAS-COST"/>
      <sheetName val="ยูไนเต็ดหมื่นลี้ 14"/>
      <sheetName val="เอเชียฟู้ด14"/>
      <sheetName val="ถุงเงิน14"/>
      <sheetName val="ขนมไทยพัฒนา14"/>
      <sheetName val="แกรนนารี14"/>
      <sheetName val="ชูชาติปลาโก๋14"/>
      <sheetName val="กอบชัย15"/>
      <sheetName val="สมศักดิ์15 "/>
      <sheetName val="อัลติเมท15"/>
      <sheetName val="แมซโซ่ 15"/>
      <sheetName val="ไทยเพรช16"/>
      <sheetName val="บะหมี่เทียนชัย16"/>
      <sheetName val="บะหมี่เทียนศักดิ์16 "/>
      <sheetName val="รุ่งเจริญ ขนมปัง16"/>
      <sheetName val="บะหมี่วิรัตน์ 16"/>
      <sheetName val="ชวนชม16"/>
      <sheetName val="บี.เอ.เอ็ม17"/>
      <sheetName val="มารุต17"/>
      <sheetName val="บันุภัณเพื่อคุณ17"/>
      <sheetName val="ณพนารา17"/>
      <sheetName val="จิตรโภชนา17"/>
      <sheetName val="ปูเป้19"/>
      <sheetName val="โก๋ต่อ21"/>
      <sheetName val="ปูเป้แชมป์21"/>
      <sheetName val="ปูเป้อุปกรณ์19 "/>
      <sheetName val="แอนปาโก๋19"/>
      <sheetName val="วรรณาปาโก๋19"/>
      <sheetName val="บุญเสริม19"/>
      <sheetName val="ประทวน21"/>
      <sheetName val="เอแอนทีซาลาเปา21"/>
      <sheetName val="พรพิมล21"/>
      <sheetName val="น้อยปลาโก๋22"/>
      <sheetName val="ปั้นขลิบ22"/>
      <sheetName val="BIGบอลลูน22"/>
      <sheetName val="รินเบเกอรี่22"/>
      <sheetName val="เคซีซี22"/>
      <sheetName val="สมบัติ23"/>
      <sheetName val="Curry Puff23"/>
      <sheetName val="ยูนิค23"/>
      <sheetName val="โพธิ์แก้ว23"/>
      <sheetName val="โชคดี23"/>
      <sheetName val="พงปาโก๋24"/>
      <sheetName val="เพ็ญ24"/>
      <sheetName val="ปังมารวย24"/>
      <sheetName val="ชิมปังซี 24"/>
      <sheetName val="อุ๊ปั้นขลิบ"/>
      <sheetName val="ดาว26"/>
      <sheetName val="ดาว26 (2)"/>
      <sheetName val="สิน26 "/>
      <sheetName val="เกรียงศักดิ์26"/>
      <sheetName val="พิสิทธิ์25"/>
      <sheetName val="สัญญา"/>
      <sheetName val="หล้า"/>
      <sheetName val="จินตนา"/>
      <sheetName val="ละ"/>
      <sheetName val="หนุ่ม"/>
      <sheetName val="แต๋ว"/>
      <sheetName val="แอ๋ว"/>
      <sheetName val="นัท"/>
      <sheetName val="นพปภัณฑ์"/>
      <sheetName val="หนุ่มโรตี"/>
      <sheetName val="สงวน"/>
      <sheetName val="รายงานออกทริป กทม"/>
      <sheetName val="รายงานออกทริป กทม (2)"/>
      <sheetName val="รายงานออกทริป ตจว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VATORS - SAT-A"/>
      <sheetName val="ESCALATORS - SAT-A"/>
      <sheetName val="TRAVELLATORS - SAT-A"/>
      <sheetName val="TRACK TRANSIT SYSTEM"/>
    </sheetNames>
    <sheetDataSet>
      <sheetData sheetId="0"/>
      <sheetData sheetId="1"/>
      <sheetData sheetId="2"/>
      <sheetData sheetId="3" refreshError="1">
        <row r="2">
          <cell r="H2" t="str">
            <v>----------POINT  ATTRIBUTES----------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ERG. GENERATORS SAT-A"/>
      <sheetName val="EM. GENERATOR FUEL SYSTEM SAT-A"/>
      <sheetName val="UPS SYSTEMS SAT-A"/>
      <sheetName val="II KV SWITCHGEAR SAT-A"/>
      <sheetName val="ยูไนเต็ดหมื่นลี้ 14"/>
      <sheetName val="เอเชียฟู้ด14"/>
      <sheetName val="ถุงเงิน14"/>
      <sheetName val="ขนมไทยพัฒนา14"/>
      <sheetName val="แกรนนารี14"/>
      <sheetName val="ชูชาติปลาโก๋14"/>
      <sheetName val="กอบชัย15"/>
      <sheetName val="สมศักดิ์15 "/>
      <sheetName val="อัลติเมท15"/>
      <sheetName val="แมซโซ่ 15"/>
      <sheetName val="ไทยเพรช16"/>
      <sheetName val="บะหมี่เทียนชัย16"/>
      <sheetName val="บะหมี่เทียนศักดิ์16 "/>
      <sheetName val="รุ่งเจริญ ขนมปัง16"/>
      <sheetName val="บะหมี่วิรัตน์ 16"/>
      <sheetName val="ชวนชม16"/>
      <sheetName val="บี.เอ.เอ็ม17"/>
      <sheetName val="มารุต17"/>
      <sheetName val="บันุภัณเพื่อคุณ17"/>
      <sheetName val="ณพนารา17"/>
      <sheetName val="จิตรโภชนา17"/>
      <sheetName val="ปูเป้19"/>
      <sheetName val="โก๋ต่อ21"/>
      <sheetName val="ปูเป้แชมป์21"/>
      <sheetName val="ปูเป้อุปกรณ์19 "/>
      <sheetName val="แอนปาโก๋19"/>
      <sheetName val="วรรณาปาโก๋19"/>
      <sheetName val="บุญเสริม19"/>
      <sheetName val="ประทวน21"/>
      <sheetName val="เอแอนทีซาลาเปา21"/>
      <sheetName val="พรพิมล21"/>
      <sheetName val="น้อยปลาโก๋22"/>
      <sheetName val="ปั้นขลิบ22"/>
      <sheetName val="BIGบอลลูน22"/>
      <sheetName val="รินเบเกอรี่22"/>
      <sheetName val="เคซีซี22"/>
      <sheetName val="สมบัติ23"/>
      <sheetName val="Curry Puff23"/>
      <sheetName val="ยูนิค23"/>
      <sheetName val="โพธิ์แก้ว23"/>
      <sheetName val="โชคดี23"/>
      <sheetName val="พงปาโก๋24"/>
      <sheetName val="เพ็ญ24"/>
      <sheetName val="ปังมารวย24"/>
      <sheetName val="ชิมปังซี 24"/>
      <sheetName val="อุ๊ปั้นขลิบ"/>
      <sheetName val="ดาว26"/>
      <sheetName val="ดาว26 (2)"/>
      <sheetName val="สิน26 "/>
      <sheetName val="เกรียงศักดิ์26"/>
      <sheetName val="พิสิทธิ์25"/>
      <sheetName val="สัญญา"/>
      <sheetName val="หล้า"/>
      <sheetName val="จินตนา"/>
      <sheetName val="ละ"/>
      <sheetName val="หนุ่ม"/>
      <sheetName val="แต๋ว"/>
      <sheetName val="แอ๋ว"/>
      <sheetName val="นัท"/>
      <sheetName val="นพปภัณฑ์"/>
      <sheetName val="หนุ่มโรตี"/>
      <sheetName val="สงวน"/>
      <sheetName val="รายงานออกทริป กทม"/>
      <sheetName val="รายงานออกทริป กทม (2)"/>
      <sheetName val="รายงานออกทริป ตจว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"/>
      <sheetName val="pocket"/>
      <sheetName val="cal"/>
      <sheetName val="data"/>
      <sheetName val="Sheet1"/>
      <sheetName val="plan"/>
      <sheetName val="Legend"/>
      <sheetName val="Timesheet Template - Log type"/>
    </sheetNames>
    <sheetDataSet>
      <sheetData sheetId="0"/>
      <sheetData sheetId="1"/>
      <sheetData sheetId="2"/>
      <sheetData sheetId="3">
        <row r="2">
          <cell r="A2" t="str">
            <v>t</v>
          </cell>
          <cell r="B2" t="str">
            <v>p</v>
          </cell>
          <cell r="C2" t="str">
            <v>hf</v>
          </cell>
          <cell r="D2" t="str">
            <v>hg</v>
          </cell>
          <cell r="E2" t="str">
            <v>water den</v>
          </cell>
          <cell r="F2" t="str">
            <v>steam den</v>
          </cell>
        </row>
        <row r="3">
          <cell r="A3">
            <v>25</v>
          </cell>
          <cell r="B3">
            <v>3.1697468549523641E-2</v>
          </cell>
          <cell r="C3">
            <v>104.83838586252887</v>
          </cell>
          <cell r="D3">
            <v>2546.5440588013685</v>
          </cell>
          <cell r="E3">
            <v>997.00383460948751</v>
          </cell>
          <cell r="F3">
            <v>2.3072631665505414E-2</v>
          </cell>
          <cell r="H3">
            <v>0</v>
          </cell>
          <cell r="I3">
            <v>0</v>
          </cell>
          <cell r="J3" t="e">
            <v>#NUM!</v>
          </cell>
          <cell r="K3" t="e">
            <v>#NUM!</v>
          </cell>
          <cell r="L3" t="e">
            <v>#NUM!</v>
          </cell>
          <cell r="M3" t="e">
            <v>#NUM!</v>
          </cell>
        </row>
        <row r="4">
          <cell r="A4">
            <v>26</v>
          </cell>
          <cell r="B4">
            <v>3.3636874849924066E-2</v>
          </cell>
          <cell r="C4">
            <v>109.02051558591926</v>
          </cell>
          <cell r="D4">
            <v>2548.3549074599209</v>
          </cell>
          <cell r="E4">
            <v>996.74316935223283</v>
          </cell>
          <cell r="F4">
            <v>2.4404035142907201E-2</v>
          </cell>
          <cell r="H4">
            <v>0.1</v>
          </cell>
          <cell r="I4">
            <v>45.807548207023331</v>
          </cell>
          <cell r="J4">
            <v>191.81229519335906</v>
          </cell>
          <cell r="K4">
            <v>2583.8869371733645</v>
          </cell>
          <cell r="L4">
            <v>989.84363739619209</v>
          </cell>
          <cell r="M4">
            <v>6.8163730818547222E-2</v>
          </cell>
        </row>
        <row r="5">
          <cell r="A5">
            <v>27</v>
          </cell>
          <cell r="B5">
            <v>3.5678920202725652E-2</v>
          </cell>
          <cell r="C5">
            <v>113.20222110527516</v>
          </cell>
          <cell r="D5">
            <v>2550.1643294631881</v>
          </cell>
          <cell r="E5">
            <v>996.47317597250492</v>
          </cell>
          <cell r="F5">
            <v>2.5801019675049726E-2</v>
          </cell>
          <cell r="H5">
            <v>0.2</v>
          </cell>
          <cell r="I5">
            <v>60.058642660058069</v>
          </cell>
          <cell r="J5">
            <v>251.39973840725077</v>
          </cell>
          <cell r="K5">
            <v>2608.9474559661144</v>
          </cell>
          <cell r="L5">
            <v>983.14497812465629</v>
          </cell>
          <cell r="M5">
            <v>0.13075054935432279</v>
          </cell>
        </row>
        <row r="6">
          <cell r="A6">
            <v>28</v>
          </cell>
          <cell r="B6">
            <v>3.7828126309269385E-2</v>
          </cell>
          <cell r="C6">
            <v>117.38354024559503</v>
          </cell>
          <cell r="D6">
            <v>2551.9722942809722</v>
          </cell>
          <cell r="E6">
            <v>996.19402337527993</v>
          </cell>
          <cell r="F6">
            <v>2.7266215710395683E-2</v>
          </cell>
          <cell r="H6">
            <v>0.3</v>
          </cell>
          <cell r="I6">
            <v>69.095431919954081</v>
          </cell>
          <cell r="J6">
            <v>289.22865464285189</v>
          </cell>
          <cell r="K6">
            <v>2624.5511410717068</v>
          </cell>
          <cell r="L6">
            <v>978.26229902627881</v>
          </cell>
          <cell r="M6">
            <v>0.19125723382260165</v>
          </cell>
        </row>
        <row r="7">
          <cell r="A7">
            <v>29</v>
          </cell>
          <cell r="B7">
            <v>4.0089169347434887E-2</v>
          </cell>
          <cell r="C7">
            <v>121.56450904342149</v>
          </cell>
          <cell r="D7">
            <v>2553.7787709344425</v>
          </cell>
          <cell r="E7">
            <v>995.90587380656291</v>
          </cell>
          <cell r="F7">
            <v>2.8802331946102232E-2</v>
          </cell>
          <cell r="H7">
            <v>0.4</v>
          </cell>
          <cell r="I7">
            <v>75.856821514520959</v>
          </cell>
          <cell r="J7">
            <v>317.56648297014488</v>
          </cell>
          <cell r="K7">
            <v>2636.0508341542518</v>
          </cell>
          <cell r="L7">
            <v>974.31530880121693</v>
          </cell>
          <cell r="M7">
            <v>0.250431362338354</v>
          </cell>
        </row>
        <row r="8">
          <cell r="A8">
            <v>30</v>
          </cell>
          <cell r="B8">
            <v>4.2466883405480618E-2</v>
          </cell>
          <cell r="C8">
            <v>125.7451619378581</v>
          </cell>
          <cell r="D8">
            <v>2555.58372797112</v>
          </cell>
          <cell r="E8">
            <v>995.60888321879133</v>
          </cell>
          <cell r="F8">
            <v>3.0412156642697408E-2</v>
          </cell>
          <cell r="H8">
            <v>0.5</v>
          </cell>
          <cell r="I8">
            <v>81.316735996641398</v>
          </cell>
          <cell r="J8">
            <v>340.47602887747303</v>
          </cell>
          <cell r="K8">
            <v>2645.2132384178531</v>
          </cell>
          <cell r="L8">
            <v>970.95443713139355</v>
          </cell>
          <cell r="M8">
            <v>0.30862776496376226</v>
          </cell>
        </row>
        <row r="9">
          <cell r="A9">
            <v>31</v>
          </cell>
          <cell r="B9">
            <v>4.4966263930941712E-2</v>
          </cell>
          <cell r="C9">
            <v>129.92553194228981</v>
          </cell>
          <cell r="D9">
            <v>2557.3871334409255</v>
          </cell>
          <cell r="E9">
            <v>995.30320161131931</v>
          </cell>
          <cell r="F9">
            <v>3.2098558931949302E-2</v>
          </cell>
          <cell r="H9">
            <v>0.6</v>
          </cell>
          <cell r="I9">
            <v>85.925777490509574</v>
          </cell>
          <cell r="J9">
            <v>359.83652124861749</v>
          </cell>
          <cell r="K9">
            <v>2652.8531966194687</v>
          </cell>
          <cell r="L9">
            <v>968.00112112532668</v>
          </cell>
          <cell r="M9">
            <v>0.36605512237214088</v>
          </cell>
        </row>
        <row r="10">
          <cell r="A10">
            <v>32</v>
          </cell>
          <cell r="B10">
            <v>4.7592471192971712E-2</v>
          </cell>
          <cell r="C10">
            <v>134.1056507986263</v>
          </cell>
          <cell r="D10">
            <v>2559.1889548733561</v>
          </cell>
          <cell r="E10">
            <v>994.98897334786295</v>
          </cell>
          <cell r="F10">
            <v>3.3864490117310651E-2</v>
          </cell>
          <cell r="H10">
            <v>0.7</v>
          </cell>
          <cell r="I10">
            <v>89.931510066446833</v>
          </cell>
          <cell r="J10">
            <v>376.68029924670037</v>
          </cell>
          <cell r="K10">
            <v>2659.4171998100064</v>
          </cell>
          <cell r="L10">
            <v>965.35042477544732</v>
          </cell>
          <cell r="M10">
            <v>0.42285106449912319</v>
          </cell>
        </row>
        <row r="11">
          <cell r="A11">
            <v>33</v>
          </cell>
          <cell r="B11">
            <v>5.0350833756500769E-2</v>
          </cell>
          <cell r="C11">
            <v>138.28554911576435</v>
          </cell>
          <cell r="D11">
            <v>2560.9891592558465</v>
          </cell>
          <cell r="E11">
            <v>994.66633745263437</v>
          </cell>
          <cell r="F11">
            <v>3.5712984966339095E-2</v>
          </cell>
          <cell r="H11">
            <v>0.8</v>
          </cell>
          <cell r="I11">
            <v>93.485354128705751</v>
          </cell>
          <cell r="J11">
            <v>391.63875780571641</v>
          </cell>
          <cell r="K11">
            <v>2665.1776978971388</v>
          </cell>
          <cell r="L11">
            <v>962.93484005307369</v>
          </cell>
          <cell r="M11">
            <v>0.47911320403511642</v>
          </cell>
        </row>
        <row r="12">
          <cell r="A12">
            <v>34</v>
          </cell>
          <cell r="B12">
            <v>5.3246851966572417E-2</v>
          </cell>
          <cell r="C12">
            <v>142.46525649376338</v>
          </cell>
          <cell r="D12">
            <v>2562.7877130133584</v>
          </cell>
          <cell r="E12">
            <v>994.335427886753</v>
          </cell>
          <cell r="F12">
            <v>3.7647162994512783E-2</v>
          </cell>
          <cell r="H12">
            <v>0.9</v>
          </cell>
          <cell r="I12">
            <v>96.687039282739477</v>
          </cell>
          <cell r="J12">
            <v>405.12775294657911</v>
          </cell>
          <cell r="K12">
            <v>2670.3137521013837</v>
          </cell>
          <cell r="L12">
            <v>960.70808443522878</v>
          </cell>
          <cell r="M12">
            <v>0.53491436080545574</v>
          </cell>
        </row>
        <row r="13">
          <cell r="A13">
            <v>35</v>
          </cell>
          <cell r="B13">
            <v>5.6286201441213747E-2</v>
          </cell>
          <cell r="C13">
            <v>146.6448016351282</v>
          </cell>
          <cell r="D13">
            <v>2564.5845819892379</v>
          </cell>
          <cell r="E13">
            <v>993.99637380640263</v>
          </cell>
          <cell r="F13">
            <v>3.9670229739882323E-2</v>
          </cell>
          <cell r="H13">
            <v>1</v>
          </cell>
          <cell r="I13">
            <v>99.60591861133787</v>
          </cell>
          <cell r="J13">
            <v>417.43648581605549</v>
          </cell>
          <cell r="K13">
            <v>2674.9496408320601</v>
          </cell>
          <cell r="L13">
            <v>958.63688967603218</v>
          </cell>
          <cell r="M13">
            <v>0.5903109235445777</v>
          </cell>
        </row>
        <row r="14">
          <cell r="A14">
            <v>36</v>
          </cell>
          <cell r="B14">
            <v>5.9474736571187459E-2</v>
          </cell>
          <cell r="C14">
            <v>150.82421244444299</v>
          </cell>
          <cell r="D14">
            <v>2566.3797314273593</v>
          </cell>
          <cell r="E14">
            <v>993.64929980408147</v>
          </cell>
          <cell r="F14">
            <v>4.1785478028021364E-2</v>
          </cell>
          <cell r="H14">
            <v>1.1000000000000001</v>
          </cell>
          <cell r="I14">
            <v>102.29227394669795</v>
          </cell>
          <cell r="J14">
            <v>428.77464247805273</v>
          </cell>
          <cell r="K14">
            <v>2679.1753048653231</v>
          </cell>
          <cell r="L14">
            <v>956.6964499063364</v>
          </cell>
          <cell r="M14">
            <v>0.64534782915850153</v>
          </cell>
        </row>
        <row r="15">
          <cell r="A15">
            <v>37</v>
          </cell>
          <cell r="B15">
            <v>6.2818494024968516E-2</v>
          </cell>
          <cell r="C15">
            <v>155.00351611749446</v>
          </cell>
          <cell r="D15">
            <v>2568.1731259555736</v>
          </cell>
          <cell r="E15">
            <v>993.29432613418408</v>
          </cell>
          <cell r="F15">
            <v>4.3996289226759334E-2</v>
          </cell>
          <cell r="H15">
            <v>1.2</v>
          </cell>
          <cell r="I15">
            <v>104.78378433819131</v>
          </cell>
          <cell r="J15">
            <v>439.29936368038972</v>
          </cell>
          <cell r="K15">
            <v>2683.0580285039987</v>
          </cell>
          <cell r="L15">
            <v>954.86772031760177</v>
          </cell>
          <cell r="M15">
            <v>0.70006171440138643</v>
          </cell>
        </row>
        <row r="16">
          <cell r="A16">
            <v>38</v>
          </cell>
          <cell r="B16">
            <v>6.6323696257288081E-2</v>
          </cell>
          <cell r="C16">
            <v>159.18273922091529</v>
          </cell>
          <cell r="D16">
            <v>2569.9647295704622</v>
          </cell>
          <cell r="E16">
            <v>992.93156892406751</v>
          </cell>
          <cell r="F16">
            <v>4.6306134490204716E-2</v>
          </cell>
          <cell r="H16">
            <v>1.3</v>
          </cell>
          <cell r="I16">
            <v>107.10945273262683</v>
          </cell>
          <cell r="J16">
            <v>449.13161610544438</v>
          </cell>
          <cell r="K16">
            <v>2686.6495210517764</v>
          </cell>
          <cell r="L16">
            <v>953.13572565580307</v>
          </cell>
          <cell r="M16">
            <v>0.75448300856930595</v>
          </cell>
        </row>
        <row r="17">
          <cell r="A17">
            <v>39</v>
          </cell>
          <cell r="B17">
            <v>6.9996755019582968E-2</v>
          </cell>
          <cell r="C17">
            <v>163.36190776328155</v>
          </cell>
          <cell r="D17">
            <v>2571.7545056233935</v>
          </cell>
          <cell r="E17">
            <v>992.56114037164991</v>
          </cell>
          <cell r="F17">
            <v>4.8718575991587805E-2</v>
          </cell>
          <cell r="H17">
            <v>1.4</v>
          </cell>
          <cell r="I17">
            <v>109.29210588198282</v>
          </cell>
          <cell r="J17">
            <v>458.36661481080074</v>
          </cell>
          <cell r="K17">
            <v>2689.9904194710666</v>
          </cell>
          <cell r="L17">
            <v>951.48845398830872</v>
          </cell>
          <cell r="M17">
            <v>0.80863737773230904</v>
          </cell>
        </row>
        <row r="18">
          <cell r="A18">
            <v>40</v>
          </cell>
          <cell r="B18">
            <v>7.3844274870695295E-2</v>
          </cell>
          <cell r="C18">
            <v>167.54104725852312</v>
          </cell>
          <cell r="D18">
            <v>2573.5424168078666</v>
          </cell>
          <cell r="E18">
            <v>992.18314893051911</v>
          </cell>
          <cell r="F18">
            <v>5.1237268144480624E-2</v>
          </cell>
          <cell r="H18">
            <v>1.5</v>
          </cell>
          <cell r="I18">
            <v>111.35004948446084</v>
          </cell>
          <cell r="J18">
            <v>467.08072366027909</v>
          </cell>
          <cell r="K18">
            <v>2693.1132659125615</v>
          </cell>
          <cell r="L18">
            <v>949.91610675632137</v>
          </cell>
          <cell r="M18">
            <v>0.86254675368522993</v>
          </cell>
        </row>
        <row r="19">
          <cell r="A19">
            <v>41</v>
          </cell>
          <cell r="B19">
            <v>7.787305668616859E-2</v>
          </cell>
          <cell r="C19">
            <v>171.72018278239793</v>
          </cell>
          <cell r="D19">
            <v>2575.3284251481164</v>
          </cell>
          <cell r="E19">
            <v>991.79769948344745</v>
          </cell>
          <cell r="F19">
            <v>5.3865958811974597E-2</v>
          </cell>
          <cell r="H19">
            <v>1.6</v>
          </cell>
          <cell r="I19">
            <v>113.29820059435355</v>
          </cell>
          <cell r="J19">
            <v>475.33617645246369</v>
          </cell>
          <cell r="K19">
            <v>2696.0445425406397</v>
          </cell>
          <cell r="L19">
            <v>948.41057474932802</v>
          </cell>
          <cell r="M19">
            <v>0.91623008688334906</v>
          </cell>
        </row>
        <row r="20">
          <cell r="A20">
            <v>42</v>
          </cell>
          <cell r="B20">
            <v>8.209010116448702E-2</v>
          </cell>
          <cell r="C20">
            <v>175.89933902275268</v>
          </cell>
          <cell r="D20">
            <v>2577.1124919889508</v>
          </cell>
          <cell r="E20">
            <v>991.4048935051394</v>
          </cell>
          <cell r="F20">
            <v>5.6608490503420095E-2</v>
          </cell>
          <cell r="H20">
            <v>1.7</v>
          </cell>
          <cell r="I20">
            <v>115.14888433478535</v>
          </cell>
          <cell r="J20">
            <v>483.1843985340202</v>
          </cell>
          <cell r="K20">
            <v>2698.8061015850403</v>
          </cell>
          <cell r="L20">
            <v>946.96506236375023</v>
          </cell>
          <cell r="M20">
            <v>0.96970391008843182</v>
          </cell>
        </row>
        <row r="21">
          <cell r="A21">
            <v>43</v>
          </cell>
          <cell r="B21">
            <v>8.6502612328623329E-2</v>
          </cell>
          <cell r="C21">
            <v>180.07854032418231</v>
          </cell>
          <cell r="D21">
            <v>2578.894577986784</v>
          </cell>
          <cell r="E21">
            <v>991.00482921497905</v>
          </cell>
          <cell r="F21">
            <v>5.9468801558365807E-2</v>
          </cell>
          <cell r="H21">
            <v>1.8</v>
          </cell>
          <cell r="I21">
            <v>116.91240807955955</v>
          </cell>
          <cell r="J21">
            <v>490.66840069562357</v>
          </cell>
          <cell r="K21">
            <v>2701.4161948922697</v>
          </cell>
          <cell r="L21">
            <v>945.57381210681569</v>
          </cell>
          <cell r="M21">
            <v>1.022982768676665</v>
          </cell>
        </row>
        <row r="22">
          <cell r="A22">
            <v>44</v>
          </cell>
          <cell r="B22">
            <v>9.1118001021253101E-2</v>
          </cell>
          <cell r="C22">
            <v>184.25781072768021</v>
          </cell>
          <cell r="D22">
            <v>2580.6746431018137</v>
          </cell>
          <cell r="E22">
            <v>990.59760172048175</v>
          </cell>
          <cell r="F22">
            <v>6.2450927317351648E-2</v>
          </cell>
          <cell r="H22">
            <v>1.9</v>
          </cell>
          <cell r="I22">
            <v>118.5974840209002</v>
          </cell>
          <cell r="J22">
            <v>497.82454099948689</v>
          </cell>
          <cell r="K22">
            <v>2703.8902308701504</v>
          </cell>
          <cell r="L22">
            <v>944.23189862795198</v>
          </cell>
          <cell r="M22">
            <v>1.0760795548186644</v>
          </cell>
        </row>
        <row r="23">
          <cell r="A23">
            <v>45</v>
          </cell>
          <cell r="B23">
            <v>9.5943888392021892E-2</v>
          </cell>
          <cell r="C23">
            <v>188.43717400578075</v>
          </cell>
          <cell r="D23">
            <v>2582.4526465912945</v>
          </cell>
          <cell r="E23">
            <v>990.18330315210039</v>
          </cell>
          <cell r="F23">
            <v>6.5559001279248741E-2</v>
          </cell>
          <cell r="H23">
            <v>2</v>
          </cell>
          <cell r="I23">
            <v>120.21154593648902</v>
          </cell>
          <cell r="J23">
            <v>504.68384552909191</v>
          </cell>
          <cell r="K23">
            <v>2706.241341374171</v>
          </cell>
          <cell r="L23">
            <v>942.93507206637048</v>
          </cell>
          <cell r="M23">
            <v>1.1290057709387653</v>
          </cell>
        </row>
        <row r="24">
          <cell r="A24">
            <v>46</v>
          </cell>
          <cell r="B24">
            <v>0.10098810937524931</v>
          </cell>
          <cell r="C24">
            <v>192.61665369368737</v>
          </cell>
          <cell r="D24">
            <v>2584.2285470038528</v>
          </cell>
          <cell r="E24">
            <v>989.76202278999017</v>
          </cell>
          <cell r="F24">
            <v>6.8797256244857802E-2</v>
          </cell>
          <cell r="H24">
            <v>2.5</v>
          </cell>
          <cell r="I24">
            <v>127.41362925665561</v>
          </cell>
          <cell r="J24">
            <v>535.35013118015252</v>
          </cell>
          <cell r="K24">
            <v>2716.5002557399876</v>
          </cell>
          <cell r="L24">
            <v>937.0125246134711</v>
          </cell>
          <cell r="M24">
            <v>1.3914070502953901</v>
          </cell>
        </row>
        <row r="25">
          <cell r="A25">
            <v>47</v>
          </cell>
          <cell r="B25">
            <v>0.10625871615647563</v>
          </cell>
          <cell r="C25">
            <v>196.79627311678689</v>
          </cell>
          <cell r="D25">
            <v>2586.0023021747752</v>
          </cell>
          <cell r="E25">
            <v>989.33384718328784</v>
          </cell>
          <cell r="F25">
            <v>7.2170025446510896E-2</v>
          </cell>
          <cell r="H25">
            <v>3</v>
          </cell>
          <cell r="I25">
            <v>133.52535794654494</v>
          </cell>
          <cell r="J25">
            <v>561.45541025694058</v>
          </cell>
          <cell r="K25">
            <v>2724.8916665565603</v>
          </cell>
          <cell r="L25">
            <v>931.81322668048699</v>
          </cell>
          <cell r="M25">
            <v>1.6507493559501081</v>
          </cell>
        </row>
        <row r="26">
          <cell r="A26">
            <v>48</v>
          </cell>
          <cell r="B26">
            <v>0.11176398162627307</v>
          </cell>
          <cell r="C26">
            <v>200.97605541496625</v>
          </cell>
          <cell r="D26">
            <v>2587.7738692222097</v>
          </cell>
          <cell r="E26">
            <v>988.89886026241993</v>
          </cell>
          <cell r="F26">
            <v>7.5681743663450263E-2</v>
          </cell>
          <cell r="H26">
            <v>3.5</v>
          </cell>
          <cell r="I26">
            <v>138.86073915416807</v>
          </cell>
          <cell r="J26">
            <v>584.31133420836352</v>
          </cell>
          <cell r="K26">
            <v>2731.9652423791522</v>
          </cell>
          <cell r="L26">
            <v>927.1446139872146</v>
          </cell>
          <cell r="M26">
            <v>1.9076840100796373</v>
          </cell>
        </row>
        <row r="27">
          <cell r="A27">
            <v>49</v>
          </cell>
          <cell r="B27">
            <v>0.11751240281975399</v>
          </cell>
          <cell r="C27">
            <v>205.15602356404756</v>
          </cell>
          <cell r="D27">
            <v>2589.5432045442108</v>
          </cell>
          <cell r="E27">
            <v>988.45714344491353</v>
          </cell>
          <cell r="F27">
            <v>7.9336948322782555E-2</v>
          </cell>
          <cell r="H27">
            <v>4</v>
          </cell>
          <cell r="I27">
            <v>143.61253299838245</v>
          </cell>
          <cell r="J27">
            <v>604.72347415298282</v>
          </cell>
          <cell r="K27">
            <v>2738.0566229311898</v>
          </cell>
          <cell r="L27">
            <v>922.88473347179763</v>
          </cell>
          <cell r="M27">
            <v>2.1626681881935372</v>
          </cell>
        </row>
        <row r="28">
          <cell r="A28">
            <v>50</v>
          </cell>
          <cell r="B28">
            <v>0.12351270434023369</v>
          </cell>
          <cell r="C28">
            <v>209.33620039468835</v>
          </cell>
          <cell r="D28">
            <v>2591.3102638165524</v>
          </cell>
          <cell r="E28">
            <v>988.00877573515413</v>
          </cell>
          <cell r="F28">
            <v>8.3140280585840581E-2</v>
          </cell>
          <cell r="H28">
            <v>4.5</v>
          </cell>
          <cell r="I28">
            <v>147.90809697170192</v>
          </cell>
          <cell r="J28">
            <v>623.22431336115733</v>
          </cell>
          <cell r="K28">
            <v>2743.3864049836147</v>
          </cell>
          <cell r="L28">
            <v>918.95093686320843</v>
          </cell>
          <cell r="M28">
            <v>2.4160397338669992</v>
          </cell>
        </row>
        <row r="29">
          <cell r="A29">
            <v>51</v>
          </cell>
          <cell r="B29">
            <v>0.12977384176552537</v>
          </cell>
          <cell r="C29">
            <v>213.51660860900787</v>
          </cell>
          <cell r="D29">
            <v>2593.0750019912434</v>
          </cell>
          <cell r="E29">
            <v>987.55383381849401</v>
          </cell>
          <cell r="F29">
            <v>8.7096486419813254E-2</v>
          </cell>
          <cell r="H29">
            <v>5</v>
          </cell>
          <cell r="I29">
            <v>151.83624387684495</v>
          </cell>
          <cell r="J29">
            <v>640.18533536322502</v>
          </cell>
          <cell r="K29">
            <v>2748.1076146578775</v>
          </cell>
          <cell r="L29">
            <v>915.28434342997957</v>
          </cell>
          <cell r="M29">
            <v>2.6680580298566765</v>
          </cell>
        </row>
        <row r="30">
          <cell r="A30">
            <v>52</v>
          </cell>
          <cell r="B30">
            <v>0.13630500503536172</v>
          </cell>
          <cell r="C30">
            <v>217.69727079521405</v>
          </cell>
          <cell r="D30">
            <v>2594.8373732956661</v>
          </cell>
          <cell r="E30">
            <v>987.09239215008995</v>
          </cell>
          <cell r="F30">
            <v>9.1210417654531167E-2</v>
          </cell>
          <cell r="H30">
            <v>5.5</v>
          </cell>
          <cell r="I30">
            <v>155.4615253891314</v>
          </cell>
          <cell r="J30">
            <v>655.87665150658279</v>
          </cell>
          <cell r="K30">
            <v>2752.3308900774882</v>
          </cell>
          <cell r="L30">
            <v>911.84136095908832</v>
          </cell>
          <cell r="M30">
            <v>2.918928201189638</v>
          </cell>
        </row>
        <row r="31">
          <cell r="A31">
            <v>53</v>
          </cell>
          <cell r="B31">
            <v>0.14311562181846169</v>
          </cell>
          <cell r="C31">
            <v>221.87820944044967</v>
          </cell>
          <cell r="D31">
            <v>2596.5973312322658</v>
          </cell>
          <cell r="E31">
            <v>986.62452303881923</v>
          </cell>
          <cell r="F31">
            <v>9.5487033024326373E-2</v>
          </cell>
          <cell r="H31">
            <v>6</v>
          </cell>
          <cell r="I31">
            <v>158.83242395448519</v>
          </cell>
          <cell r="J31">
            <v>670.50120803139157</v>
          </cell>
          <cell r="K31">
            <v>2756.1388895362406</v>
          </cell>
          <cell r="L31">
            <v>908.58871539450365</v>
          </cell>
          <cell r="M31">
            <v>3.1688163475771693</v>
          </cell>
        </row>
        <row r="32">
          <cell r="A32">
            <v>54</v>
          </cell>
          <cell r="B32">
            <v>0.1502153608577938</v>
          </cell>
          <cell r="C32">
            <v>226.05944694208097</v>
          </cell>
          <cell r="D32">
            <v>2598.3548285787219</v>
          </cell>
          <cell r="E32">
            <v>986.15029672659955</v>
          </cell>
          <cell r="F32">
            <v>9.9931399194918433E-2</v>
          </cell>
          <cell r="H32">
            <v>6.5</v>
          </cell>
          <cell r="I32">
            <v>161.986336329479</v>
          </cell>
          <cell r="J32">
            <v>684.21560157465331</v>
          </cell>
          <cell r="K32">
            <v>2759.5950361386417</v>
          </cell>
          <cell r="L32">
            <v>905.50036931505952</v>
          </cell>
          <cell r="M32">
            <v>3.4178595991072749</v>
          </cell>
        </row>
        <row r="33">
          <cell r="A33">
            <v>55</v>
          </cell>
          <cell r="B33">
            <v>0.15761413529259541</v>
          </cell>
          <cell r="C33">
            <v>230.24100561760457</v>
          </cell>
          <cell r="D33">
            <v>2600.1098173885225</v>
          </cell>
          <cell r="E33">
            <v>985.66978146340762</v>
          </cell>
          <cell r="F33">
            <v>0.10454869177529907</v>
          </cell>
          <cell r="H33">
            <v>7</v>
          </cell>
          <cell r="I33">
            <v>164.95275255074171</v>
          </cell>
          <cell r="J33">
            <v>697.14336073505115</v>
          </cell>
          <cell r="K33">
            <v>2762.7490827694173</v>
          </cell>
          <cell r="L33">
            <v>902.55552318648506</v>
          </cell>
          <cell r="M33">
            <v>3.6661730155638583</v>
          </cell>
        </row>
        <row r="34">
          <cell r="A34">
            <v>56</v>
          </cell>
          <cell r="B34">
            <v>0.16532210595575186</v>
          </cell>
          <cell r="C34">
            <v>234.42290771334726</v>
          </cell>
          <cell r="D34">
            <v>2601.862248991878</v>
          </cell>
          <cell r="E34">
            <v>985.18304357828299</v>
          </cell>
          <cell r="F34">
            <v>0.10934419631462766</v>
          </cell>
          <cell r="H34">
            <v>7.5</v>
          </cell>
          <cell r="I34">
            <v>167.75536447427311</v>
          </cell>
          <cell r="J34">
            <v>709.3837576735574</v>
          </cell>
          <cell r="K34">
            <v>2765.6407942779274</v>
          </cell>
          <cell r="L34">
            <v>899.73726975016029</v>
          </cell>
          <cell r="M34">
            <v>3.9138544733410088</v>
          </cell>
        </row>
        <row r="35">
          <cell r="A35">
            <v>57</v>
          </cell>
          <cell r="B35">
            <v>0.17334968464515957</v>
          </cell>
          <cell r="C35">
            <v>238.60517541212229</v>
          </cell>
          <cell r="D35">
            <v>2603.6120739969042</v>
          </cell>
          <cell r="E35">
            <v>984.69014754656553</v>
          </cell>
          <cell r="F35">
            <v>0.11432330928417463</v>
          </cell>
          <cell r="H35">
            <v>8</v>
          </cell>
          <cell r="I35">
            <v>170.41351081360017</v>
          </cell>
          <cell r="J35">
            <v>721.01784841959818</v>
          </cell>
          <cell r="K35">
            <v>2768.3024646636495</v>
          </cell>
          <cell r="L35">
            <v>897.03165936953087</v>
          </cell>
          <cell r="M35">
            <v>4.1609882209183633</v>
          </cell>
        </row>
        <row r="36">
          <cell r="A36">
            <v>58</v>
          </cell>
          <cell r="B36">
            <v>0.1817075373677163</v>
          </cell>
          <cell r="C36">
            <v>242.78783083995432</v>
          </cell>
          <cell r="D36">
            <v>2605.3592422910137</v>
          </cell>
          <cell r="E36">
            <v>984.19115605361515</v>
          </cell>
          <cell r="F36">
            <v>0.11949153904437314</v>
          </cell>
          <cell r="H36">
            <v>8.5</v>
          </cell>
          <cell r="I36">
            <v>172.94319540051112</v>
          </cell>
          <cell r="J36">
            <v>732.11273024317563</v>
          </cell>
          <cell r="K36">
            <v>2770.7606862349662</v>
          </cell>
          <cell r="L36">
            <v>894.427033316343</v>
          </cell>
          <cell r="M36">
            <v>4.4076475254835374</v>
          </cell>
        </row>
        <row r="37">
          <cell r="A37">
            <v>59</v>
          </cell>
          <cell r="B37">
            <v>0.19040658755463591</v>
          </cell>
          <cell r="C37">
            <v>246.9708960720246</v>
          </cell>
          <cell r="D37">
            <v>2607.1037030424523</v>
          </cell>
          <cell r="E37">
            <v>983.68613005523014</v>
          </cell>
          <cell r="F37">
            <v>0.12485450679708408</v>
          </cell>
          <cell r="H37">
            <v>9</v>
          </cell>
          <cell r="I37">
            <v>175.35782211701274</v>
          </cell>
          <cell r="J37">
            <v>742.72461512719804</v>
          </cell>
          <cell r="K37">
            <v>2773.0376230706656</v>
          </cell>
          <cell r="L37">
            <v>891.91353714478953</v>
          </cell>
          <cell r="M37">
            <v>4.6538966823484316</v>
          </cell>
        </row>
        <row r="38">
          <cell r="A38">
            <v>60</v>
          </cell>
          <cell r="B38">
            <v>0.19945801924678758</v>
          </cell>
          <cell r="C38">
            <v>251.15439313792453</v>
          </cell>
          <cell r="D38">
            <v>2608.8454047019254</v>
          </cell>
          <cell r="E38">
            <v>983.17512883497045</v>
          </cell>
          <cell r="F38">
            <v>0.13041794752319003</v>
          </cell>
          <cell r="H38">
            <v>9.5</v>
          </cell>
          <cell r="I38">
            <v>177.66873651994689</v>
          </cell>
          <cell r="J38">
            <v>752.9010953342314</v>
          </cell>
          <cell r="K38">
            <v>2775.1519469185832</v>
          </cell>
          <cell r="L38">
            <v>889.48275833378909</v>
          </cell>
          <cell r="M38">
            <v>4.8997925671397198</v>
          </cell>
        </row>
        <row r="39">
          <cell r="A39">
            <v>61</v>
          </cell>
          <cell r="B39">
            <v>0.20887328024880736</v>
          </cell>
          <cell r="C39">
            <v>255.3383440263286</v>
          </cell>
          <cell r="D39">
            <v>2610.5842950042693</v>
          </cell>
          <cell r="E39">
            <v>982.65821005858606</v>
          </cell>
          <cell r="F39">
            <v>0.13618771090567183</v>
          </cell>
          <cell r="H39">
            <v>10</v>
          </cell>
          <cell r="I39">
            <v>179.88563239146686</v>
          </cell>
          <cell r="J39">
            <v>762.68284433525957</v>
          </cell>
          <cell r="K39">
            <v>2777.1195376845681</v>
          </cell>
          <cell r="L39">
            <v>887.1274516747776</v>
          </cell>
          <cell r="M39">
            <v>5.1453858531826837</v>
          </cell>
        </row>
        <row r="40">
          <cell r="A40">
            <v>62</v>
          </cell>
          <cell r="B40">
            <v>0.21866408525076719</v>
          </cell>
          <cell r="C40">
            <v>259.52277068917317</v>
          </cell>
          <cell r="D40">
            <v>2612.3203209701123</v>
          </cell>
          <cell r="E40">
            <v>982.13542982571516</v>
          </cell>
          <cell r="F40">
            <v>0.14216976223835531</v>
          </cell>
          <cell r="H40">
            <v>10.5</v>
          </cell>
          <cell r="I40">
            <v>182.01686189970206</v>
          </cell>
          <cell r="J40">
            <v>772.1049147316952</v>
          </cell>
          <cell r="K40">
            <v>2778.9540162759768</v>
          </cell>
          <cell r="L40">
            <v>884.8413278861218</v>
          </cell>
          <cell r="M40">
            <v>5.3907219792854573</v>
          </cell>
        </row>
        <row r="41">
          <cell r="A41">
            <v>63</v>
          </cell>
          <cell r="B41">
            <v>0.22884241891619789</v>
          </cell>
          <cell r="C41">
            <v>263.70769504541329</v>
          </cell>
          <cell r="D41">
            <v>2614.0534289074958</v>
          </cell>
          <cell r="E41">
            <v>981.60684271903062</v>
          </cell>
          <cell r="F41">
            <v>0.14837018332052557</v>
          </cell>
          <cell r="H41">
            <v>11</v>
          </cell>
          <cell r="I41">
            <v>184.06967567794572</v>
          </cell>
          <cell r="J41">
            <v>781.19774311133142</v>
          </cell>
          <cell r="K41">
            <v>2780.6671558167741</v>
          </cell>
          <cell r="L41">
            <v>882.61888861543162</v>
          </cell>
          <cell r="M41">
            <v>5.6358419284516419</v>
          </cell>
        </row>
        <row r="42">
          <cell r="A42">
            <v>64</v>
          </cell>
          <cell r="B42">
            <v>0.23942053893532075</v>
          </cell>
          <cell r="C42">
            <v>267.89313898443544</v>
          </cell>
          <cell r="D42">
            <v>2615.783564413412</v>
          </cell>
          <cell r="E42">
            <v>981.07250185098314</v>
          </cell>
          <cell r="F42">
            <v>0.15479517333765191</v>
          </cell>
          <cell r="H42">
            <v>11.5</v>
          </cell>
          <cell r="I42">
            <v>186.05041109183469</v>
          </cell>
          <cell r="J42">
            <v>789.98793819796367</v>
          </cell>
          <cell r="K42">
            <v>2782.2692031411029</v>
          </cell>
          <cell r="L42">
            <v>880.45529602904867</v>
          </cell>
          <cell r="M42">
            <v>5.8807828613070301</v>
          </cell>
        </row>
        <row r="43">
          <cell r="A43">
            <v>65</v>
          </cell>
          <cell r="B43">
            <v>0.2504109790423612</v>
          </cell>
          <cell r="C43">
            <v>272.07912436918542</v>
          </cell>
          <cell r="D43">
            <v>2617.5106723752401</v>
          </cell>
          <cell r="E43">
            <v>980.53245890828441</v>
          </cell>
          <cell r="F43">
            <v>0.16145104972848159</v>
          </cell>
          <cell r="H43">
            <v>12</v>
          </cell>
          <cell r="I43">
            <v>187.96464162129996</v>
          </cell>
          <cell r="J43">
            <v>798.4989063327962</v>
          </cell>
          <cell r="K43">
            <v>2783.7691331051374</v>
          </cell>
          <cell r="L43">
            <v>878.34626856718307</v>
          </cell>
          <cell r="M43">
            <v>6.1255786364357103</v>
          </cell>
        </row>
        <row r="44">
          <cell r="A44">
            <v>66</v>
          </cell>
          <cell r="B44">
            <v>0.26182655199585853</v>
          </cell>
          <cell r="C44">
            <v>276.26567303906637</v>
          </cell>
          <cell r="D44">
            <v>2619.2346969720511</v>
          </cell>
          <cell r="E44">
            <v>979.98676419426522</v>
          </cell>
          <cell r="F44">
            <v>0.16834424903879006</v>
          </cell>
          <cell r="H44">
            <v>12.5</v>
          </cell>
          <cell r="I44">
            <v>189.81729665942527</v>
          </cell>
          <cell r="J44">
            <v>806.75135317984893</v>
          </cell>
          <cell r="K44">
            <v>2785.1748519096241</v>
          </cell>
          <cell r="L44">
            <v>876.28799675556445</v>
          </cell>
          <cell r="M44">
            <v>6.370260241650568</v>
          </cell>
        </row>
        <row r="45">
          <cell r="A45">
            <v>67</v>
          </cell>
          <cell r="B45">
            <v>0.27368035252091821</v>
          </cell>
          <cell r="C45">
            <v>280.45280681265467</v>
          </cell>
          <cell r="D45">
            <v>2620.9555816757738</v>
          </cell>
          <cell r="E45">
            <v>979.43546666923544</v>
          </cell>
          <cell r="F45">
            <v>0.17548132776209938</v>
          </cell>
          <cell r="H45">
            <v>13</v>
          </cell>
          <cell r="I45">
            <v>191.61275852521874</v>
          </cell>
          <cell r="J45">
            <v>814.76369007810479</v>
          </cell>
          <cell r="K45">
            <v>2786.4933612439868</v>
          </cell>
          <cell r="L45">
            <v>874.27707457566748</v>
          </cell>
          <cell r="M45">
            <v>6.6148561543676907</v>
          </cell>
        </row>
        <row r="46">
          <cell r="A46">
            <v>68</v>
          </cell>
          <cell r="B46">
            <v>0.28598576021239847</v>
          </cell>
          <cell r="C46">
            <v>284.64054749028332</v>
          </cell>
          <cell r="D46">
            <v>2622.6732692522096</v>
          </cell>
          <cell r="E46">
            <v>978.87861398895689</v>
          </cell>
          <cell r="F46">
            <v>0.18286896316770565</v>
          </cell>
          <cell r="H46">
            <v>13.5</v>
          </cell>
          <cell r="I46">
            <v>193.35494172645963</v>
          </cell>
          <cell r="J46">
            <v>822.55236610312818</v>
          </cell>
          <cell r="K46">
            <v>2787.7308919870979</v>
          </cell>
          <cell r="L46">
            <v>872.31044303677265</v>
          </cell>
          <cell r="M46">
            <v>6.8593926449946627</v>
          </cell>
        </row>
        <row r="47">
          <cell r="A47">
            <v>69</v>
          </cell>
          <cell r="B47">
            <v>0.29875644239804205</v>
          </cell>
          <cell r="C47">
            <v>288.82891685651708</v>
          </cell>
          <cell r="D47">
            <v>2624.3877017618938</v>
          </cell>
          <cell r="E47">
            <v>978.31625254134156</v>
          </cell>
          <cell r="F47">
            <v>0.19051395411637054</v>
          </cell>
          <cell r="H47">
            <v>14</v>
          </cell>
          <cell r="I47">
            <v>195.04735825190591</v>
          </cell>
          <cell r="J47">
            <v>830.13214164664168</v>
          </cell>
          <cell r="K47">
            <v>2788.8930140072894</v>
          </cell>
          <cell r="L47">
            <v>870.38534341362742</v>
          </cell>
          <cell r="M47">
            <v>7.1038940341019501</v>
          </cell>
        </row>
        <row r="48">
          <cell r="A48">
            <v>70</v>
          </cell>
          <cell r="B48">
            <v>0.31200635696061835</v>
          </cell>
          <cell r="C48">
            <v>293.0179366825696</v>
          </cell>
          <cell r="D48">
            <v>2626.0988205608151</v>
          </cell>
          <cell r="E48">
            <v>977.74842748147535</v>
          </cell>
          <cell r="F48">
            <v>0.19842322186406477</v>
          </cell>
          <cell r="H48">
            <v>14.5</v>
          </cell>
          <cell r="I48">
            <v>196.69317176230271</v>
          </cell>
          <cell r="J48">
            <v>837.51631551849459</v>
          </cell>
          <cell r="K48">
            <v>2789.9847270192886</v>
          </cell>
          <cell r="L48">
            <v>868.49927821153449</v>
          </cell>
          <cell r="M48">
            <v>7.3483829118010986</v>
          </cell>
        </row>
        <row r="49">
          <cell r="A49">
            <v>71</v>
          </cell>
          <cell r="B49">
            <v>0.32574975511817428</v>
          </cell>
          <cell r="C49">
            <v>297.20762872868136</v>
          </cell>
          <cell r="D49">
            <v>2627.8065663009984</v>
          </cell>
          <cell r="E49">
            <v>977.17518276506019</v>
          </cell>
          <cell r="F49">
            <v>0.20660381085417237</v>
          </cell>
          <cell r="H49">
            <v>15</v>
          </cell>
          <cell r="I49">
            <v>198.29524288241379</v>
          </cell>
          <cell r="J49">
            <v>844.71691478543869</v>
          </cell>
          <cell r="K49">
            <v>2791.0105362952268</v>
          </cell>
          <cell r="L49">
            <v>866.64997836214093</v>
          </cell>
          <cell r="M49">
            <v>7.5928803259818451</v>
          </cell>
        </row>
        <row r="50">
          <cell r="A50">
            <v>72</v>
          </cell>
          <cell r="B50">
            <v>0.34000118416150527</v>
          </cell>
          <cell r="C50">
            <v>301.39801474648169</v>
          </cell>
          <cell r="D50">
            <v>2629.5108789309738</v>
          </cell>
          <cell r="E50">
            <v>976.59656118036287</v>
          </cell>
          <cell r="F50">
            <v>0.21506288949856819</v>
          </cell>
          <cell r="H50">
            <v>15.5</v>
          </cell>
          <cell r="I50">
            <v>199.85616730113162</v>
          </cell>
          <cell r="J50">
            <v>851.74485449030215</v>
          </cell>
          <cell r="K50">
            <v>2791.9745161669193</v>
          </cell>
          <cell r="L50">
            <v>864.83537548287677</v>
          </cell>
          <cell r="M50">
            <v>7.8374059447076236</v>
          </cell>
        </row>
        <row r="51">
          <cell r="A51">
            <v>73</v>
          </cell>
          <cell r="B51">
            <v>0.35477549014805126</v>
          </cell>
          <cell r="C51">
            <v>305.58911648136575</v>
          </cell>
          <cell r="D51">
            <v>2631.2116976961529</v>
          </cell>
          <cell r="E51">
            <v>976.01260437875544</v>
          </cell>
          <cell r="F51">
            <v>0.22380775094804053</v>
          </cell>
          <cell r="H51">
            <v>16</v>
          </cell>
          <cell r="I51">
            <v>201.37830801515292</v>
          </cell>
          <cell r="J51">
            <v>858.610072840974</v>
          </cell>
          <cell r="K51">
            <v>2792.8803636123594</v>
          </cell>
          <cell r="L51">
            <v>863.05357828184708</v>
          </cell>
          <cell r="M51">
            <v>8.0819781970263396</v>
          </cell>
        </row>
        <row r="52">
          <cell r="A52">
            <v>74</v>
          </cell>
          <cell r="B52">
            <v>0.37008782055138406</v>
          </cell>
          <cell r="C52">
            <v>309.7809556748972</v>
          </cell>
          <cell r="D52">
            <v>2632.9089611391446</v>
          </cell>
          <cell r="E52">
            <v>975.42335290391941</v>
          </cell>
          <cell r="F52">
            <v>0.2328458138524967</v>
          </cell>
          <cell r="H52">
            <v>16.5</v>
          </cell>
          <cell r="I52">
            <v>202.86382277004373</v>
          </cell>
          <cell r="J52">
            <v>865.32164628040607</v>
          </cell>
          <cell r="K52">
            <v>2793.7314437318414</v>
          </cell>
          <cell r="L52">
            <v>861.30285237969804</v>
          </cell>
          <cell r="M52">
            <v>8.3266143956412666</v>
          </cell>
        </row>
        <row r="53">
          <cell r="A53">
            <v>75</v>
          </cell>
          <cell r="B53">
            <v>0.3859536268655675</v>
          </cell>
          <cell r="C53">
            <v>313.97355406725899</v>
          </cell>
          <cell r="D53">
            <v>2634.602607100051</v>
          </cell>
          <cell r="E53">
            <v>974.82884621979008</v>
          </cell>
          <cell r="F53">
            <v>0.24218462311146252</v>
          </cell>
          <cell r="H53">
            <v>17</v>
          </cell>
          <cell r="I53">
            <v>204.31468753689609</v>
          </cell>
          <cell r="J53">
            <v>871.88788794668505</v>
          </cell>
          <cell r="K53">
            <v>2794.5308285464876</v>
          </cell>
          <cell r="L53">
            <v>859.58160296602921</v>
          </cell>
          <cell r="M53">
            <v>8.5713308442507739</v>
          </cell>
        </row>
        <row r="54">
          <cell r="A54">
            <v>76</v>
          </cell>
          <cell r="B54">
            <v>0.40238866716365207</v>
          </cell>
          <cell r="C54">
            <v>318.16693339975649</v>
          </cell>
          <cell r="D54">
            <v>2636.2925727167731</v>
          </cell>
          <cell r="E54">
            <v>974.22912273730446</v>
          </cell>
          <cell r="F54">
            <v>0.25183185061536179</v>
          </cell>
          <cell r="H54">
            <v>17.5</v>
          </cell>
          <cell r="I54">
            <v>205.73271669632089</v>
          </cell>
          <cell r="J54">
            <v>878.31643233577233</v>
          </cell>
          <cell r="K54">
            <v>2795.281330264891</v>
          </cell>
          <cell r="L54">
            <v>857.88835982123715</v>
          </cell>
          <cell r="M54">
            <v>8.816142931861064</v>
          </cell>
        </row>
        <row r="55">
          <cell r="A55">
            <v>77</v>
          </cell>
          <cell r="B55">
            <v>0.41940900860961855</v>
          </cell>
          <cell r="C55">
            <v>322.36111541739814</v>
          </cell>
          <cell r="D55">
            <v>2637.9787944253872</v>
          </cell>
          <cell r="E55">
            <v>973.62421984001799</v>
          </cell>
          <cell r="F55">
            <v>0.26179529597809159</v>
          </cell>
          <cell r="H55">
            <v>18</v>
          </cell>
          <cell r="I55">
            <v>207.11958047187619</v>
          </cell>
          <cell r="J55">
            <v>884.61430843694563</v>
          </cell>
          <cell r="K55">
            <v>2795.9855299403389</v>
          </cell>
          <cell r="L55">
            <v>856.2217643233929</v>
          </cell>
          <cell r="M55">
            <v>9.0610652159746543</v>
          </cell>
        </row>
        <row r="56">
          <cell r="A56">
            <v>78</v>
          </cell>
          <cell r="B56">
            <v>0.4370310299231579</v>
          </cell>
          <cell r="C56">
            <v>326.55612187155089</v>
          </cell>
          <cell r="D56">
            <v>2639.6612079606289</v>
          </cell>
          <cell r="E56">
            <v>973.01417390864913</v>
          </cell>
          <cell r="F56">
            <v>0.27208288726144536</v>
          </cell>
          <cell r="H56">
            <v>18.5</v>
          </cell>
          <cell r="I56">
            <v>208.4768200532838</v>
          </cell>
          <cell r="J56">
            <v>890.78800318515641</v>
          </cell>
          <cell r="K56">
            <v>2796.6458022662327</v>
          </cell>
          <cell r="L56">
            <v>854.58055812973066</v>
          </cell>
          <cell r="M56">
            <v>9.3061114962352942</v>
          </cell>
        </row>
        <row r="57">
          <cell r="A57">
            <v>79</v>
          </cell>
          <cell r="B57">
            <v>0.45527142379664676</v>
          </cell>
          <cell r="C57">
            <v>330.7519745226806</v>
          </cell>
          <cell r="D57">
            <v>2641.3397483565532</v>
          </cell>
          <cell r="E57">
            <v>972.39902034460511</v>
          </cell>
          <cell r="F57">
            <v>0.2827026816919071</v>
          </cell>
          <cell r="H57">
            <v>19</v>
          </cell>
          <cell r="I57">
            <v>209.80586076938266</v>
          </cell>
          <cell r="J57">
            <v>896.84351673796596</v>
          </cell>
          <cell r="K57">
            <v>2797.2643371194413</v>
          </cell>
          <cell r="L57">
            <v>852.96357327785176</v>
          </cell>
          <cell r="M57">
            <v>9.5512948798488342</v>
          </cell>
        </row>
        <row r="58">
          <cell r="A58">
            <v>80</v>
          </cell>
          <cell r="B58">
            <v>0.47414719926378407</v>
          </cell>
          <cell r="C58">
            <v>334.94869514319328</v>
          </cell>
          <cell r="D58">
            <v>2643.0143499474107</v>
          </cell>
          <cell r="E58">
            <v>971.77879359254007</v>
          </cell>
          <cell r="F58">
            <v>0.2936628663703979</v>
          </cell>
          <cell r="H58">
            <v>19.5</v>
          </cell>
          <cell r="I58">
            <v>211.10802360673199</v>
          </cell>
          <cell r="J58">
            <v>902.78641081664421</v>
          </cell>
          <cell r="K58">
            <v>2797.8431583516808</v>
          </cell>
          <cell r="L58">
            <v>851.369723496201</v>
          </cell>
          <cell r="M58">
            <v>9.7966278398882185</v>
          </cell>
        </row>
        <row r="59">
          <cell r="A59">
            <v>81</v>
          </cell>
          <cell r="B59">
            <v>0.49367568401933271</v>
          </cell>
          <cell r="C59">
            <v>339.14630552036334</v>
          </cell>
          <cell r="D59">
            <v>2644.6849463688213</v>
          </cell>
          <cell r="E59">
            <v>971.15352716199891</v>
          </cell>
          <cell r="F59">
            <v>0.30497175897552947</v>
          </cell>
          <cell r="H59">
            <v>20</v>
          </cell>
          <cell r="I59">
            <v>212.38453531849024</v>
          </cell>
          <cell r="J59">
            <v>908.62185113631153</v>
          </cell>
          <cell r="K59">
            <v>2798.384140241415</v>
          </cell>
          <cell r="L59">
            <v>849.79799654911221</v>
          </cell>
          <cell r="M59">
            <v>10.042122267417231</v>
          </cell>
        </row>
        <row r="60">
          <cell r="A60">
            <v>82</v>
          </cell>
          <cell r="B60">
            <v>0.51387452668949407</v>
          </cell>
          <cell r="C60">
            <v>343.34482745937351</v>
          </cell>
          <cell r="D60">
            <v>2646.3514705592879</v>
          </cell>
          <cell r="E60">
            <v>970.52325364818523</v>
          </cell>
          <cell r="F60">
            <v>0.31663780846096123</v>
          </cell>
          <cell r="H60">
            <v>20.5</v>
          </cell>
          <cell r="I60">
            <v>213.63653732684588</v>
          </cell>
          <cell r="J60">
            <v>914.35464477684184</v>
          </cell>
          <cell r="K60">
            <v>2798.8890219482655</v>
          </cell>
          <cell r="L60">
            <v>848.24744747066484</v>
          </cell>
          <cell r="M60">
            <v>10.287789518225164</v>
          </cell>
        </row>
        <row r="61">
          <cell r="A61">
            <v>83</v>
          </cell>
          <cell r="B61">
            <v>0.53476169905244553</v>
          </cell>
          <cell r="C61">
            <v>347.54428278645531</v>
          </cell>
          <cell r="D61">
            <v>2648.0138547621304</v>
          </cell>
          <cell r="E61">
            <v>969.88800475190169</v>
          </cell>
          <cell r="F61">
            <v>0.32866959574744337</v>
          </cell>
          <cell r="H61">
            <v>21</v>
          </cell>
          <cell r="I61">
            <v>214.86509358874525</v>
          </cell>
          <cell r="J61">
            <v>919.98927320585358</v>
          </cell>
          <cell r="K61">
            <v>2799.3594202548643</v>
          </cell>
          <cell r="L61">
            <v>846.71719256516235</v>
          </cell>
          <cell r="M61">
            <v>10.533640454846795</v>
          </cell>
        </row>
        <row r="62">
          <cell r="A62">
            <v>84</v>
          </cell>
          <cell r="B62">
            <v>0.5563554982086385</v>
          </cell>
          <cell r="C62">
            <v>351.7446933521299</v>
          </cell>
          <cell r="D62">
            <v>2649.6720305278932</v>
          </cell>
          <cell r="E62">
            <v>969.24781129869962</v>
          </cell>
          <cell r="F62">
            <v>0.34107583441015649</v>
          </cell>
          <cell r="H62">
            <v>21.5</v>
          </cell>
          <cell r="I62">
            <v>216.07119756733562</v>
          </cell>
          <cell r="J62">
            <v>925.52992155065067</v>
          </cell>
          <cell r="K62">
            <v>2799.7968408346965</v>
          </cell>
          <cell r="L62">
            <v>845.20640407131759</v>
          </cell>
          <cell r="M62">
            <v>10.779685484443863</v>
          </cell>
        </row>
        <row r="63">
          <cell r="A63">
            <v>85</v>
          </cell>
          <cell r="B63">
            <v>0.57867454870044421</v>
          </cell>
          <cell r="C63">
            <v>355.94608103456096</v>
          </cell>
          <cell r="D63">
            <v>2651.3259287172973</v>
          </cell>
          <cell r="E63">
            <v>968.60270325727697</v>
          </cell>
          <cell r="F63">
            <v>0.35386537136193941</v>
          </cell>
          <cell r="H63">
            <v>22</v>
          </cell>
          <cell r="I63">
            <v>217.25577842912799</v>
          </cell>
          <cell r="J63">
            <v>930.9805046221046</v>
          </cell>
          <cell r="K63">
            <v>2800.2026882464829</v>
          </cell>
          <cell r="L63">
            <v>843.71430540311189</v>
          </cell>
          <cell r="M63">
            <v>11.025934593042718</v>
          </cell>
        </row>
        <row r="64">
          <cell r="A64">
            <v>86</v>
          </cell>
          <cell r="B64">
            <v>0.6017378045808528</v>
          </cell>
          <cell r="C64">
            <v>360.14846774301407</v>
          </cell>
          <cell r="D64">
            <v>2652.9754795048011</v>
          </cell>
          <cell r="E64">
            <v>967.95270975715937</v>
          </cell>
          <cell r="F64">
            <v>0.36704718753305177</v>
          </cell>
          <cell r="H64">
            <v>22.5</v>
          </cell>
          <cell r="I64">
            <v>218.41970656843807</v>
          </cell>
          <cell r="J64">
            <v>936.3446901161966</v>
          </cell>
          <cell r="K64">
            <v>2800.5782748244778</v>
          </cell>
          <cell r="L64">
            <v>842.24016689341101</v>
          </cell>
          <cell r="M64">
            <v>11.272397376554094</v>
          </cell>
        </row>
        <row r="65">
          <cell r="A65">
            <v>87</v>
          </cell>
          <cell r="B65">
            <v>0.62556455143084611</v>
          </cell>
          <cell r="C65">
            <v>364.35187542141665</v>
          </cell>
          <cell r="D65">
            <v>2654.6206123828288</v>
          </cell>
          <cell r="E65">
            <v>967.29785910569683</v>
          </cell>
          <cell r="F65">
            <v>0.38063039854804942</v>
          </cell>
          <cell r="H65">
            <v>23</v>
          </cell>
          <cell r="I65">
            <v>219.56379854539301</v>
          </cell>
          <cell r="J65">
            <v>941.62591935496584</v>
          </cell>
          <cell r="K65">
            <v>2800.9248286082698</v>
          </cell>
          <cell r="L65">
            <v>840.78330197731054</v>
          </cell>
          <cell r="M65">
            <v>11.519083068943102</v>
          </cell>
        </row>
        <row r="66">
          <cell r="A66">
            <v>88</v>
          </cell>
          <cell r="B66">
            <v>0.65017440832523787</v>
          </cell>
          <cell r="C66">
            <v>368.55632605202635</v>
          </cell>
          <cell r="D66">
            <v>2656.2612561667333</v>
          </cell>
          <cell r="E66">
            <v>966.63817880441036</v>
          </cell>
          <cell r="F66">
            <v>0.39462425540044133</v>
          </cell>
          <cell r="H66">
            <v>23.5</v>
          </cell>
          <cell r="I66">
            <v>220.68882151109307</v>
          </cell>
          <cell r="J66">
            <v>946.82742587539826</v>
          </cell>
          <cell r="K66">
            <v>2801.2435004343024</v>
          </cell>
          <cell r="L66">
            <v>839.34306376128086</v>
          </cell>
          <cell r="M66">
            <v>11.76600056786882</v>
          </cell>
        </row>
        <row r="67">
          <cell r="A67">
            <v>89</v>
          </cell>
          <cell r="B67">
            <v>0.67558732974668723</v>
          </cell>
          <cell r="C67">
            <v>372.7618416592012</v>
          </cell>
          <cell r="D67">
            <v>2657.8973390005463</v>
          </cell>
          <cell r="E67">
            <v>965.9736955647121</v>
          </cell>
          <cell r="F67">
            <v>0.40903814512572645</v>
          </cell>
          <cell r="H67">
            <v>24</v>
          </cell>
          <cell r="I67">
            <v>221.79549718292873</v>
          </cell>
          <cell r="J67">
            <v>951.95225213043648</v>
          </cell>
          <cell r="K67">
            <v>2801.5353702935367</v>
          </cell>
          <cell r="L67">
            <v>837.91884193178805</v>
          </cell>
          <cell r="M67">
            <v>12.013158458071107</v>
          </cell>
        </row>
        <row r="68">
          <cell r="A68">
            <v>90</v>
          </cell>
          <cell r="B68">
            <v>0.70182360744771444</v>
          </cell>
          <cell r="C68">
            <v>376.96844431326957</v>
          </cell>
          <cell r="D68">
            <v>2659.5287883635742</v>
          </cell>
          <cell r="E68">
            <v>965.30443532303411</v>
          </cell>
          <cell r="F68">
            <v>0.4238815914734626</v>
          </cell>
          <cell r="H68">
            <v>24.5</v>
          </cell>
          <cell r="I68">
            <v>222.88450542415512</v>
          </cell>
          <cell r="J68">
            <v>957.00326452898321</v>
          </cell>
          <cell r="K68">
            <v>2801.8014530447253</v>
          </cell>
          <cell r="L68">
            <v>836.51005996348749</v>
          </cell>
          <cell r="M68">
            <v>12.260565032747381</v>
          </cell>
        </row>
        <row r="69">
          <cell r="A69">
            <v>91</v>
          </cell>
          <cell r="B69">
            <v>0.72890387226051667</v>
          </cell>
          <cell r="C69">
            <v>381.17615613449959</v>
          </cell>
          <cell r="D69">
            <v>2661.1555310778917</v>
          </cell>
          <cell r="E69">
            <v>964.63042325538481</v>
          </cell>
          <cell r="F69">
            <v>0.43916425557898725</v>
          </cell>
          <cell r="H69">
            <v>25</v>
          </cell>
          <cell r="I69">
            <v>223.95648747437752</v>
          </cell>
          <cell r="J69">
            <v>961.98316701057217</v>
          </cell>
          <cell r="K69">
            <v>2802.0427035603561</v>
          </cell>
          <cell r="L69">
            <v>835.11617259245668</v>
          </cell>
          <cell r="M69">
            <v>12.508228313130763</v>
          </cell>
        </row>
        <row r="70">
          <cell r="A70">
            <v>92</v>
          </cell>
          <cell r="B70">
            <v>0.7568490958544849</v>
          </cell>
          <cell r="C70">
            <v>385.38499929716392</v>
          </cell>
          <cell r="D70">
            <v>2662.777493316773</v>
          </cell>
          <cell r="E70">
            <v>963.95168379136294</v>
          </cell>
          <cell r="F70">
            <v>0.45489593663545069</v>
          </cell>
          <cell r="H70">
            <v>25.5</v>
          </cell>
          <cell r="I70">
            <v>225.01204887124197</v>
          </cell>
          <cell r="J70">
            <v>966.89451332370493</v>
          </cell>
          <cell r="K70">
            <v>2802.2600213716155</v>
          </cell>
          <cell r="L70">
            <v>833.7366635245794</v>
          </cell>
          <cell r="M70">
            <v>12.756156066456928</v>
          </cell>
        </row>
        <row r="71">
          <cell r="A71">
            <v>93</v>
          </cell>
          <cell r="B71">
            <v>0.78568059244125488</v>
          </cell>
          <cell r="C71">
            <v>389.59499603369687</v>
          </cell>
          <cell r="D71">
            <v>2664.3946006141136</v>
          </cell>
          <cell r="E71">
            <v>963.26824062764854</v>
          </cell>
          <cell r="F71">
            <v>0.47108657256676412</v>
          </cell>
          <cell r="H71">
            <v>26</v>
          </cell>
          <cell r="I71">
            <v>226.05176209833252</v>
          </cell>
          <cell r="J71">
            <v>971.73971815469508</v>
          </cell>
          <cell r="K71">
            <v>2802.454254870001</v>
          </cell>
          <cell r="L71">
            <v>832.37104335300353</v>
          </cell>
          <cell r="M71">
            <v>13.00435582248199</v>
          </cell>
        </row>
        <row r="72">
          <cell r="A72">
            <v>94</v>
          </cell>
          <cell r="B72">
            <v>0.81542002042730566</v>
          </cell>
          <cell r="C72">
            <v>393.80616863894068</v>
          </cell>
          <cell r="D72">
            <v>2666.0067778748626</v>
          </cell>
          <cell r="E72">
            <v>962.58011674099589</v>
          </cell>
          <cell r="F72">
            <v>0.48774624070215522</v>
          </cell>
          <cell r="H72">
            <v>26.5</v>
          </cell>
          <cell r="I72">
            <v>227.07616898965728</v>
          </cell>
          <cell r="J72">
            <v>976.52106723445968</v>
          </cell>
          <cell r="K72">
            <v>2802.6262051154117</v>
          </cell>
          <cell r="L72">
            <v>831.01884766200988</v>
          </cell>
          <cell r="M72">
            <v>13.252834888697352</v>
          </cell>
        </row>
        <row r="73">
          <cell r="A73">
            <v>95</v>
          </cell>
          <cell r="B73">
            <v>0.84608938401395828</v>
          </cell>
          <cell r="C73">
            <v>398.01853947448257</v>
          </cell>
          <cell r="D73">
            <v>2667.6139493865071</v>
          </cell>
          <cell r="E73">
            <v>961.88733440074566</v>
          </cell>
          <cell r="F73">
            <v>0.50488515845290893</v>
          </cell>
          <cell r="H73">
            <v>27</v>
          </cell>
          <cell r="I73">
            <v>228.08578291727213</v>
          </cell>
          <cell r="J73">
            <v>981.24072653466249</v>
          </cell>
          <cell r="K73">
            <v>2802.7766292942706</v>
          </cell>
          <cell r="L73">
            <v>829.67963529740155</v>
          </cell>
          <cell r="M73">
            <v>13.501600364368354</v>
          </cell>
        </row>
        <row r="74">
          <cell r="A74">
            <v>96</v>
          </cell>
          <cell r="B74">
            <v>0.87771103474486589</v>
          </cell>
          <cell r="C74">
            <v>402.23213097307115</v>
          </cell>
          <cell r="D74">
            <v>2669.2160388316261</v>
          </cell>
          <cell r="E74">
            <v>961.18991518087978</v>
          </cell>
          <cell r="F74">
            <v>0.52251368399199549</v>
          </cell>
          <cell r="H74">
            <v>27.5</v>
          </cell>
          <cell r="I74">
            <v>229.08109078523933</v>
          </cell>
          <cell r="J74">
            <v>985.90075065053452</v>
          </cell>
          <cell r="K74">
            <v>2802.9062438656324</v>
          </cell>
          <cell r="L74">
            <v>828.35298678600179</v>
          </cell>
          <cell r="M74">
            <v>13.750659153510073</v>
          </cell>
        </row>
        <row r="75">
          <cell r="A75">
            <v>97</v>
          </cell>
          <cell r="B75">
            <v>0.91030767300094473</v>
          </cell>
          <cell r="C75">
            <v>406.44696564311414</v>
          </cell>
          <cell r="D75">
            <v>2670.8129693015244</v>
          </cell>
          <cell r="E75">
            <v>960.48787997163333</v>
          </cell>
          <cell r="F75">
            <v>0.5406423169371839</v>
          </cell>
          <cell r="H75">
            <v>28</v>
          </cell>
          <cell r="I75">
            <v>230.06255485025582</v>
          </cell>
          <cell r="J75">
            <v>990.50309045570657</v>
          </cell>
          <cell r="K75">
            <v>2803.0157274284775</v>
          </cell>
          <cell r="L75">
            <v>827.03850288895467</v>
          </cell>
          <cell r="M75">
            <v>14.000017976901345</v>
          </cell>
        </row>
        <row r="76">
          <cell r="A76">
            <v>98</v>
          </cell>
          <cell r="B76">
            <v>0.94390234944282381</v>
          </cell>
          <cell r="C76">
            <v>410.6630660732539</v>
          </cell>
          <cell r="D76">
            <v>2672.4046633109624</v>
          </cell>
          <cell r="E76">
            <v>959.78124899068325</v>
          </cell>
          <cell r="F76">
            <v>0.55928169903830405</v>
          </cell>
          <cell r="H76">
            <v>28.5</v>
          </cell>
          <cell r="I76">
            <v>231.03061438684466</v>
          </cell>
          <cell r="J76">
            <v>995.04960010414607</v>
          </cell>
          <cell r="K76">
            <v>2803.1057233394076</v>
          </cell>
          <cell r="L76">
            <v>825.73580327531874</v>
          </cell>
          <cell r="M76">
            <v>14.249683383225916</v>
          </cell>
        </row>
        <row r="77">
          <cell r="A77">
            <v>99</v>
          </cell>
          <cell r="B77">
            <v>0.97851846640090268</v>
          </cell>
          <cell r="C77">
            <v>414.88045493701554</v>
          </cell>
          <cell r="D77">
            <v>2673.9910428139706</v>
          </cell>
          <cell r="E77">
            <v>959.07004179393084</v>
          </cell>
          <cell r="F77">
            <v>0.57844261486929882</v>
          </cell>
          <cell r="H77">
            <v>29</v>
          </cell>
          <cell r="I77">
            <v>231.98568721286154</v>
          </cell>
          <cell r="J77">
            <v>999.54204344531649</v>
          </cell>
          <cell r="K77">
            <v>2803.1768421063716</v>
          </cell>
          <cell r="L77">
            <v>824.44452530403396</v>
          </cell>
          <cell r="M77">
            <v>14.499661759420945</v>
          </cell>
        </row>
        <row r="78">
          <cell r="A78">
            <v>100</v>
          </cell>
          <cell r="B78">
            <v>1.0141797792131015</v>
          </cell>
          <cell r="C78">
            <v>419.09915499752583</v>
          </cell>
          <cell r="D78">
            <v>2675.572029220747</v>
          </cell>
          <cell r="E78">
            <v>958.35427728588991</v>
          </cell>
          <cell r="F78">
            <v>0.59813599252570304</v>
          </cell>
          <cell r="H78">
            <v>29.5</v>
          </cell>
          <cell r="I78">
            <v>232.92817108923322</v>
          </cell>
          <cell r="J78">
            <v>1003.9820999109625</v>
          </cell>
          <cell r="K78">
            <v>2803.2296635810717</v>
          </cell>
          <cell r="L78">
            <v>823.16432290370517</v>
          </cell>
          <cell r="M78">
            <v>14.749959340304118</v>
          </cell>
        </row>
        <row r="79">
          <cell r="A79">
            <v>101</v>
          </cell>
          <cell r="B79">
            <v>1.050910397510463</v>
          </cell>
          <cell r="C79">
            <v>423.31918911229985</v>
          </cell>
          <cell r="D79">
            <v>2677.1475434156168</v>
          </cell>
          <cell r="E79">
            <v>957.63397372970121</v>
          </cell>
          <cell r="F79">
            <v>0.61837290432820191</v>
          </cell>
          <cell r="H79">
            <v>30</v>
          </cell>
          <cell r="I79">
            <v>233.85844500625223</v>
          </cell>
          <cell r="J79">
            <v>1008.3713699252716</v>
          </cell>
          <cell r="K79">
            <v>2803.2647389700587</v>
          </cell>
          <cell r="L79">
            <v>821.89486554082373</v>
          </cell>
          <cell r="M79">
            <v>15.000582217543011</v>
          </cell>
        </row>
        <row r="80">
          <cell r="A80">
            <v>102</v>
          </cell>
          <cell r="B80">
            <v>1.0887347864507604</v>
          </cell>
          <cell r="C80">
            <v>427.54058023808835</v>
          </cell>
          <cell r="D80">
            <v>2678.7175057760242</v>
          </cell>
          <cell r="E80">
            <v>956.90914875678038</v>
          </cell>
          <cell r="F80">
            <v>0.63916456753291251</v>
          </cell>
        </row>
        <row r="81">
          <cell r="A81">
            <v>103</v>
          </cell>
          <cell r="B81">
            <v>1.1276777679003032</v>
          </cell>
          <cell r="C81">
            <v>431.76335143579058</v>
          </cell>
          <cell r="D81">
            <v>2680.2818361925283</v>
          </cell>
          <cell r="E81">
            <v>956.17981937611808</v>
          </cell>
          <cell r="F81">
            <v>0.66052234504903806</v>
          </cell>
        </row>
        <row r="82">
          <cell r="A82">
            <v>104</v>
          </cell>
          <cell r="B82">
            <v>1.1677645215641657</v>
          </cell>
          <cell r="C82">
            <v>435.9875258754181</v>
          </cell>
          <cell r="D82">
            <v>2681.8404540897509</v>
          </cell>
          <cell r="E82">
            <v>955.44600198324144</v>
          </cell>
          <cell r="F82">
            <v>0.68245774616454868</v>
          </cell>
        </row>
        <row r="83">
          <cell r="A83">
            <v>105</v>
          </cell>
          <cell r="B83">
            <v>1.2090205860650922</v>
          </cell>
          <cell r="C83">
            <v>440.21312684111933</v>
          </cell>
          <cell r="D83">
            <v>2683.393278448229</v>
          </cell>
          <cell r="E83">
            <v>954.70771236885059</v>
          </cell>
          <cell r="F83">
            <v>0.70498242728055482</v>
          </cell>
        </row>
        <row r="84">
          <cell r="A84">
            <v>106</v>
          </cell>
          <cell r="B84">
            <v>1.2514718599713044</v>
          </cell>
          <cell r="C84">
            <v>444.4401777362495</v>
          </cell>
          <cell r="D84">
            <v>2684.94022782711</v>
          </cell>
          <cell r="E84">
            <v>953.96496572713909</v>
          </cell>
          <cell r="F84">
            <v>0.7281081926550057</v>
          </cell>
        </row>
        <row r="85">
          <cell r="A85">
            <v>107</v>
          </cell>
          <cell r="B85">
            <v>1.2951446027735845</v>
          </cell>
          <cell r="C85">
            <v>448.66870208849502</v>
          </cell>
          <cell r="D85">
            <v>2686.4812203876136</v>
          </cell>
          <cell r="E85">
            <v>953.21777666381183</v>
          </cell>
          <cell r="F85">
            <v>0.75184699515643116</v>
          </cell>
        </row>
        <row r="86">
          <cell r="A86">
            <v>108</v>
          </cell>
          <cell r="B86">
            <v>1.3400654358118609</v>
          </cell>
          <cell r="C86">
            <v>452.89872355503883</v>
          </cell>
          <cell r="D86">
            <v>2688.0161739171954</v>
          </cell>
          <cell r="E86">
            <v>952.46615920380896</v>
          </cell>
          <cell r="F86">
            <v>0.77621093702834654</v>
          </cell>
        </row>
        <row r="87">
          <cell r="A87">
            <v>109</v>
          </cell>
          <cell r="B87">
            <v>1.3862613431517175</v>
          </cell>
          <cell r="C87">
            <v>457.13026592777237</v>
          </cell>
          <cell r="D87">
            <v>2689.5450058543124</v>
          </cell>
          <cell r="E87">
            <v>951.71012679874445</v>
          </cell>
          <cell r="F87">
            <v>0.80121227066505196</v>
          </cell>
        </row>
        <row r="88">
          <cell r="A88">
            <v>110</v>
          </cell>
          <cell r="B88">
            <v>1.433759672411151</v>
          </cell>
          <cell r="C88">
            <v>461.3633531385438</v>
          </cell>
          <cell r="D88">
            <v>2691.0676333137076</v>
          </cell>
          <cell r="E88">
            <v>950.94969233406869</v>
          </cell>
          <cell r="F88">
            <v>0.82686339939949838</v>
          </cell>
        </row>
        <row r="89">
          <cell r="A89">
            <v>111</v>
          </cell>
          <cell r="B89">
            <v>1.4825881355379513</v>
          </cell>
          <cell r="C89">
            <v>465.59800926445212</v>
          </cell>
          <cell r="D89">
            <v>2692.5839731121118</v>
          </cell>
          <cell r="E89">
            <v>950.18486813596814</v>
          </cell>
          <cell r="F89">
            <v>0.85317687830391797</v>
          </cell>
        </row>
        <row r="90">
          <cell r="A90">
            <v>112</v>
          </cell>
          <cell r="B90">
            <v>1.5327748095381586</v>
          </cell>
          <cell r="C90">
            <v>469.83425853316811</v>
          </cell>
          <cell r="D90">
            <v>2694.0939417942577</v>
          </cell>
          <cell r="E90">
            <v>949.41566597800067</v>
          </cell>
          <cell r="F90">
            <v>0.88016541500396783</v>
          </cell>
        </row>
        <row r="91">
          <cell r="A91">
            <v>113</v>
          </cell>
          <cell r="B91">
            <v>1.5843481371559884</v>
          </cell>
          <cell r="C91">
            <v>474.0721253282959</v>
          </cell>
          <cell r="D91">
            <v>2695.5974556590909</v>
          </cell>
          <cell r="E91">
            <v>948.64209708748501</v>
          </cell>
          <cell r="F91">
            <v>0.90784187050709464</v>
          </cell>
        </row>
        <row r="92">
          <cell r="A92">
            <v>114</v>
          </cell>
          <cell r="B92">
            <v>1.6373369275056739</v>
          </cell>
          <cell r="C92">
            <v>478.31163419476638</v>
          </cell>
          <cell r="D92">
            <v>2697.09443078607</v>
          </cell>
          <cell r="E92">
            <v>947.86417215164408</v>
          </cell>
          <cell r="F92">
            <v>0.93621926004587497</v>
          </cell>
        </row>
        <row r="93">
          <cell r="A93">
            <v>115</v>
          </cell>
          <cell r="B93">
            <v>1.6917703566557418</v>
          </cell>
          <cell r="C93">
            <v>482.5528098442544</v>
          </cell>
          <cell r="D93">
            <v>2698.5847830614284</v>
          </cell>
          <cell r="E93">
            <v>947.08190132351262</v>
          </cell>
          <cell r="F93">
            <v>0.9653107539371234</v>
          </cell>
        </row>
        <row r="94">
          <cell r="A94">
            <v>116</v>
          </cell>
          <cell r="B94">
            <v>1.747677968166127</v>
          </cell>
          <cell r="C94">
            <v>486.79567716063553</v>
          </cell>
          <cell r="D94">
            <v>2700.0684282042785</v>
          </cell>
          <cell r="E94">
            <v>946.29529422761493</v>
          </cell>
          <cell r="F94">
            <v>0.99512967845751188</v>
          </cell>
        </row>
        <row r="95">
          <cell r="A95">
            <v>117</v>
          </cell>
          <cell r="B95">
            <v>1.8050896735787203</v>
          </cell>
          <cell r="C95">
            <v>491.04026120545655</v>
          </cell>
          <cell r="D95">
            <v>2701.5452817924302</v>
          </cell>
          <cell r="E95">
            <v>945.5043599654183</v>
          </cell>
          <cell r="F95">
            <v>1.0256895167365572</v>
          </cell>
        </row>
        <row r="96">
          <cell r="A96">
            <v>118</v>
          </cell>
          <cell r="B96">
            <v>1.8640357528617977</v>
          </cell>
          <cell r="C96">
            <v>495.28658722344085</v>
          </cell>
          <cell r="D96">
            <v>2703.015259287798</v>
          </cell>
          <cell r="E96">
            <v>944.70910712057048</v>
          </cell>
          <cell r="F96">
            <v>1.0570039096677666</v>
          </cell>
        </row>
        <row r="97">
          <cell r="A97">
            <v>119</v>
          </cell>
          <cell r="B97">
            <v>1.9245468548089635</v>
          </cell>
          <cell r="C97">
            <v>499.53468064801717</v>
          </cell>
          <cell r="D97">
            <v>2704.4782760612629</v>
          </cell>
          <cell r="E97">
            <v>943.90954376392358</v>
          </cell>
          <cell r="F97">
            <v>1.0890866568388504</v>
          </cell>
        </row>
        <row r="98">
          <cell r="A98">
            <v>120</v>
          </cell>
          <cell r="B98">
            <v>1.9866539973930177</v>
          </cell>
          <cell r="C98">
            <v>503.78456710686413</v>
          </cell>
          <cell r="D98">
            <v>2705.9342474168702</v>
          </cell>
          <cell r="E98">
            <v>943.10567745835317</v>
          </cell>
          <cell r="F98">
            <v>1.1219517174817994</v>
          </cell>
        </row>
        <row r="99">
          <cell r="A99">
            <v>121</v>
          </cell>
          <cell r="B99">
            <v>2.0503885680755252</v>
          </cell>
          <cell r="C99">
            <v>508.03627242748661</v>
          </cell>
          <cell r="D99">
            <v>2707.3830886152209</v>
          </cell>
          <cell r="E99">
            <v>942.29751526337384</v>
          </cell>
          <cell r="F99">
            <v>1.1556132114438531</v>
          </cell>
        </row>
        <row r="100">
          <cell r="A100">
            <v>122</v>
          </cell>
          <cell r="B100">
            <v>2.1157823240724629</v>
          </cell>
          <cell r="C100">
            <v>512.2898226428041</v>
          </cell>
          <cell r="D100">
            <v>2708.8247148959422</v>
          </cell>
          <cell r="E100">
            <v>941.48506373956161</v>
          </cell>
          <cell r="F100">
            <v>1.1900854201801792</v>
          </cell>
        </row>
        <row r="101">
          <cell r="A101">
            <v>123</v>
          </cell>
          <cell r="B101">
            <v>2.182867392576727</v>
          </cell>
          <cell r="C101">
            <v>516.54524399676711</v>
          </cell>
          <cell r="D101">
            <v>2710.2590414991109</v>
          </cell>
          <cell r="E101">
            <v>940.66832895278128</v>
          </cell>
          <cell r="F101">
            <v>1.2253827877693315</v>
          </cell>
        </row>
        <row r="102">
          <cell r="A102">
            <v>124</v>
          </cell>
          <cell r="B102">
            <v>2.2516762709380016</v>
          </cell>
          <cell r="C102">
            <v>520.80256294998253</v>
          </cell>
          <cell r="D102">
            <v>2711.6859836855024</v>
          </cell>
          <cell r="E102">
            <v>939.84731647822855</v>
          </cell>
          <cell r="F102">
            <v>1.2615199219524276</v>
          </cell>
        </row>
        <row r="103">
          <cell r="A103">
            <v>125</v>
          </cell>
          <cell r="B103">
            <v>2.3222418268006848</v>
          </cell>
          <cell r="C103">
            <v>525.06180618537303</v>
          </cell>
          <cell r="D103">
            <v>2713.1054567555561</v>
          </cell>
          <cell r="E103">
            <v>939.02203140428867</v>
          </cell>
          <cell r="F103">
            <v>1.29851159519711</v>
          </cell>
        </row>
        <row r="104">
          <cell r="A104">
            <v>126</v>
          </cell>
          <cell r="B104">
            <v>2.3945972982004866</v>
          </cell>
          <cell r="C104">
            <v>529.32300061383683</v>
          </cell>
          <cell r="D104">
            <v>2714.5173760669472</v>
          </cell>
          <cell r="E104">
            <v>938.192478336215</v>
          </cell>
          <cell r="F104">
            <v>1.3363727457873495</v>
          </cell>
        </row>
        <row r="105">
          <cell r="A105">
            <v>127</v>
          </cell>
          <cell r="B105">
            <v>2.4687762936203805</v>
          </cell>
          <cell r="C105">
            <v>533.58617337994349</v>
          </cell>
          <cell r="D105">
            <v>2715.921657050651</v>
          </cell>
          <cell r="E105">
            <v>937.35866139963412</v>
          </cell>
          <cell r="F105">
            <v>1.3751184789402049</v>
          </cell>
        </row>
        <row r="106">
          <cell r="A106">
            <v>128</v>
          </cell>
          <cell r="B106">
            <v>2.5448127920065455</v>
          </cell>
          <cell r="C106">
            <v>537.85135186763182</v>
          </cell>
          <cell r="D106">
            <v>2717.3182152254117</v>
          </cell>
          <cell r="E106">
            <v>936.52058424387747</v>
          </cell>
          <cell r="F106">
            <v>1.4147640679506612</v>
          </cell>
        </row>
        <row r="107">
          <cell r="A107">
            <v>129</v>
          </cell>
          <cell r="B107">
            <v>2.6227411427450731</v>
          </cell>
          <cell r="C107">
            <v>542.11856370593694</v>
          </cell>
          <cell r="D107">
            <v>2718.7069662105155</v>
          </cell>
          <cell r="E107">
            <v>935.67825004514532</v>
          </cell>
          <cell r="F107">
            <v>1.4553249553657783</v>
          </cell>
        </row>
        <row r="108">
          <cell r="A108">
            <v>130</v>
          </cell>
          <cell r="B108">
            <v>2.7025960655999781</v>
          </cell>
          <cell r="C108">
            <v>546.38783677473054</v>
          </cell>
          <cell r="D108">
            <v>2720.0878257367926</v>
          </cell>
          <cell r="E108">
            <v>934.83166150950603</v>
          </cell>
          <cell r="F108">
            <v>1.4968167541892763</v>
          </cell>
        </row>
        <row r="109">
          <cell r="A109">
            <v>131</v>
          </cell>
          <cell r="B109">
            <v>2.7844126506133815</v>
          </cell>
          <cell r="C109">
            <v>550.65919921047612</v>
          </cell>
          <cell r="D109">
            <v>2721.4607096557675</v>
          </cell>
          <cell r="E109">
            <v>933.98082087573277</v>
          </cell>
          <cell r="F109">
            <v>1.5392552491179019</v>
          </cell>
        </row>
        <row r="110">
          <cell r="A110">
            <v>132</v>
          </cell>
          <cell r="B110">
            <v>2.8682263579684584</v>
          </cell>
          <cell r="C110">
            <v>554.93267941201134</v>
          </cell>
          <cell r="D110">
            <v>2722.8255339468933</v>
          </cell>
          <cell r="E110">
            <v>933.12572991798231</v>
          </cell>
          <cell r="F110">
            <v>1.5826563978108079</v>
          </cell>
        </row>
        <row r="111">
          <cell r="A111">
            <v>133</v>
          </cell>
          <cell r="B111">
            <v>2.9540730178160226</v>
          </cell>
          <cell r="C111">
            <v>559.20830604633807</v>
          </cell>
          <cell r="D111">
            <v>2724.1822147228181</v>
          </cell>
          <cell r="E111">
            <v>932.26638994831558</v>
          </cell>
          <cell r="F111">
            <v>1.627036332193347</v>
          </cell>
        </row>
        <row r="112">
          <cell r="A112">
            <v>134</v>
          </cell>
          <cell r="B112">
            <v>3.0419888300652675</v>
          </cell>
          <cell r="C112">
            <v>563.48610805444127</v>
          </cell>
          <cell r="D112">
            <v>2725.5306682326332</v>
          </cell>
          <cell r="E112">
            <v>931.40280181906701</v>
          </cell>
          <cell r="F112">
            <v>1.6724113597965415</v>
          </cell>
        </row>
        <row r="113">
          <cell r="A113">
            <v>135</v>
          </cell>
          <cell r="B113">
            <v>3.1320103641396226</v>
          </cell>
          <cell r="C113">
            <v>567.76611465711733</v>
          </cell>
          <cell r="D113">
            <v>2726.8708108630676</v>
          </cell>
          <cell r="E113">
            <v>930.53496592505985</v>
          </cell>
          <cell r="F113">
            <v>1.7187979651337508</v>
          </cell>
        </row>
        <row r="114">
          <cell r="A114">
            <v>136</v>
          </cell>
          <cell r="B114">
            <v>3.2241745586984152</v>
          </cell>
          <cell r="C114">
            <v>572.04835536083533</v>
          </cell>
          <cell r="D114">
            <v>2728.2025591376082</v>
          </cell>
          <cell r="E114">
            <v>929.66288220567696</v>
          </cell>
          <cell r="F114">
            <v>1.7662128111159563</v>
          </cell>
        </row>
        <row r="115">
          <cell r="A115">
            <v>137</v>
          </cell>
          <cell r="B115">
            <v>3.31851872132499</v>
          </cell>
          <cell r="C115">
            <v>576.33285996360473</v>
          </cell>
          <cell r="D115">
            <v>2729.5258297135269</v>
          </cell>
          <cell r="E115">
            <v>928.78655014677929</v>
          </cell>
          <cell r="F115">
            <v>1.8146727405070875</v>
          </cell>
        </row>
        <row r="116">
          <cell r="A116">
            <v>138</v>
          </cell>
          <cell r="B116">
            <v>3.4150805281822292</v>
          </cell>
          <cell r="C116">
            <v>580.61965856087681</v>
          </cell>
          <cell r="D116">
            <v>2730.8405393768126</v>
          </cell>
          <cell r="E116">
            <v>927.90596878248459</v>
          </cell>
          <cell r="F116">
            <v>1.8641947774210086</v>
          </cell>
        </row>
        <row r="117">
          <cell r="A117">
            <v>139</v>
          </cell>
          <cell r="B117">
            <v>3.5138980236361683</v>
          </cell>
          <cell r="C117">
            <v>584.90878155146243</v>
          </cell>
          <cell r="D117">
            <v>2732.146605035015</v>
          </cell>
          <cell r="E117">
            <v>927.0211366968017</v>
          </cell>
          <cell r="F117">
            <v>1.9147961288616961</v>
          </cell>
        </row>
        <row r="118">
          <cell r="A118">
            <v>140</v>
          </cell>
          <cell r="B118">
            <v>3.6150096198484878</v>
          </cell>
          <cell r="C118">
            <v>589.20025964347667</v>
          </cell>
          <cell r="D118">
            <v>2733.4439437080232</v>
          </cell>
          <cell r="E118">
            <v>926.13205202512404</v>
          </cell>
          <cell r="F118">
            <v>1.9664941863081919</v>
          </cell>
        </row>
        <row r="119">
          <cell r="A119">
            <v>141</v>
          </cell>
          <cell r="B119">
            <v>3.7184540963386583</v>
          </cell>
          <cell r="C119">
            <v>593.49412386030508</v>
          </cell>
          <cell r="D119">
            <v>2734.7324725167987</v>
          </cell>
          <cell r="E119">
            <v>925.23871245558439</v>
          </cell>
          <cell r="F119">
            <v>2.0193065273459778</v>
          </cell>
        </row>
        <row r="120">
          <cell r="A120">
            <v>142</v>
          </cell>
          <cell r="B120">
            <v>3.8242705995167006</v>
          </cell>
          <cell r="C120">
            <v>597.79040554659809</v>
          </cell>
          <cell r="D120">
            <v>2736.0121086701101</v>
          </cell>
          <cell r="E120">
            <v>924.34111523027207</v>
          </cell>
          <cell r="F120">
            <v>2.0732509173465266</v>
          </cell>
        </row>
        <row r="121">
          <cell r="A121">
            <v>143</v>
          </cell>
          <cell r="B121">
            <v>3.9324986421870807</v>
          </cell>
          <cell r="C121">
            <v>602.08913637429578</v>
          </cell>
          <cell r="D121">
            <v>2737.2827694493158</v>
          </cell>
          <cell r="E121">
            <v>923.43925714631484</v>
          </cell>
          <cell r="F121">
            <v>2.1283453111965946</v>
          </cell>
        </row>
        <row r="122">
          <cell r="A122">
            <v>144</v>
          </cell>
          <cell r="B122">
            <v>4.0431781030248564</v>
          </cell>
          <cell r="C122">
            <v>606.39034834867346</v>
          </cell>
          <cell r="D122">
            <v>2738.5443721912529</v>
          </cell>
          <cell r="E122">
            <v>922.53313455682564</v>
          </cell>
          <cell r="F122">
            <v>2.1846078550791672</v>
          </cell>
        </row>
        <row r="123">
          <cell r="A123">
            <v>145</v>
          </cell>
          <cell r="B123">
            <v>4.156349226024707</v>
          </cell>
          <cell r="C123">
            <v>610.69407381442772</v>
          </cell>
          <cell r="D123">
            <v>2739.7968342693021</v>
          </cell>
          <cell r="E123">
            <v>921.62274337171652</v>
          </cell>
          <cell r="F123">
            <v>2.2420568883077374</v>
          </cell>
        </row>
        <row r="124">
          <cell r="A124">
            <v>146</v>
          </cell>
          <cell r="B124">
            <v>4.2720526199237705</v>
          </cell>
          <cell r="C124">
            <v>615.00034546178449</v>
          </cell>
          <cell r="D124">
            <v>2741.0400730727033</v>
          </cell>
          <cell r="E124">
            <v>920.70807905838114</v>
          </cell>
          <cell r="F124">
            <v>2.3007109452157994</v>
          </cell>
        </row>
        <row r="125">
          <cell r="A125">
            <v>147</v>
          </cell>
          <cell r="B125">
            <v>4.3903292575990251</v>
          </cell>
          <cell r="C125">
            <v>619.30919633264921</v>
          </cell>
          <cell r="D125">
            <v>2742.2740059842104</v>
          </cell>
          <cell r="E125">
            <v>919.78913664224513</v>
          </cell>
          <cell r="F125">
            <v>2.3605887571033515</v>
          </cell>
        </row>
        <row r="126">
          <cell r="A126">
            <v>148</v>
          </cell>
          <cell r="B126">
            <v>4.5112204754401954</v>
          </cell>
          <cell r="C126">
            <v>623.6206598267845</v>
          </cell>
          <cell r="D126">
            <v>2743.4985503561743</v>
          </cell>
          <cell r="E126">
            <v>918.86591070718782</v>
          </cell>
          <cell r="F126">
            <v>2.4217092542423773</v>
          </cell>
        </row>
        <row r="127">
          <cell r="A127">
            <v>149</v>
          </cell>
          <cell r="B127">
            <v>4.6347679726988869</v>
          </cell>
          <cell r="C127">
            <v>627.93476970803283</v>
          </cell>
          <cell r="D127">
            <v>2744.7136234851532</v>
          </cell>
          <cell r="E127">
            <v>917.93839539583485</v>
          </cell>
          <cell r="F127">
            <v>2.4840915679431577</v>
          </cell>
        </row>
        <row r="128">
          <cell r="A128">
            <v>150</v>
          </cell>
          <cell r="B128">
            <v>4.7610138108149265</v>
          </cell>
          <cell r="C128">
            <v>632.25156011057356</v>
          </cell>
          <cell r="D128">
            <v>2745.9191425851614</v>
          </cell>
          <cell r="E128">
            <v>917.00658440972177</v>
          </cell>
          <cell r="F128">
            <v>2.5477550326834315</v>
          </cell>
        </row>
        <row r="129">
          <cell r="A129">
            <v>151</v>
          </cell>
          <cell r="B129">
            <v>4.8900004127206422</v>
          </cell>
          <cell r="C129">
            <v>636.57106554521681</v>
          </cell>
          <cell r="D129">
            <v>2747.1150247596584</v>
          </cell>
          <cell r="E129">
            <v>916.07047100933187</v>
          </cell>
          <cell r="F129">
            <v>2.6127191883023357</v>
          </cell>
        </row>
        <row r="130">
          <cell r="A130">
            <v>152</v>
          </cell>
          <cell r="B130">
            <v>5.0217705621240949</v>
          </cell>
          <cell r="C130">
            <v>640.89332090575203</v>
          </cell>
          <cell r="D130">
            <v>2748.3011869723996</v>
          </cell>
          <cell r="E130">
            <v>915.1300480140053</v>
          </cell>
          <cell r="F130">
            <v>2.6790037822612325</v>
          </cell>
        </row>
        <row r="131">
          <cell r="A131">
            <v>153</v>
          </cell>
          <cell r="B131">
            <v>5.1563674027719131</v>
          </cell>
          <cell r="C131">
            <v>645.21836147533133</v>
          </cell>
          <cell r="D131">
            <v>2749.4775460172646</v>
          </cell>
          <cell r="E131">
            <v>914.18530780172421</v>
          </cell>
          <cell r="F131">
            <v>2.746628771973362</v>
          </cell>
        </row>
        <row r="132">
          <cell r="A132">
            <v>154</v>
          </cell>
          <cell r="B132">
            <v>5.2938344376929178</v>
          </cell>
          <cell r="C132">
            <v>649.54622293290618</v>
          </cell>
          <cell r="D132">
            <v>2750.6440184871853</v>
          </cell>
          <cell r="E132">
            <v>913.23624230876942</v>
          </cell>
          <cell r="F132">
            <v>2.8156143272045968</v>
          </cell>
        </row>
        <row r="133">
          <cell r="A133">
            <v>155</v>
          </cell>
          <cell r="B133">
            <v>5.4342155284230165</v>
          </cell>
          <cell r="C133">
            <v>653.87694135970855</v>
          </cell>
          <cell r="D133">
            <v>2751.8005207422971</v>
          </cell>
          <cell r="E133">
            <v>912.28284302925522</v>
          </cell>
          <cell r="F133">
            <v>2.8859808325471974</v>
          </cell>
        </row>
        <row r="134">
          <cell r="A134">
            <v>156</v>
          </cell>
          <cell r="B134">
            <v>5.5775548942126338</v>
          </cell>
          <cell r="C134">
            <v>658.21055324579265</v>
          </cell>
          <cell r="D134">
            <v>2752.9469688774352</v>
          </cell>
          <cell r="E134">
            <v>911.32510101453477</v>
          </cell>
          <cell r="F134">
            <v>2.9577488899689612</v>
          </cell>
        </row>
        <row r="135">
          <cell r="A135">
            <v>157</v>
          </cell>
          <cell r="B135">
            <v>5.7238971112173411</v>
          </cell>
          <cell r="C135">
            <v>662.54709549662323</v>
          </cell>
          <cell r="D135">
            <v>2754.0832786891019</v>
          </cell>
          <cell r="E135">
            <v>910.36300687248524</v>
          </cell>
          <cell r="F135">
            <v>3.0309393214398437</v>
          </cell>
        </row>
        <row r="136">
          <cell r="A136">
            <v>158</v>
          </cell>
          <cell r="B136">
            <v>5.8732871116725516</v>
          </cell>
          <cell r="C136">
            <v>666.88660543972628</v>
          </cell>
          <cell r="D136">
            <v>2755.2093656420302</v>
          </cell>
          <cell r="E136">
            <v>909.39655076666327</v>
          </cell>
          <cell r="F136">
            <v>3.1055731716382708</v>
          </cell>
        </row>
        <row r="137">
          <cell r="A137">
            <v>159</v>
          </cell>
          <cell r="B137">
            <v>6.0257701830534298</v>
          </cell>
          <cell r="C137">
            <v>671.22912083139818</v>
          </cell>
          <cell r="D137">
            <v>2756.325144835459</v>
          </cell>
          <cell r="E137">
            <v>908.42572241533969</v>
          </cell>
          <cell r="F137">
            <v>3.18167171073959</v>
          </cell>
        </row>
        <row r="138">
          <cell r="A138">
            <v>160</v>
          </cell>
          <cell r="B138">
            <v>6.1813919672205397</v>
          </cell>
          <cell r="C138">
            <v>675.57467986347638</v>
          </cell>
          <cell r="D138">
            <v>2757.4305309692477</v>
          </cell>
          <cell r="E138">
            <v>907.45051109040674</v>
          </cell>
          <cell r="F138">
            <v>3.2592564372887538</v>
          </cell>
        </row>
        <row r="139">
          <cell r="A139">
            <v>161</v>
          </cell>
          <cell r="B139">
            <v>6.3401984595524645</v>
          </cell>
          <cell r="C139">
            <v>679.92332117017963</v>
          </cell>
          <cell r="D139">
            <v>2758.5254383099391</v>
          </cell>
          <cell r="E139">
            <v>906.47090561616074</v>
          </cell>
          <cell r="F139">
            <v>3.3383490811598135</v>
          </cell>
        </row>
        <row r="140">
          <cell r="A140">
            <v>162</v>
          </cell>
          <cell r="B140">
            <v>6.5022360080661521</v>
          </cell>
          <cell r="C140">
            <v>684.27508383501436</v>
          </cell>
          <cell r="D140">
            <v>2759.6097806568851</v>
          </cell>
          <cell r="E140">
            <v>905.48689436795905</v>
          </cell>
          <cell r="F140">
            <v>3.4189716066045457</v>
          </cell>
        </row>
        <row r="141">
          <cell r="A141">
            <v>163</v>
          </cell>
          <cell r="B141">
            <v>6.667551312525978</v>
          </cell>
          <cell r="C141">
            <v>688.63000739775134</v>
          </cell>
          <cell r="D141">
            <v>2760.6834713085418</v>
          </cell>
          <cell r="E141">
            <v>904.49846527075226</v>
          </cell>
          <cell r="F141">
            <v>3.5011462153927186</v>
          </cell>
        </row>
        <row r="142">
          <cell r="A142">
            <v>164</v>
          </cell>
          <cell r="B142">
            <v>6.8361914235422478</v>
          </cell>
          <cell r="C142">
            <v>692.98813186148095</v>
          </cell>
          <cell r="D142">
            <v>2761.7464230290393</v>
          </cell>
          <cell r="E142">
            <v>903.50560579748787</v>
          </cell>
          <cell r="F142">
            <v>3.5848953500464367</v>
          </cell>
        </row>
        <row r="143">
          <cell r="A143">
            <v>165</v>
          </cell>
          <cell r="B143">
            <v>7.0082037416604726</v>
          </cell>
          <cell r="C143">
            <v>697.34949769974514</v>
          </cell>
          <cell r="D143">
            <v>2762.7985480151096</v>
          </cell>
          <cell r="E143">
            <v>902.50830296738843</v>
          </cell>
          <cell r="F143">
            <v>3.6702416971713379</v>
          </cell>
        </row>
        <row r="144">
          <cell r="A144">
            <v>166</v>
          </cell>
          <cell r="B144">
            <v>7.1836360164417776</v>
          </cell>
          <cell r="C144">
            <v>701.71414586374954</v>
          </cell>
          <cell r="D144">
            <v>2763.8397578634813</v>
          </cell>
          <cell r="E144">
            <v>901.50654334410183</v>
          </cell>
          <cell r="F144">
            <v>3.7572081908870008</v>
          </cell>
        </row>
        <row r="145">
          <cell r="A145">
            <v>167</v>
          </cell>
          <cell r="B145">
            <v>7.362536345536018</v>
          </cell>
          <cell r="C145">
            <v>706.08211778966256</v>
          </cell>
          <cell r="D145">
            <v>2764.8699635388011</v>
          </cell>
          <cell r="E145">
            <v>900.50031303372157</v>
          </cell>
          <cell r="F145">
            <v>3.8458180163595941</v>
          </cell>
        </row>
        <row r="146">
          <cell r="A146">
            <v>168</v>
          </cell>
          <cell r="B146">
            <v>7.544953173747933</v>
          </cell>
          <cell r="C146">
            <v>710.45345540600385</v>
          </cell>
          <cell r="D146">
            <v>2765.8890753421715</v>
          </cell>
          <cell r="E146">
            <v>899.48959768267878</v>
          </cell>
          <cell r="F146">
            <v>3.9360946134392258</v>
          </cell>
        </row>
        <row r="147">
          <cell r="A147">
            <v>169</v>
          </cell>
          <cell r="B147">
            <v>7.7309352920977226</v>
          </cell>
          <cell r="C147">
            <v>714.82820114112121</v>
          </cell>
          <cell r="D147">
            <v>2766.8970028803647</v>
          </cell>
          <cell r="E147">
            <v>898.47438247550303</v>
          </cell>
          <cell r="F147">
            <v>4.0280616804050631</v>
          </cell>
        </row>
        <row r="148">
          <cell r="A148">
            <v>170</v>
          </cell>
          <cell r="B148">
            <v>7.9205318368769291</v>
          </cell>
          <cell r="C148">
            <v>719.20639793076975</v>
          </cell>
          <cell r="D148">
            <v>2767.8936550357662</v>
          </cell>
          <cell r="E148">
            <v>897.45465213245086</v>
          </cell>
          <cell r="F148">
            <v>4.1217431778211076</v>
          </cell>
        </row>
        <row r="149">
          <cell r="A149">
            <v>171</v>
          </cell>
          <cell r="B149">
            <v>8.1137922887001981</v>
          </cell>
          <cell r="C149">
            <v>723.58808922578407</v>
          </cell>
          <cell r="D149">
            <v>2768.878939937109</v>
          </cell>
          <cell r="E149">
            <v>896.4303909070012</v>
          </cell>
          <cell r="F149">
            <v>4.2171633325054261</v>
          </cell>
        </row>
        <row r="150">
          <cell r="A150">
            <v>172</v>
          </cell>
          <cell r="B150">
            <v>8.3107664715545049</v>
          </cell>
          <cell r="C150">
            <v>727.9733189998633</v>
          </cell>
          <cell r="D150">
            <v>2769.8527649310245</v>
          </cell>
          <cell r="E150">
            <v>895.40158258321571</v>
          </cell>
          <cell r="F150">
            <v>4.3143466416162539</v>
          </cell>
        </row>
        <row r="151">
          <cell r="A151">
            <v>173</v>
          </cell>
          <cell r="B151">
            <v>8.5115045518462882</v>
          </cell>
          <cell r="C151">
            <v>732.36213175745513</v>
          </cell>
          <cell r="D151">
            <v>2770.8150365544511</v>
          </cell>
          <cell r="E151">
            <v>894.36821047296257</v>
          </cell>
          <cell r="F151">
            <v>4.4133178768578727</v>
          </cell>
        </row>
        <row r="152">
          <cell r="A152">
            <v>174</v>
          </cell>
          <cell r="B152">
            <v>8.7160570374478219</v>
          </cell>
          <cell r="C152">
            <v>736.75457254176047</v>
          </cell>
          <cell r="D152">
            <v>2771.7656605079192</v>
          </cell>
          <cell r="E152">
            <v>893.33025741300287</v>
          </cell>
          <cell r="F152">
            <v>4.5141020888097128</v>
          </cell>
        </row>
        <row r="153">
          <cell r="A153">
            <v>175</v>
          </cell>
          <cell r="B153">
            <v>8.9244747767434571</v>
          </cell>
          <cell r="C153">
            <v>741.15068694285139</v>
          </cell>
          <cell r="D153">
            <v>2772.7045416297278</v>
          </cell>
          <cell r="E153">
            <v>892.28770576193472</v>
          </cell>
          <cell r="F153">
            <v>4.616724611381871</v>
          </cell>
        </row>
        <row r="154">
          <cell r="A154">
            <v>176</v>
          </cell>
          <cell r="B154">
            <v>9.1368089576771521</v>
          </cell>
          <cell r="C154">
            <v>745.55052110591259</v>
          </cell>
          <cell r="D154">
            <v>2773.6315838710179</v>
          </cell>
          <cell r="E154">
            <v>891.24053739699616</v>
          </cell>
          <cell r="F154">
            <v>4.7212110664007652</v>
          </cell>
        </row>
        <row r="155">
          <cell r="A155">
            <v>177</v>
          </cell>
          <cell r="B155">
            <v>9.3531111068018937</v>
          </cell>
          <cell r="C155">
            <v>749.9541217396079</v>
          </cell>
          <cell r="D155">
            <v>2774.5466902717367</v>
          </cell>
          <cell r="E155">
            <v>890.18873371072368</v>
          </cell>
          <cell r="F155">
            <v>4.8275873683282713</v>
          </cell>
        </row>
        <row r="156">
          <cell r="A156">
            <v>178</v>
          </cell>
          <cell r="B156">
            <v>9.5734330883322301</v>
          </cell>
          <cell r="C156">
            <v>754.36153612458054</v>
          </cell>
          <cell r="D156">
            <v>2775.4497629374869</v>
          </cell>
          <cell r="E156">
            <v>889.13227560746202</v>
          </cell>
          <cell r="F156">
            <v>4.9358797291181986</v>
          </cell>
        </row>
        <row r="157">
          <cell r="A157">
            <v>179</v>
          </cell>
          <cell r="B157">
            <v>9.797827103200996</v>
          </cell>
          <cell r="C157">
            <v>758.77281212209095</v>
          </cell>
          <cell r="D157">
            <v>2776.3407030172325</v>
          </cell>
          <cell r="E157">
            <v>888.0711434997246</v>
          </cell>
          <cell r="F157">
            <v>5.0461146632139426</v>
          </cell>
        </row>
        <row r="158">
          <cell r="A158">
            <v>180</v>
          </cell>
          <cell r="B158">
            <v>10.026345688120941</v>
          </cell>
          <cell r="C158">
            <v>763.18799818279297</v>
          </cell>
          <cell r="D158">
            <v>2777.2194106818442</v>
          </cell>
          <cell r="E158">
            <v>887.00531730440139</v>
          </cell>
          <cell r="F158">
            <v>5.1583189926910959</v>
          </cell>
        </row>
        <row r="159">
          <cell r="A159">
            <v>181</v>
          </cell>
          <cell r="B159">
            <v>10.259041714652595</v>
          </cell>
          <cell r="C159">
            <v>767.60714335566252</v>
          </cell>
          <cell r="D159">
            <v>2778.0857851034457</v>
          </cell>
          <cell r="E159">
            <v>885.93477643880976</v>
          </cell>
          <cell r="F159">
            <v>5.272519852549288</v>
          </cell>
        </row>
        <row r="160">
          <cell r="A160">
            <v>182</v>
          </cell>
          <cell r="B160">
            <v>10.495968388279344</v>
          </cell>
          <cell r="C160">
            <v>772.03029729707578</v>
          </cell>
          <cell r="D160">
            <v>2778.9397244355168</v>
          </cell>
          <cell r="E160">
            <v>884.85949981658575</v>
          </cell>
          <cell r="F160">
            <v>5.3887446961574081</v>
          </cell>
        </row>
        <row r="161">
          <cell r="A161">
            <v>183</v>
          </cell>
          <cell r="B161">
            <v>10.737179247490644</v>
          </cell>
          <cell r="C161">
            <v>776.457510280051</v>
          </cell>
          <cell r="D161">
            <v>2779.7811257937151</v>
          </cell>
          <cell r="E161">
            <v>883.77946584341339</v>
          </cell>
          <cell r="F161">
            <v>5.5070213008565174</v>
          </cell>
        </row>
        <row r="162">
          <cell r="A162">
            <v>184</v>
          </cell>
          <cell r="B162">
            <v>10.98272816287453</v>
          </cell>
          <cell r="C162">
            <v>780.88883320365244</v>
          </cell>
          <cell r="D162">
            <v>2780.6098852373557</v>
          </cell>
          <cell r="E162">
            <v>882.69465241258513</v>
          </cell>
          <cell r="F162">
            <v>5.6273777737250121</v>
          </cell>
        </row>
        <row r="163">
          <cell r="A163">
            <v>185</v>
          </cell>
          <cell r="B163">
            <v>11.232669336220471</v>
          </cell>
          <cell r="C163">
            <v>785.32431760256623</v>
          </cell>
          <cell r="D163">
            <v>2781.4258977514996</v>
          </cell>
          <cell r="E163">
            <v>881.60503690039275</v>
          </cell>
          <cell r="F163">
            <v>5.7498425575106795</v>
          </cell>
        </row>
        <row r="164">
          <cell r="A164">
            <v>186</v>
          </cell>
          <cell r="B164">
            <v>11.487057299633783</v>
          </cell>
          <cell r="C164">
            <v>789.76401565686001</v>
          </cell>
          <cell r="D164">
            <v>2782.229057229581</v>
          </cell>
          <cell r="E164">
            <v>880.51059616134103</v>
          </cell>
          <cell r="F164">
            <v>5.8744444367345157</v>
          </cell>
        </row>
        <row r="165">
          <cell r="A165">
            <v>187</v>
          </cell>
          <cell r="B165">
            <v>11.745946914662333</v>
          </cell>
          <cell r="C165">
            <v>794.20798020192149</v>
          </cell>
          <cell r="D165">
            <v>2783.0192564565168</v>
          </cell>
          <cell r="E165">
            <v>879.41130652318236</v>
          </cell>
          <cell r="F165">
            <v>6.001212543971107</v>
          </cell>
        </row>
        <row r="166">
          <cell r="A166">
            <v>188</v>
          </cell>
          <cell r="B166">
            <v>12.009393371436985</v>
          </cell>
          <cell r="C166">
            <v>798.65626473859402</v>
          </cell>
          <cell r="D166">
            <v>2783.7963870922276</v>
          </cell>
          <cell r="E166">
            <v>878.30714378176458</v>
          </cell>
          <cell r="F166">
            <v>6.1301763663108781</v>
          </cell>
        </row>
        <row r="167">
          <cell r="A167">
            <v>189</v>
          </cell>
          <cell r="B167">
            <v>12.277452187826889</v>
          </cell>
          <cell r="C167">
            <v>803.10892344351078</v>
          </cell>
          <cell r="D167">
            <v>2784.5603396554957</v>
          </cell>
          <cell r="E167">
            <v>877.19808319568961</v>
          </cell>
          <cell r="F167">
            <v>6.261365752009513</v>
          </cell>
        </row>
        <row r="168">
          <cell r="A168">
            <v>190</v>
          </cell>
          <cell r="B168">
            <v>12.550179208610466</v>
          </cell>
          <cell r="C168">
            <v>807.56601117963942</v>
          </cell>
          <cell r="D168">
            <v>2785.3110035080936</v>
          </cell>
          <cell r="E168">
            <v>876.08409948077349</v>
          </cell>
          <cell r="F168">
            <v>6.3948109173298775</v>
          </cell>
        </row>
        <row r="169">
          <cell r="A169">
            <v>191</v>
          </cell>
          <cell r="B169">
            <v>12.827630604663501</v>
          </cell>
          <cell r="C169">
            <v>812.02758350703755</v>
          </cell>
          <cell r="D169">
            <v>2786.0482668391105</v>
          </cell>
          <cell r="E169">
            <v>874.96516680430489</v>
          </cell>
          <cell r="F169">
            <v>6.5305424535822416</v>
          </cell>
        </row>
        <row r="170">
          <cell r="A170">
            <v>192</v>
          </cell>
          <cell r="B170">
            <v>13.109862872165397</v>
          </cell>
          <cell r="C170">
            <v>816.49369669383964</v>
          </cell>
          <cell r="D170">
            <v>2786.7720166493968</v>
          </cell>
          <cell r="E170">
            <v>873.84125877909469</v>
          </cell>
          <cell r="F170">
            <v>6.6685913343685872</v>
          </cell>
        </row>
        <row r="171">
          <cell r="A171">
            <v>193</v>
          </cell>
          <cell r="B171">
            <v>13.396932831824863</v>
          </cell>
          <cell r="C171">
            <v>820.96440772747133</v>
          </cell>
          <cell r="D171">
            <v>2787.4821387360603</v>
          </cell>
          <cell r="E171">
            <v>872.71234845730783</v>
          </cell>
          <cell r="F171">
            <v>6.8089889230370977</v>
          </cell>
        </row>
        <row r="172">
          <cell r="A172">
            <v>194</v>
          </cell>
          <cell r="B172">
            <v>13.688897628125954</v>
          </cell>
          <cell r="C172">
            <v>825.43977432611098</v>
          </cell>
          <cell r="D172">
            <v>2788.178517676939</v>
          </cell>
          <cell r="E172">
            <v>871.57840832407408</v>
          </cell>
          <cell r="F172">
            <v>6.9517669803528888</v>
          </cell>
        </row>
        <row r="173">
          <cell r="A173">
            <v>195</v>
          </cell>
          <cell r="B173">
            <v>13.985814728596033</v>
          </cell>
          <cell r="C173">
            <v>829.91985495039796</v>
          </cell>
          <cell r="D173">
            <v>2788.8610368149775</v>
          </cell>
          <cell r="E173">
            <v>870.43941029086602</v>
          </cell>
          <cell r="F173">
            <v>7.0969576723915972</v>
          </cell>
        </row>
        <row r="174">
          <cell r="A174">
            <v>196</v>
          </cell>
          <cell r="B174">
            <v>14.287741923096615</v>
          </cell>
          <cell r="C174">
            <v>834.40470881540909</v>
          </cell>
          <cell r="D174">
            <v>2789.5295782424405</v>
          </cell>
          <cell r="E174">
            <v>869.29532568863715</v>
          </cell>
          <cell r="F174">
            <v>7.2445935786623306</v>
          </cell>
        </row>
        <row r="175">
          <cell r="A175">
            <v>197</v>
          </cell>
          <cell r="B175">
            <v>14.594737323138498</v>
          </cell>
          <cell r="C175">
            <v>838.89439590290306</v>
          </cell>
          <cell r="D175">
            <v>2790.1840227848938</v>
          </cell>
          <cell r="E175">
            <v>868.14612526071414</v>
          </cell>
          <cell r="F175">
            <v>7.3947077004668866</v>
          </cell>
        </row>
        <row r="176">
          <cell r="A176">
            <v>198</v>
          </cell>
          <cell r="B176">
            <v>14.906859361222182</v>
          </cell>
          <cell r="C176">
            <v>843.38897697384903</v>
          </cell>
          <cell r="D176">
            <v>2790.8242499848893</v>
          </cell>
          <cell r="E176">
            <v>866.99177915542953</v>
          </cell>
          <cell r="F176">
            <v>7.5473334695021501</v>
          </cell>
        </row>
        <row r="177">
          <cell r="A177">
            <v>199</v>
          </cell>
          <cell r="B177">
            <v>15.224166790205359</v>
          </cell>
          <cell r="C177">
            <v>847.88851358124941</v>
          </cell>
          <cell r="D177">
            <v>2791.4501380852907</v>
          </cell>
          <cell r="E177">
            <v>865.8322569184885</v>
          </cell>
          <cell r="F177">
            <v>7.7025047567132212</v>
          </cell>
        </row>
        <row r="178">
          <cell r="A178">
            <v>200</v>
          </cell>
          <cell r="B178">
            <v>15.54671868269824</v>
          </cell>
          <cell r="C178">
            <v>852.39306808327194</v>
          </cell>
          <cell r="D178">
            <v>2792.0615640121823</v>
          </cell>
          <cell r="E178">
            <v>864.66752748505814</v>
          </cell>
          <cell r="F178">
            <v>7.8602558814045018</v>
          </cell>
        </row>
        <row r="179">
          <cell r="A179">
            <v>201</v>
          </cell>
          <cell r="B179">
            <v>15.874574430488122</v>
          </cell>
          <cell r="C179">
            <v>856.90270365669596</v>
          </cell>
          <cell r="D179">
            <v>2792.658403357304</v>
          </cell>
          <cell r="E179">
            <v>863.4975591715687</v>
          </cell>
          <cell r="F179">
            <v>8.0206216206164918</v>
          </cell>
        </row>
        <row r="180">
          <cell r="A180">
            <v>202</v>
          </cell>
          <cell r="B180">
            <v>16.207793743995204</v>
          </cell>
          <cell r="C180">
            <v>861.41748431069311</v>
          </cell>
          <cell r="D180">
            <v>2793.2405303599626</v>
          </cell>
          <cell r="E180">
            <v>862.32231966721429</v>
          </cell>
          <cell r="F180">
            <v>8.1836372187767026</v>
          </cell>
        </row>
        <row r="181">
          <cell r="A181">
            <v>203</v>
          </cell>
          <cell r="B181">
            <v>16.546436651759823</v>
          </cell>
          <cell r="C181">
            <v>865.93747490095222</v>
          </cell>
          <cell r="D181">
            <v>2793.8078178883679</v>
          </cell>
          <cell r="E181">
            <v>861.14177602514326</v>
          </cell>
          <cell r="F181">
            <v>8.3493383976322235</v>
          </cell>
        </row>
        <row r="182">
          <cell r="A182">
            <v>204</v>
          </cell>
          <cell r="B182">
            <v>16.890563499963768</v>
          </cell>
          <cell r="C182">
            <v>870.46274114416497</v>
          </cell>
          <cell r="D182">
            <v>2794.3601374203495</v>
          </cell>
          <cell r="E182">
            <v>859.95589465332284</v>
          </cell>
          <cell r="F182">
            <v>8.517761366473211</v>
          </cell>
        </row>
        <row r="183">
          <cell r="A183">
            <v>205</v>
          </cell>
          <cell r="B183">
            <v>17.240234951986221</v>
          </cell>
          <cell r="C183">
            <v>874.99334963288106</v>
          </cell>
          <cell r="D183">
            <v>2794.8973590234159</v>
          </cell>
          <cell r="E183">
            <v>858.76464130506633</v>
          </cell>
          <cell r="F183">
            <v>8.6889428326555862</v>
          </cell>
        </row>
        <row r="184">
          <cell r="A184">
            <v>206</v>
          </cell>
          <cell r="B184">
            <v>17.595511987995902</v>
          </cell>
          <cell r="C184">
            <v>879.52936785075985</v>
          </cell>
          <cell r="D184">
            <v>2795.4193513341088</v>
          </cell>
          <cell r="E184">
            <v>857.56798106920849</v>
          </cell>
          <cell r="F184">
            <v>8.8629200124321326</v>
          </cell>
        </row>
        <row r="185">
          <cell r="A185">
            <v>207</v>
          </cell>
          <cell r="B185">
            <v>17.956455904581649</v>
          </cell>
          <cell r="C185">
            <v>884.07086418821973</v>
          </cell>
          <cell r="D185">
            <v>2795.9259815366263</v>
          </cell>
          <cell r="E185">
            <v>856.36587835991327</v>
          </cell>
          <cell r="F185">
            <v>9.039730642101814</v>
          </cell>
        </row>
        <row r="186">
          <cell r="A186">
            <v>208</v>
          </cell>
          <cell r="B186">
            <v>18.323128314421652</v>
          </cell>
          <cell r="C186">
            <v>888.61790795851527</v>
          </cell>
          <cell r="D186">
            <v>2796.4171153406774</v>
          </cell>
          <cell r="E186">
            <v>855.15829690609974</v>
          </cell>
          <cell r="F186">
            <v>9.219412989486333</v>
          </cell>
        </row>
        <row r="187">
          <cell r="A187">
            <v>209</v>
          </cell>
          <cell r="B187">
            <v>18.695591145994054</v>
          </cell>
          <cell r="C187">
            <v>893.17056941425096</v>
          </cell>
          <cell r="D187">
            <v>2796.8926169585347</v>
          </cell>
          <cell r="E187">
            <v>853.94519974046841</v>
          </cell>
          <cell r="F187">
            <v>9.4020058657447105</v>
          </cell>
        </row>
        <row r="188">
          <cell r="A188">
            <v>210</v>
          </cell>
          <cell r="B188">
            <v>19.073906643329657</v>
          </cell>
          <cell r="C188">
            <v>897.72891976435699</v>
          </cell>
          <cell r="D188">
            <v>2797.3523490812645</v>
          </cell>
          <cell r="E188">
            <v>852.72654918811145</v>
          </cell>
          <cell r="F188">
            <v>9.587548637535809</v>
          </cell>
        </row>
        <row r="189">
          <cell r="A189">
            <v>211</v>
          </cell>
          <cell r="B189">
            <v>19.458137365809037</v>
          </cell>
          <cell r="C189">
            <v>902.29303119153826</v>
          </cell>
          <cell r="D189">
            <v>2797.7961728540949</v>
          </cell>
          <cell r="E189">
            <v>851.50230685468932</v>
          </cell>
          <cell r="F189">
            <v>9.7760812395401206</v>
          </cell>
        </row>
        <row r="190">
          <cell r="A190">
            <v>212</v>
          </cell>
          <cell r="B190">
            <v>19.848346188005134</v>
          </cell>
          <cell r="C190">
            <v>906.86297687022534</v>
          </cell>
          <cell r="D190">
            <v>2798.2239478509086</v>
          </cell>
          <cell r="E190">
            <v>850.27243361415287</v>
          </cell>
          <cell r="F190">
            <v>9.9676441873517039</v>
          </cell>
        </row>
        <row r="191">
          <cell r="A191">
            <v>213</v>
          </cell>
          <cell r="B191">
            <v>20.244596299573217</v>
          </cell>
          <cell r="C191">
            <v>911.43883098504148</v>
          </cell>
          <cell r="D191">
            <v>2798.6355320478215</v>
          </cell>
          <cell r="E191">
            <v>849.03688959599322</v>
          </cell>
          <cell r="F191">
            <v>10.162278590752134</v>
          </cell>
        </row>
        <row r="192">
          <cell r="A192">
            <v>214</v>
          </cell>
          <cell r="B192">
            <v>20.646951205190046</v>
          </cell>
          <cell r="C192">
            <v>916.02066874981165</v>
          </cell>
          <cell r="D192">
            <v>2799.0307817958287</v>
          </cell>
          <cell r="E192">
            <v>847.79563417199734</v>
          </cell>
          <cell r="F192">
            <v>10.360026167378715</v>
          </cell>
        </row>
        <row r="193">
          <cell r="A193">
            <v>215</v>
          </cell>
          <cell r="B193">
            <v>21.055474724543686</v>
          </cell>
          <cell r="C193">
            <v>920.60856642713861</v>
          </cell>
          <cell r="D193">
            <v>2799.4095517924889</v>
          </cell>
          <cell r="E193">
            <v>846.54862594248743</v>
          </cell>
          <cell r="F193">
            <v>10.560929256799453</v>
          </cell>
        </row>
        <row r="194">
          <cell r="A194">
            <v>216</v>
          </cell>
          <cell r="B194">
            <v>21.470230992376301</v>
          </cell>
          <cell r="C194">
            <v>925.20260134856085</v>
          </cell>
          <cell r="D194">
            <v>2799.7716950526101</v>
          </cell>
          <cell r="E194">
            <v>845.29582272202197</v>
          </cell>
          <cell r="F194">
            <v>10.765030835008353</v>
          </cell>
        </row>
        <row r="195">
          <cell r="A195">
            <v>217</v>
          </cell>
          <cell r="B195">
            <v>21.891284458580916</v>
          </cell>
          <cell r="C195">
            <v>929.80285193533257</v>
          </cell>
          <cell r="D195">
            <v>2800.1170628779178</v>
          </cell>
          <cell r="E195">
            <v>844.03718152453519</v>
          </cell>
          <cell r="F195">
            <v>10.972374529354362</v>
          </cell>
        </row>
        <row r="196">
          <cell r="A196">
            <v>218</v>
          </cell>
          <cell r="B196">
            <v>22.318699888355074</v>
          </cell>
          <cell r="C196">
            <v>934.4093977198371</v>
          </cell>
          <cell r="D196">
            <v>2800.4455048256541</v>
          </cell>
          <cell r="E196">
            <v>842.77265854788664</v>
          </cell>
          <cell r="F196">
            <v>11.18300463391898</v>
          </cell>
        </row>
        <row r="197">
          <cell r="A197">
            <v>219</v>
          </cell>
          <cell r="B197">
            <v>22.752542362412314</v>
          </cell>
          <cell r="C197">
            <v>939.02231936767225</v>
          </cell>
          <cell r="D197">
            <v>2800.7568686760842</v>
          </cell>
          <cell r="E197">
            <v>841.50220915779971</v>
          </cell>
          <cell r="F197">
            <v>11.39696612535708</v>
          </cell>
        </row>
        <row r="198">
          <cell r="A198">
            <v>220</v>
          </cell>
          <cell r="B198">
            <v>23.192877277254244</v>
          </cell>
          <cell r="C198">
            <v>943.64169870043054</v>
          </cell>
          <cell r="D198">
            <v>2801.0510003988547</v>
          </cell>
          <cell r="E198">
            <v>840.22578787115856</v>
          </cell>
          <cell r="F198">
            <v>11.614304679217234</v>
          </cell>
        </row>
        <row r="199">
          <cell r="A199">
            <v>221</v>
          </cell>
          <cell r="B199">
            <v>23.639770345504772</v>
          </cell>
          <cell r="C199">
            <v>948.26761871920792</v>
          </cell>
          <cell r="D199">
            <v>2801.3277441181608</v>
          </cell>
          <cell r="E199">
            <v>838.94334833863456</v>
          </cell>
          <cell r="F199">
            <v>11.83506668675779</v>
          </cell>
        </row>
        <row r="200">
          <cell r="A200">
            <v>222</v>
          </cell>
          <cell r="B200">
            <v>24.09328759630877</v>
          </cell>
          <cell r="C200">
            <v>952.90016362887172</v>
          </cell>
          <cell r="D200">
            <v>2801.5869420766626</v>
          </cell>
          <cell r="E200">
            <v>837.65484332661697</v>
          </cell>
          <cell r="F200">
            <v>12.059299272276334</v>
          </cell>
        </row>
        <row r="201">
          <cell r="A201">
            <v>223</v>
          </cell>
          <cell r="B201">
            <v>24.553495375797084</v>
          </cell>
          <cell r="C201">
            <v>957.53941886311827</v>
          </cell>
          <cell r="D201">
            <v>2801.8284345980956</v>
          </cell>
          <cell r="E201">
            <v>836.3602246984093</v>
          </cell>
          <cell r="F201">
            <v>12.287050310970594</v>
          </cell>
        </row>
        <row r="202">
          <cell r="A202">
            <v>224</v>
          </cell>
          <cell r="B202">
            <v>25.020460347620652</v>
          </cell>
          <cell r="C202">
            <v>962.18547111036287</v>
          </cell>
          <cell r="D202">
            <v>2802.0520600484942</v>
          </cell>
          <cell r="E202">
            <v>835.05944339466839</v>
          </cell>
          <cell r="F202">
            <v>12.518368447350367</v>
          </cell>
        </row>
        <row r="203">
          <cell r="A203">
            <v>225</v>
          </cell>
          <cell r="B203">
            <v>25.494249493555298</v>
          </cell>
          <cell r="C203">
            <v>966.83840834048385</v>
          </cell>
          <cell r="D203">
            <v>2802.2576547959643</v>
          </cell>
          <cell r="E203">
            <v>833.75244941304345</v>
          </cell>
          <cell r="F203">
            <v>12.753303114220374</v>
          </cell>
        </row>
        <row r="204">
          <cell r="A204">
            <v>226</v>
          </cell>
          <cell r="B204">
            <v>25.974930114179809</v>
          </cell>
          <cell r="C204">
            <v>971.49831983247839</v>
          </cell>
          <cell r="D204">
            <v>2802.445053168909</v>
          </cell>
          <cell r="E204">
            <v>832.43919178698798</v>
          </cell>
          <cell r="F204">
            <v>12.991904552255452</v>
          </cell>
        </row>
        <row r="205">
          <cell r="A205">
            <v>227</v>
          </cell>
          <cell r="B205">
            <v>26.462569829629935</v>
          </cell>
          <cell r="C205">
            <v>976.16529620305039</v>
          </cell>
          <cell r="D205">
            <v>2802.6140874126177</v>
          </cell>
          <cell r="E205">
            <v>831.11961856370147</v>
          </cell>
          <cell r="F205">
            <v>13.234223830190746</v>
          </cell>
        </row>
        <row r="206">
          <cell r="A206">
            <v>228</v>
          </cell>
          <cell r="B206">
            <v>26.957236580430394</v>
          </cell>
          <cell r="C206">
            <v>980.83942943618558</v>
          </cell>
          <cell r="D206">
            <v>2802.7645876441143</v>
          </cell>
          <cell r="E206">
            <v>829.79367678116671</v>
          </cell>
          <cell r="F206">
            <v>13.480312865650374</v>
          </cell>
        </row>
        <row r="207">
          <cell r="A207">
            <v>229</v>
          </cell>
          <cell r="B207">
            <v>27.458998628407855</v>
          </cell>
          <cell r="C207">
            <v>985.52081291374907</v>
          </cell>
          <cell r="D207">
            <v>2802.8963818051461</v>
          </cell>
          <cell r="E207">
            <v>828.46131244424248</v>
          </cell>
          <cell r="F207">
            <v>13.730224446639902</v>
          </cell>
        </row>
        <row r="208">
          <cell r="A208">
            <v>230</v>
          </cell>
          <cell r="B208">
            <v>27.967924557686437</v>
          </cell>
          <cell r="C208">
            <v>990.2095414471562</v>
          </cell>
          <cell r="D208">
            <v>2803.0092956132003</v>
          </cell>
          <cell r="E208">
            <v>827.12247049976872</v>
          </cell>
          <cell r="F208">
            <v>13.984012253728345</v>
          </cell>
        </row>
        <row r="209">
          <cell r="A209">
            <v>231</v>
          </cell>
          <cell r="B209">
            <v>28.484083275770441</v>
          </cell>
          <cell r="C209">
            <v>994.90571131016054</v>
          </cell>
          <cell r="D209">
            <v>2803.1031525103986</v>
          </cell>
          <cell r="E209">
            <v>825.77709481064323</v>
          </cell>
          <cell r="F209">
            <v>14.241730882948916</v>
          </cell>
        </row>
        <row r="210">
          <cell r="A210">
            <v>232</v>
          </cell>
          <cell r="B210">
            <v>29.00754401471449</v>
          </cell>
          <cell r="C210">
            <v>999.60942027280907</v>
          </cell>
          <cell r="D210">
            <v>2803.177773610144</v>
          </cell>
          <cell r="E210">
            <v>824.42512812882308</v>
          </cell>
          <cell r="F210">
            <v>14.503435869446427</v>
          </cell>
        </row>
        <row r="211">
          <cell r="A211">
            <v>233</v>
          </cell>
          <cell r="B211">
            <v>29.538376332386271</v>
          </cell>
          <cell r="C211">
            <v>1004.3207676366167</v>
          </cell>
          <cell r="D211">
            <v>2803.232977641349</v>
          </cell>
          <cell r="E211">
            <v>823.06651206720551</v>
          </cell>
          <cell r="F211">
            <v>14.769183711904018</v>
          </cell>
        </row>
        <row r="212">
          <cell r="A212">
            <v>234</v>
          </cell>
          <cell r="B212">
            <v>30.076650113823323</v>
          </cell>
          <cell r="C212">
            <v>1009.0398542710176</v>
          </cell>
          <cell r="D212">
            <v>2803.2685808900924</v>
          </cell>
          <cell r="E212">
            <v>821.7011870703401</v>
          </cell>
          <cell r="F212">
            <v>15.039031897781278</v>
          </cell>
        </row>
        <row r="213">
          <cell r="A213">
            <v>235</v>
          </cell>
          <cell r="B213">
            <v>30.622435572687763</v>
          </cell>
          <cell r="C213">
            <v>1013.7667826511423</v>
          </cell>
          <cell r="D213">
            <v>2803.2843971385219</v>
          </cell>
          <cell r="E213">
            <v>820.32909238391971</v>
          </cell>
          <cell r="F213">
            <v>15.313038929399223</v>
          </cell>
        </row>
        <row r="214">
          <cell r="A214">
            <v>236</v>
          </cell>
          <cell r="B214">
            <v>31.17580325282098</v>
          </cell>
          <cell r="C214">
            <v>1018.5016568969877</v>
          </cell>
          <cell r="D214">
            <v>2803.2802376008267</v>
          </cell>
          <cell r="E214">
            <v>818.95016602299972</v>
          </cell>
          <cell r="F214">
            <v>15.591264350908396</v>
          </cell>
        </row>
        <row r="215">
          <cell r="A215">
            <v>237</v>
          </cell>
          <cell r="B215">
            <v>31.736824029903339</v>
          </cell>
          <cell r="C215">
            <v>1023.2445828140358</v>
          </cell>
          <cell r="D215">
            <v>2803.2559108560754</v>
          </cell>
          <cell r="E215">
            <v>817.56434473888976</v>
          </cell>
          <cell r="F215">
            <v>15.873768776180341</v>
          </cell>
        </row>
        <row r="216">
          <cell r="A216">
            <v>238</v>
          </cell>
          <cell r="B216">
            <v>32.305569113220251</v>
          </cell>
          <cell r="C216">
            <v>1027.9956679353897</v>
          </cell>
          <cell r="D216">
            <v>2803.211222777727</v>
          </cell>
          <cell r="E216">
            <v>816.17156398466045</v>
          </cell>
          <cell r="F216">
            <v>16.160613917662488</v>
          </cell>
        </row>
        <row r="217">
          <cell r="A217">
            <v>239</v>
          </cell>
          <cell r="B217">
            <v>32.882110047539314</v>
          </cell>
          <cell r="C217">
            <v>1032.755021565494</v>
          </cell>
          <cell r="D217">
            <v>2803.1459764595938</v>
          </cell>
          <cell r="E217">
            <v>814.77175787920839</v>
          </cell>
          <cell r="F217">
            <v>16.451862616241094</v>
          </cell>
        </row>
        <row r="218">
          <cell r="A218">
            <v>240</v>
          </cell>
          <cell r="B218">
            <v>33.4665187151016</v>
          </cell>
          <cell r="C218">
            <v>1037.5227548255059</v>
          </cell>
          <cell r="D218">
            <v>2803.0599721380463</v>
          </cell>
          <cell r="E218">
            <v>813.36485916981394</v>
          </cell>
          <cell r="F218">
            <v>16.747578872158229</v>
          </cell>
        </row>
        <row r="219">
          <cell r="A219">
            <v>241</v>
          </cell>
          <cell r="B219">
            <v>34.05886733773184</v>
          </cell>
          <cell r="C219">
            <v>1042.2989807003976</v>
          </cell>
          <cell r="D219">
            <v>2802.9530071102163</v>
          </cell>
          <cell r="E219">
            <v>811.95079919313127</v>
          </cell>
          <cell r="F219">
            <v>17.047827877032343</v>
          </cell>
        </row>
        <row r="220">
          <cell r="A220">
            <v>242</v>
          </cell>
          <cell r="B220">
            <v>34.659228479067998</v>
          </cell>
          <cell r="C220">
            <v>1047.0838140878616</v>
          </cell>
          <cell r="D220">
            <v>2802.8248756479952</v>
          </cell>
          <cell r="E220">
            <v>810.52950783454185</v>
          </cell>
          <cell r="F220">
            <v>17.352676047032318</v>
          </cell>
        </row>
        <row r="221">
          <cell r="A221">
            <v>243</v>
          </cell>
          <cell r="B221">
            <v>35.26767504691945</v>
          </cell>
          <cell r="C221">
            <v>1051.877371849102</v>
          </cell>
          <cell r="D221">
            <v>2802.6753689075467</v>
          </cell>
          <cell r="E221">
            <v>809.10091348580329</v>
          </cell>
          <cell r="F221">
            <v>17.662191057262941</v>
          </cell>
        </row>
        <row r="222">
          <cell r="A222">
            <v>244</v>
          </cell>
          <cell r="B222">
            <v>35.884280295753221</v>
          </cell>
          <cell r="C222">
            <v>1056.6797728615979</v>
          </cell>
          <cell r="D222">
            <v>2802.5042748341243</v>
          </cell>
          <cell r="E222">
            <v>807.66494300092086</v>
          </cell>
          <cell r="F222">
            <v>17.976441877416871</v>
          </cell>
        </row>
        <row r="223">
          <cell r="A223">
            <v>245</v>
          </cell>
          <cell r="B223">
            <v>36.509117829314192</v>
          </cell>
          <cell r="C223">
            <v>1061.4911380739204</v>
          </cell>
          <cell r="D223">
            <v>2802.3113780619337</v>
          </cell>
          <cell r="E223">
            <v>806.22152165016701</v>
          </cell>
          <cell r="F223">
            <v>18.295498808755369</v>
          </cell>
        </row>
        <row r="224">
          <cell r="A224">
            <v>246</v>
          </cell>
          <cell r="B224">
            <v>37.142261603383766</v>
          </cell>
          <cell r="C224">
            <v>1066.3115905627033</v>
          </cell>
          <cell r="D224">
            <v>2802.0964598087835</v>
          </cell>
          <cell r="E224">
            <v>804.7705730721724</v>
          </cell>
          <cell r="F224">
            <v>18.619433522482502</v>
          </cell>
        </row>
        <row r="225">
          <cell r="A225">
            <v>247</v>
          </cell>
          <cell r="B225">
            <v>37.783785928682967</v>
          </cell>
          <cell r="C225">
            <v>1071.1412555918589</v>
          </cell>
          <cell r="D225">
            <v>2801.8592977652688</v>
          </cell>
          <cell r="E225">
            <v>803.31201922400624</v>
          </cell>
          <cell r="F225">
            <v>18.948319099582019</v>
          </cell>
        </row>
        <row r="226">
          <cell r="A226">
            <v>248</v>
          </cell>
          <cell r="B226">
            <v>38.433765473920623</v>
          </cell>
          <cell r="C226">
            <v>1075.9802606741407</v>
          </cell>
          <cell r="D226">
            <v>2801.5996659782622</v>
          </cell>
          <cell r="E226">
            <v>801.84578032916534</v>
          </cell>
          <cell r="F226">
            <v>19.282230072186515</v>
          </cell>
        </row>
        <row r="227">
          <cell r="A227">
            <v>249</v>
          </cell>
          <cell r="B227">
            <v>39.092275268994797</v>
          </cell>
          <cell r="C227">
            <v>1080.8287356351566</v>
          </cell>
          <cell r="D227">
            <v>2801.3173347284251</v>
          </cell>
          <cell r="E227">
            <v>800.37177482338097</v>
          </cell>
          <cell r="F227">
            <v>19.621242466556964</v>
          </cell>
        </row>
        <row r="228">
          <cell r="A228">
            <v>250</v>
          </cell>
          <cell r="B228">
            <v>39.759390708353152</v>
          </cell>
          <cell r="C228">
            <v>1085.686812679947</v>
          </cell>
          <cell r="D228">
            <v>2801.0120704015035</v>
          </cell>
          <cell r="E228">
            <v>798.889919298162</v>
          </cell>
          <cell r="F228">
            <v>19.965433847753427</v>
          </cell>
        </row>
        <row r="229">
          <cell r="A229">
            <v>251</v>
          </cell>
          <cell r="B229">
            <v>40.435187554513945</v>
          </cell>
          <cell r="C229">
            <v>1090.554626462233</v>
          </cell>
          <cell r="D229">
            <v>2800.6836353531717</v>
          </cell>
          <cell r="E229">
            <v>797.40012844197315</v>
          </cell>
          <cell r="F229">
            <v>20.314883366079197</v>
          </cell>
        </row>
        <row r="230">
          <cell r="A230">
            <v>252</v>
          </cell>
          <cell r="B230">
            <v>41.11974194175535</v>
          </cell>
          <cell r="C230">
            <v>1095.4323141564648</v>
          </cell>
          <cell r="D230">
            <v>2800.331787767172</v>
          </cell>
          <cell r="E230">
            <v>795.90231497896161</v>
          </cell>
          <cell r="F230">
            <v>20.66967180538925</v>
          </cell>
        </row>
        <row r="231">
          <cell r="A231">
            <v>253</v>
          </cell>
          <cell r="B231">
            <v>41.813130379980223</v>
          </cell>
          <cell r="C231">
            <v>1100.3200155327893</v>
          </cell>
          <cell r="D231">
            <v>2799.9562815065069</v>
          </cell>
          <cell r="E231">
            <v>794.39638960512923</v>
          </cell>
          <cell r="F231">
            <v>21.029881633357764</v>
          </cell>
        </row>
        <row r="232">
          <cell r="A232">
            <v>254</v>
          </cell>
          <cell r="B232">
            <v>42.515429758757605</v>
          </cell>
          <cell r="C232">
            <v>1105.2178730350645</v>
          </cell>
          <cell r="D232">
            <v>2799.5568659574792</v>
          </cell>
          <cell r="E232">
            <v>792.88226092185255</v>
          </cell>
          <cell r="F232">
            <v>21.395597053800941</v>
          </cell>
        </row>
        <row r="233">
          <cell r="A233">
            <v>255</v>
          </cell>
          <cell r="B233">
            <v>43.226717351552452</v>
          </cell>
          <cell r="C233">
            <v>1110.1260318620641</v>
          </cell>
          <cell r="D233">
            <v>2799.1332858663382</v>
          </cell>
          <cell r="E233">
            <v>791.35983536664764</v>
          </cell>
          <cell r="F233">
            <v>21.766904061162819</v>
          </cell>
        </row>
        <row r="234">
          <cell r="A234">
            <v>256</v>
          </cell>
          <cell r="B234">
            <v>43.947070820144333</v>
          </cell>
          <cell r="C234">
            <v>1115.0446400520057</v>
          </cell>
          <cell r="D234">
            <v>2798.6852811683443</v>
          </cell>
          <cell r="E234">
            <v>789.82901714107379</v>
          </cell>
          <cell r="F234">
            <v>22.143890497270103</v>
          </cell>
        </row>
        <row r="235">
          <cell r="A235">
            <v>257</v>
          </cell>
          <cell r="B235">
            <v>44.676568219247201</v>
          </cell>
          <cell r="C235">
            <v>1119.9738485705523</v>
          </cell>
          <cell r="D235">
            <v>2798.2125868090347</v>
          </cell>
          <cell r="E235">
            <v>788.28970813567071</v>
          </cell>
          <cell r="F235">
            <v>22.526646110475095</v>
          </cell>
        </row>
        <row r="236">
          <cell r="A236">
            <v>258</v>
          </cell>
          <cell r="B236">
            <v>45.415288001331959</v>
          </cell>
          <cell r="C236">
            <v>1124.9138114024452</v>
          </cell>
          <cell r="D236">
            <v>2797.7149325575297</v>
          </cell>
          <cell r="E236">
            <v>786.74180785181977</v>
          </cell>
          <cell r="F236">
            <v>22.915262617304567</v>
          </cell>
        </row>
        <row r="237">
          <cell r="A237">
            <v>259</v>
          </cell>
          <cell r="B237">
            <v>46.163309021663501</v>
          </cell>
          <cell r="C237">
            <v>1129.8646856469172</v>
          </cell>
          <cell r="D237">
            <v>2797.1920428116828</v>
          </cell>
          <cell r="E237">
            <v>785.18521332042008</v>
          </cell>
          <cell r="F237">
            <v>23.309833766745317</v>
          </cell>
        </row>
        <row r="238">
          <cell r="A238">
            <v>260</v>
          </cell>
          <cell r="B238">
            <v>46.920710543553483</v>
          </cell>
          <cell r="C238">
            <v>1134.8266316170632</v>
          </cell>
          <cell r="D238">
            <v>2796.6436363949642</v>
          </cell>
          <cell r="E238">
            <v>783.61981901726676</v>
          </cell>
          <cell r="F238">
            <v>23.710455407296092</v>
          </cell>
        </row>
        <row r="239">
          <cell r="A239">
            <v>261</v>
          </cell>
          <cell r="B239">
            <v>47.687572243844151</v>
          </cell>
          <cell r="C239">
            <v>1139.7998129433272</v>
          </cell>
          <cell r="D239">
            <v>2796.0694263448786</v>
          </cell>
          <cell r="E239">
            <v>782.045516775024</v>
          </cell>
          <cell r="F239">
            <v>24.117225556931977</v>
          </cell>
        </row>
        <row r="240">
          <cell r="A240">
            <v>262</v>
          </cell>
          <cell r="B240">
            <v>48.463974218625118</v>
          </cell>
          <cell r="C240">
            <v>1144.7843966812991</v>
          </cell>
          <cell r="D240">
            <v>2795.4691196928461</v>
          </cell>
          <cell r="E240">
            <v>780.46219569167863</v>
          </cell>
          <cell r="F240">
            <v>24.530244476124885</v>
          </cell>
        </row>
        <row r="241">
          <cell r="A241">
            <v>263</v>
          </cell>
          <cell r="B241">
            <v>49.249996989192191</v>
          </cell>
          <cell r="C241">
            <v>1149.7805534239885</v>
          </cell>
          <cell r="D241">
            <v>2794.8424172354257</v>
          </cell>
          <cell r="E241">
            <v>778.86974203536522</v>
          </cell>
          <cell r="F241">
            <v>24.949614744075962</v>
          </cell>
        </row>
        <row r="242">
          <cell r="A242">
            <v>264</v>
          </cell>
          <cell r="B242">
            <v>50.045721508260215</v>
          </cell>
          <cell r="C242">
            <v>1154.7884574187831</v>
          </cell>
          <cell r="D242">
            <v>2794.1890132967674</v>
          </cell>
          <cell r="E242">
            <v>777.26803914545621</v>
          </cell>
          <cell r="F242">
            <v>25.375441338325317</v>
          </cell>
        </row>
        <row r="243">
          <cell r="A243">
            <v>265</v>
          </cell>
          <cell r="B243">
            <v>50.851229166435239</v>
          </cell>
          <cell r="C243">
            <v>1159.8082866892778</v>
          </cell>
          <cell r="D243">
            <v>2793.5085954822484</v>
          </cell>
          <cell r="E243">
            <v>775.65696732980712</v>
          </cell>
          <cell r="F243">
            <v>25.807831717907675</v>
          </cell>
        </row>
        <row r="244">
          <cell r="A244">
            <v>266</v>
          </cell>
          <cell r="B244">
            <v>51.666601798956847</v>
          </cell>
          <cell r="C244">
            <v>1164.8402231621817</v>
          </cell>
          <cell r="D244">
            <v>2792.8008444232114</v>
          </cell>
          <cell r="E244">
            <v>774.03640375805878</v>
          </cell>
          <cell r="F244">
            <v>26.246895910234926</v>
          </cell>
        </row>
        <row r="245">
          <cell r="A245">
            <v>267</v>
          </cell>
          <cell r="B245">
            <v>52.491921692719743</v>
          </cell>
          <cell r="C245">
            <v>1169.8844527995184</v>
          </cell>
          <cell r="D245">
            <v>2792.0654335127638</v>
          </cell>
          <cell r="E245">
            <v>772.40622235089279</v>
          </cell>
          <cell r="F245">
            <v>26.692746601894061</v>
          </cell>
        </row>
        <row r="246">
          <cell r="A246">
            <v>268</v>
          </cell>
          <cell r="B246">
            <v>53.327271593585181</v>
          </cell>
          <cell r="C246">
            <v>1174.9411657363296</v>
          </cell>
          <cell r="D246">
            <v>2791.3020286325909</v>
          </cell>
          <cell r="E246">
            <v>770.76629366514987</v>
          </cell>
          <cell r="F246">
            <v>27.145499233559327</v>
          </cell>
        </row>
        <row r="247">
          <cell r="A247">
            <v>269</v>
          </cell>
          <cell r="B247">
            <v>54.172734713992767</v>
          </cell>
          <cell r="C247">
            <v>1180.0105564241078</v>
          </cell>
          <cell r="D247">
            <v>2790.5102878707448</v>
          </cell>
          <cell r="E247">
            <v>769.11648477472295</v>
          </cell>
          <cell r="F247">
            <v>27.605272099227648</v>
          </cell>
        </row>
        <row r="248">
          <cell r="A248">
            <v>270</v>
          </cell>
          <cell r="B248">
            <v>55.028394740882831</v>
          </cell>
          <cell r="C248">
            <v>1185.0928237801961</v>
          </cell>
          <cell r="D248">
            <v>2789.6898612303794</v>
          </cell>
          <cell r="E248">
            <v>767.4566591471405</v>
          </cell>
          <cell r="F248">
            <v>28.072186449996206</v>
          </cell>
        </row>
        <row r="249">
          <cell r="A249">
            <v>271</v>
          </cell>
          <cell r="B249">
            <v>55.894335843942514</v>
          </cell>
          <cell r="C249">
            <v>1190.1881713433729</v>
          </cell>
          <cell r="D249">
            <v>2788.8403903293806</v>
          </cell>
          <cell r="E249">
            <v>765.78667651577109</v>
          </cell>
          <cell r="F249">
            <v>28.546366602615198</v>
          </cell>
        </row>
        <row r="250">
          <cell r="A250">
            <v>272</v>
          </cell>
          <cell r="B250">
            <v>56.770642684183777</v>
          </cell>
          <cell r="C250">
            <v>1195.2968074358898</v>
          </cell>
          <cell r="D250">
            <v>2787.9615080908588</v>
          </cell>
          <cell r="E250">
            <v>764.10639274758205</v>
          </cell>
          <cell r="F250">
            <v>29.027940053056835</v>
          </cell>
        </row>
        <row r="251">
          <cell r="A251">
            <v>273</v>
          </cell>
          <cell r="B251">
            <v>57.657400422871341</v>
          </cell>
          <cell r="C251">
            <v>1200.4189453321856</v>
          </cell>
          <cell r="D251">
            <v>2787.0528384244053</v>
          </cell>
          <cell r="E251">
            <v>762.41565970639647</v>
          </cell>
          <cell r="F251">
            <v>29.517037595362275</v>
          </cell>
        </row>
        <row r="252">
          <cell r="A252">
            <v>274</v>
          </cell>
          <cell r="B252">
            <v>58.554694730807704</v>
          </cell>
          <cell r="C252">
            <v>1205.5548034345566</v>
          </cell>
          <cell r="D252">
            <v>2786.1139958980389</v>
          </cell>
          <cell r="E252">
            <v>760.71432511160435</v>
          </cell>
          <cell r="F252">
            <v>30.01379344603447</v>
          </cell>
        </row>
        <row r="253">
          <cell r="A253">
            <v>275</v>
          </cell>
          <cell r="B253">
            <v>59.462611797993539</v>
          </cell>
          <cell r="C253">
            <v>1210.7046054560269</v>
          </cell>
          <cell r="D253">
            <v>2785.1445854006847</v>
          </cell>
          <cell r="E253">
            <v>759.00223239229081</v>
          </cell>
          <cell r="F253">
            <v>30.518345374268375</v>
          </cell>
        </row>
        <row r="254">
          <cell r="A254">
            <v>276</v>
          </cell>
          <cell r="B254">
            <v>60.381238343674106</v>
          </cell>
          <cell r="C254">
            <v>1215.8685806107039</v>
          </cell>
          <cell r="D254">
            <v>2784.1442017950094</v>
          </cell>
          <cell r="E254">
            <v>757.27922053675798</v>
          </cell>
          <cell r="F254">
            <v>31.030834838321706</v>
          </cell>
        </row>
        <row r="255">
          <cell r="A255">
            <v>277</v>
          </cell>
          <cell r="B255">
            <v>61.310661626789368</v>
          </cell>
          <cell r="C255">
            <v>1221.0469638118864</v>
          </cell>
          <cell r="D255">
            <v>2783.1124295603408</v>
          </cell>
          <cell r="E255">
            <v>755.5451239374238</v>
          </cell>
          <cell r="F255">
            <v>31.551407128352583</v>
          </cell>
        </row>
        <row r="256">
          <cell r="A256">
            <v>278</v>
          </cell>
          <cell r="B256">
            <v>62.250969456839051</v>
          </cell>
          <cell r="C256">
            <v>1226.2399958782225</v>
          </cell>
          <cell r="D256">
            <v>2782.048842425364</v>
          </cell>
          <cell r="E256">
            <v>753.79977223109142</v>
          </cell>
          <cell r="F256">
            <v>32.08021151606642</v>
          </cell>
        </row>
        <row r="257">
          <cell r="A257">
            <v>279</v>
          </cell>
          <cell r="B257">
            <v>63.202250205185351</v>
          </cell>
          <cell r="C257">
            <v>1231.4479237482053</v>
          </cell>
          <cell r="D257">
            <v>2780.9530029901125</v>
          </cell>
          <cell r="E257">
            <v>752.04299013459183</v>
          </cell>
          <cell r="F257">
            <v>32.617401411545302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"/>
      <sheetName val="pocket"/>
      <sheetName val="cal"/>
      <sheetName val="data"/>
      <sheetName val="Sheet1"/>
    </sheetNames>
    <sheetDataSet>
      <sheetData sheetId="0"/>
      <sheetData sheetId="1"/>
      <sheetData sheetId="2"/>
      <sheetData sheetId="3">
        <row r="2">
          <cell r="A2" t="str">
            <v>t</v>
          </cell>
          <cell r="B2" t="str">
            <v>p</v>
          </cell>
          <cell r="C2" t="str">
            <v>hf</v>
          </cell>
          <cell r="D2" t="str">
            <v>hg</v>
          </cell>
          <cell r="E2" t="str">
            <v>water den</v>
          </cell>
          <cell r="F2" t="str">
            <v>steam den</v>
          </cell>
        </row>
        <row r="3">
          <cell r="A3">
            <v>25</v>
          </cell>
          <cell r="B3">
            <v>3.1697468549523641E-2</v>
          </cell>
          <cell r="C3">
            <v>104.83838586252887</v>
          </cell>
          <cell r="D3">
            <v>2546.5440588013685</v>
          </cell>
          <cell r="E3">
            <v>997.00383460948751</v>
          </cell>
          <cell r="F3">
            <v>2.3072631665505414E-2</v>
          </cell>
          <cell r="H3">
            <v>0</v>
          </cell>
          <cell r="I3">
            <v>0</v>
          </cell>
          <cell r="J3" t="e">
            <v>#NUM!</v>
          </cell>
          <cell r="K3" t="e">
            <v>#NUM!</v>
          </cell>
          <cell r="L3" t="e">
            <v>#NUM!</v>
          </cell>
          <cell r="M3" t="e">
            <v>#NUM!</v>
          </cell>
        </row>
        <row r="4">
          <cell r="A4">
            <v>26</v>
          </cell>
          <cell r="B4">
            <v>3.3636874849924066E-2</v>
          </cell>
          <cell r="C4">
            <v>109.02051558591926</v>
          </cell>
          <cell r="D4">
            <v>2548.3549074599209</v>
          </cell>
          <cell r="E4">
            <v>996.74316935223283</v>
          </cell>
          <cell r="F4">
            <v>2.4404035142907201E-2</v>
          </cell>
          <cell r="H4">
            <v>0.1</v>
          </cell>
          <cell r="I4">
            <v>45.807548207023331</v>
          </cell>
          <cell r="J4">
            <v>191.81229519335906</v>
          </cell>
          <cell r="K4">
            <v>2583.8869371733645</v>
          </cell>
          <cell r="L4">
            <v>989.84363739619209</v>
          </cell>
          <cell r="M4">
            <v>6.8163730818547222E-2</v>
          </cell>
        </row>
        <row r="5">
          <cell r="A5">
            <v>27</v>
          </cell>
          <cell r="B5">
            <v>3.5678920202725652E-2</v>
          </cell>
          <cell r="C5">
            <v>113.20222110527516</v>
          </cell>
          <cell r="D5">
            <v>2550.1643294631881</v>
          </cell>
          <cell r="E5">
            <v>996.47317597250492</v>
          </cell>
          <cell r="F5">
            <v>2.5801019675049726E-2</v>
          </cell>
          <cell r="H5">
            <v>0.2</v>
          </cell>
          <cell r="I5">
            <v>60.058642660058069</v>
          </cell>
          <cell r="J5">
            <v>251.39973840725077</v>
          </cell>
          <cell r="K5">
            <v>2608.9474559661144</v>
          </cell>
          <cell r="L5">
            <v>983.14497812465629</v>
          </cell>
          <cell r="M5">
            <v>0.13075054935432279</v>
          </cell>
        </row>
        <row r="6">
          <cell r="A6">
            <v>28</v>
          </cell>
          <cell r="B6">
            <v>3.7828126309269385E-2</v>
          </cell>
          <cell r="C6">
            <v>117.38354024559503</v>
          </cell>
          <cell r="D6">
            <v>2551.9722942809722</v>
          </cell>
          <cell r="E6">
            <v>996.19402337527993</v>
          </cell>
          <cell r="F6">
            <v>2.7266215710395683E-2</v>
          </cell>
          <cell r="H6">
            <v>0.3</v>
          </cell>
          <cell r="I6">
            <v>69.095431919954081</v>
          </cell>
          <cell r="J6">
            <v>289.22865464285189</v>
          </cell>
          <cell r="K6">
            <v>2624.5511410717068</v>
          </cell>
          <cell r="L6">
            <v>978.26229902627881</v>
          </cell>
          <cell r="M6">
            <v>0.19125723382260165</v>
          </cell>
        </row>
        <row r="7">
          <cell r="A7">
            <v>29</v>
          </cell>
          <cell r="B7">
            <v>4.0089169347434887E-2</v>
          </cell>
          <cell r="C7">
            <v>121.56450904342149</v>
          </cell>
          <cell r="D7">
            <v>2553.7787709344425</v>
          </cell>
          <cell r="E7">
            <v>995.90587380656291</v>
          </cell>
          <cell r="F7">
            <v>2.8802331946102232E-2</v>
          </cell>
          <cell r="H7">
            <v>0.4</v>
          </cell>
          <cell r="I7">
            <v>75.856821514520959</v>
          </cell>
          <cell r="J7">
            <v>317.56648297014488</v>
          </cell>
          <cell r="K7">
            <v>2636.0508341542518</v>
          </cell>
          <cell r="L7">
            <v>974.31530880121693</v>
          </cell>
          <cell r="M7">
            <v>0.250431362338354</v>
          </cell>
        </row>
        <row r="8">
          <cell r="A8">
            <v>30</v>
          </cell>
          <cell r="B8">
            <v>4.2466883405480618E-2</v>
          </cell>
          <cell r="C8">
            <v>125.7451619378581</v>
          </cell>
          <cell r="D8">
            <v>2555.58372797112</v>
          </cell>
          <cell r="E8">
            <v>995.60888321879133</v>
          </cell>
          <cell r="F8">
            <v>3.0412156642697408E-2</v>
          </cell>
          <cell r="H8">
            <v>0.5</v>
          </cell>
          <cell r="I8">
            <v>81.316735996641398</v>
          </cell>
          <cell r="J8">
            <v>340.47602887747303</v>
          </cell>
          <cell r="K8">
            <v>2645.2132384178531</v>
          </cell>
          <cell r="L8">
            <v>970.95443713139355</v>
          </cell>
          <cell r="M8">
            <v>0.30862776496376226</v>
          </cell>
        </row>
        <row r="9">
          <cell r="A9">
            <v>31</v>
          </cell>
          <cell r="B9">
            <v>4.4966263930941712E-2</v>
          </cell>
          <cell r="C9">
            <v>129.92553194228981</v>
          </cell>
          <cell r="D9">
            <v>2557.3871334409255</v>
          </cell>
          <cell r="E9">
            <v>995.30320161131931</v>
          </cell>
          <cell r="F9">
            <v>3.2098558931949302E-2</v>
          </cell>
          <cell r="H9">
            <v>0.6</v>
          </cell>
          <cell r="I9">
            <v>85.925777490509574</v>
          </cell>
          <cell r="J9">
            <v>359.83652124861749</v>
          </cell>
          <cell r="K9">
            <v>2652.8531966194687</v>
          </cell>
          <cell r="L9">
            <v>968.00112112532668</v>
          </cell>
          <cell r="M9">
            <v>0.36605512237214088</v>
          </cell>
        </row>
        <row r="10">
          <cell r="A10">
            <v>32</v>
          </cell>
          <cell r="B10">
            <v>4.7592471192971712E-2</v>
          </cell>
          <cell r="C10">
            <v>134.1056507986263</v>
          </cell>
          <cell r="D10">
            <v>2559.1889548733561</v>
          </cell>
          <cell r="E10">
            <v>994.98897334786295</v>
          </cell>
          <cell r="F10">
            <v>3.3864490117310651E-2</v>
          </cell>
          <cell r="H10">
            <v>0.7</v>
          </cell>
          <cell r="I10">
            <v>89.931510066446833</v>
          </cell>
          <cell r="J10">
            <v>376.68029924670037</v>
          </cell>
          <cell r="K10">
            <v>2659.4171998100064</v>
          </cell>
          <cell r="L10">
            <v>965.35042477544732</v>
          </cell>
          <cell r="M10">
            <v>0.42285106449912319</v>
          </cell>
        </row>
        <row r="11">
          <cell r="A11">
            <v>33</v>
          </cell>
          <cell r="B11">
            <v>5.0350833756500769E-2</v>
          </cell>
          <cell r="C11">
            <v>138.28554911576435</v>
          </cell>
          <cell r="D11">
            <v>2560.9891592558465</v>
          </cell>
          <cell r="E11">
            <v>994.66633745263437</v>
          </cell>
          <cell r="F11">
            <v>3.5712984966339095E-2</v>
          </cell>
          <cell r="H11">
            <v>0.8</v>
          </cell>
          <cell r="I11">
            <v>93.485354128705751</v>
          </cell>
          <cell r="J11">
            <v>391.63875780571641</v>
          </cell>
          <cell r="K11">
            <v>2665.1776978971388</v>
          </cell>
          <cell r="L11">
            <v>962.93484005307369</v>
          </cell>
          <cell r="M11">
            <v>0.47911320403511642</v>
          </cell>
        </row>
        <row r="12">
          <cell r="A12">
            <v>34</v>
          </cell>
          <cell r="B12">
            <v>5.3246851966572417E-2</v>
          </cell>
          <cell r="C12">
            <v>142.46525649376338</v>
          </cell>
          <cell r="D12">
            <v>2562.7877130133584</v>
          </cell>
          <cell r="E12">
            <v>994.335427886753</v>
          </cell>
          <cell r="F12">
            <v>3.7647162994512783E-2</v>
          </cell>
          <cell r="H12">
            <v>0.9</v>
          </cell>
          <cell r="I12">
            <v>96.687039282739477</v>
          </cell>
          <cell r="J12">
            <v>405.12775294657911</v>
          </cell>
          <cell r="K12">
            <v>2670.3137521013837</v>
          </cell>
          <cell r="L12">
            <v>960.70808443522878</v>
          </cell>
          <cell r="M12">
            <v>0.53491436080545574</v>
          </cell>
        </row>
        <row r="13">
          <cell r="A13">
            <v>35</v>
          </cell>
          <cell r="B13">
            <v>5.6286201441213747E-2</v>
          </cell>
          <cell r="C13">
            <v>146.6448016351282</v>
          </cell>
          <cell r="D13">
            <v>2564.5845819892379</v>
          </cell>
          <cell r="E13">
            <v>993.99637380640263</v>
          </cell>
          <cell r="F13">
            <v>3.9670229739882323E-2</v>
          </cell>
          <cell r="H13">
            <v>1</v>
          </cell>
          <cell r="I13">
            <v>99.60591861133787</v>
          </cell>
          <cell r="J13">
            <v>417.43648581605549</v>
          </cell>
          <cell r="K13">
            <v>2674.9496408320601</v>
          </cell>
          <cell r="L13">
            <v>958.63688967603218</v>
          </cell>
          <cell r="M13">
            <v>0.5903109235445777</v>
          </cell>
        </row>
        <row r="14">
          <cell r="A14">
            <v>36</v>
          </cell>
          <cell r="B14">
            <v>5.9474736571187459E-2</v>
          </cell>
          <cell r="C14">
            <v>150.82421244444299</v>
          </cell>
          <cell r="D14">
            <v>2566.3797314273593</v>
          </cell>
          <cell r="E14">
            <v>993.64929980408147</v>
          </cell>
          <cell r="F14">
            <v>4.1785478028021364E-2</v>
          </cell>
          <cell r="H14">
            <v>1.1000000000000001</v>
          </cell>
          <cell r="I14">
            <v>102.29227394669795</v>
          </cell>
          <cell r="J14">
            <v>428.77464247805273</v>
          </cell>
          <cell r="K14">
            <v>2679.1753048653231</v>
          </cell>
          <cell r="L14">
            <v>956.6964499063364</v>
          </cell>
          <cell r="M14">
            <v>0.64534782915850153</v>
          </cell>
        </row>
        <row r="15">
          <cell r="A15">
            <v>37</v>
          </cell>
          <cell r="B15">
            <v>6.2818494024968516E-2</v>
          </cell>
          <cell r="C15">
            <v>155.00351611749446</v>
          </cell>
          <cell r="D15">
            <v>2568.1731259555736</v>
          </cell>
          <cell r="E15">
            <v>993.29432613418408</v>
          </cell>
          <cell r="F15">
            <v>4.3996289226759334E-2</v>
          </cell>
          <cell r="H15">
            <v>1.2</v>
          </cell>
          <cell r="I15">
            <v>104.78378433819131</v>
          </cell>
          <cell r="J15">
            <v>439.29936368038972</v>
          </cell>
          <cell r="K15">
            <v>2683.0580285039987</v>
          </cell>
          <cell r="L15">
            <v>954.86772031760177</v>
          </cell>
          <cell r="M15">
            <v>0.70006171440138643</v>
          </cell>
        </row>
        <row r="16">
          <cell r="A16">
            <v>38</v>
          </cell>
          <cell r="B16">
            <v>6.6323696257288081E-2</v>
          </cell>
          <cell r="C16">
            <v>159.18273922091529</v>
          </cell>
          <cell r="D16">
            <v>2569.9647295704622</v>
          </cell>
          <cell r="E16">
            <v>992.93156892406751</v>
          </cell>
          <cell r="F16">
            <v>4.6306134490204716E-2</v>
          </cell>
          <cell r="H16">
            <v>1.3</v>
          </cell>
          <cell r="I16">
            <v>107.10945273262683</v>
          </cell>
          <cell r="J16">
            <v>449.13161610544438</v>
          </cell>
          <cell r="K16">
            <v>2686.6495210517764</v>
          </cell>
          <cell r="L16">
            <v>953.13572565580307</v>
          </cell>
          <cell r="M16">
            <v>0.75448300856930595</v>
          </cell>
        </row>
        <row r="17">
          <cell r="A17">
            <v>39</v>
          </cell>
          <cell r="B17">
            <v>6.9996755019582968E-2</v>
          </cell>
          <cell r="C17">
            <v>163.36190776328155</v>
          </cell>
          <cell r="D17">
            <v>2571.7545056233935</v>
          </cell>
          <cell r="E17">
            <v>992.56114037164991</v>
          </cell>
          <cell r="F17">
            <v>4.8718575991587805E-2</v>
          </cell>
          <cell r="H17">
            <v>1.4</v>
          </cell>
          <cell r="I17">
            <v>109.29210588198282</v>
          </cell>
          <cell r="J17">
            <v>458.36661481080074</v>
          </cell>
          <cell r="K17">
            <v>2689.9904194710666</v>
          </cell>
          <cell r="L17">
            <v>951.48845398830872</v>
          </cell>
          <cell r="M17">
            <v>0.80863737773230904</v>
          </cell>
        </row>
        <row r="18">
          <cell r="A18">
            <v>40</v>
          </cell>
          <cell r="B18">
            <v>7.3844274870695295E-2</v>
          </cell>
          <cell r="C18">
            <v>167.54104725852312</v>
          </cell>
          <cell r="D18">
            <v>2573.5424168078666</v>
          </cell>
          <cell r="E18">
            <v>992.18314893051911</v>
          </cell>
          <cell r="F18">
            <v>5.1237268144480624E-2</v>
          </cell>
          <cell r="H18">
            <v>1.5</v>
          </cell>
          <cell r="I18">
            <v>111.35004948446084</v>
          </cell>
          <cell r="J18">
            <v>467.08072366027909</v>
          </cell>
          <cell r="K18">
            <v>2693.1132659125615</v>
          </cell>
          <cell r="L18">
            <v>949.91610675632137</v>
          </cell>
          <cell r="M18">
            <v>0.86254675368522993</v>
          </cell>
        </row>
        <row r="19">
          <cell r="A19">
            <v>41</v>
          </cell>
          <cell r="B19">
            <v>7.787305668616859E-2</v>
          </cell>
          <cell r="C19">
            <v>171.72018278239793</v>
          </cell>
          <cell r="D19">
            <v>2575.3284251481164</v>
          </cell>
          <cell r="E19">
            <v>991.79769948344745</v>
          </cell>
          <cell r="F19">
            <v>5.3865958811974597E-2</v>
          </cell>
          <cell r="H19">
            <v>1.6</v>
          </cell>
          <cell r="I19">
            <v>113.29820059435355</v>
          </cell>
          <cell r="J19">
            <v>475.33617645246369</v>
          </cell>
          <cell r="K19">
            <v>2696.0445425406397</v>
          </cell>
          <cell r="L19">
            <v>948.41057474932802</v>
          </cell>
          <cell r="M19">
            <v>0.91623008688334906</v>
          </cell>
        </row>
        <row r="20">
          <cell r="A20">
            <v>42</v>
          </cell>
          <cell r="B20">
            <v>8.209010116448702E-2</v>
          </cell>
          <cell r="C20">
            <v>175.89933902275268</v>
          </cell>
          <cell r="D20">
            <v>2577.1124919889508</v>
          </cell>
          <cell r="E20">
            <v>991.4048935051394</v>
          </cell>
          <cell r="F20">
            <v>5.6608490503420095E-2</v>
          </cell>
          <cell r="H20">
            <v>1.7</v>
          </cell>
          <cell r="I20">
            <v>115.14888433478535</v>
          </cell>
          <cell r="J20">
            <v>483.1843985340202</v>
          </cell>
          <cell r="K20">
            <v>2698.8061015850403</v>
          </cell>
          <cell r="L20">
            <v>946.96506236375023</v>
          </cell>
          <cell r="M20">
            <v>0.96970391008843182</v>
          </cell>
        </row>
        <row r="21">
          <cell r="A21">
            <v>43</v>
          </cell>
          <cell r="B21">
            <v>8.6502612328623329E-2</v>
          </cell>
          <cell r="C21">
            <v>180.07854032418231</v>
          </cell>
          <cell r="D21">
            <v>2578.894577986784</v>
          </cell>
          <cell r="E21">
            <v>991.00482921497905</v>
          </cell>
          <cell r="F21">
            <v>5.9468801558365807E-2</v>
          </cell>
          <cell r="H21">
            <v>1.8</v>
          </cell>
          <cell r="I21">
            <v>116.91240807955955</v>
          </cell>
          <cell r="J21">
            <v>490.66840069562357</v>
          </cell>
          <cell r="K21">
            <v>2701.4161948922697</v>
          </cell>
          <cell r="L21">
            <v>945.57381210681569</v>
          </cell>
          <cell r="M21">
            <v>1.022982768676665</v>
          </cell>
        </row>
        <row r="22">
          <cell r="A22">
            <v>44</v>
          </cell>
          <cell r="B22">
            <v>9.1118001021253101E-2</v>
          </cell>
          <cell r="C22">
            <v>184.25781072768021</v>
          </cell>
          <cell r="D22">
            <v>2580.6746431018137</v>
          </cell>
          <cell r="E22">
            <v>990.59760172048175</v>
          </cell>
          <cell r="F22">
            <v>6.2450927317351648E-2</v>
          </cell>
          <cell r="H22">
            <v>1.9</v>
          </cell>
          <cell r="I22">
            <v>118.5974840209002</v>
          </cell>
          <cell r="J22">
            <v>497.82454099948689</v>
          </cell>
          <cell r="K22">
            <v>2703.8902308701504</v>
          </cell>
          <cell r="L22">
            <v>944.23189862795198</v>
          </cell>
          <cell r="M22">
            <v>1.0760795548186644</v>
          </cell>
        </row>
        <row r="23">
          <cell r="A23">
            <v>45</v>
          </cell>
          <cell r="B23">
            <v>9.5943888392021892E-2</v>
          </cell>
          <cell r="C23">
            <v>188.43717400578075</v>
          </cell>
          <cell r="D23">
            <v>2582.4526465912945</v>
          </cell>
          <cell r="E23">
            <v>990.18330315210039</v>
          </cell>
          <cell r="F23">
            <v>6.5559001279248741E-2</v>
          </cell>
          <cell r="H23">
            <v>2</v>
          </cell>
          <cell r="I23">
            <v>120.21154593648902</v>
          </cell>
          <cell r="J23">
            <v>504.68384552909191</v>
          </cell>
          <cell r="K23">
            <v>2706.241341374171</v>
          </cell>
          <cell r="L23">
            <v>942.93507206637048</v>
          </cell>
          <cell r="M23">
            <v>1.1290057709387653</v>
          </cell>
        </row>
        <row r="24">
          <cell r="A24">
            <v>46</v>
          </cell>
          <cell r="B24">
            <v>0.10098810937524931</v>
          </cell>
          <cell r="C24">
            <v>192.61665369368737</v>
          </cell>
          <cell r="D24">
            <v>2584.2285470038528</v>
          </cell>
          <cell r="E24">
            <v>989.76202278999017</v>
          </cell>
          <cell r="F24">
            <v>6.8797256244857802E-2</v>
          </cell>
          <cell r="H24">
            <v>2.5</v>
          </cell>
          <cell r="I24">
            <v>127.41362925665561</v>
          </cell>
          <cell r="J24">
            <v>535.35013118015252</v>
          </cell>
          <cell r="K24">
            <v>2716.5002557399876</v>
          </cell>
          <cell r="L24">
            <v>937.0125246134711</v>
          </cell>
          <cell r="M24">
            <v>1.3914070502953901</v>
          </cell>
        </row>
        <row r="25">
          <cell r="A25">
            <v>47</v>
          </cell>
          <cell r="B25">
            <v>0.10625871615647563</v>
          </cell>
          <cell r="C25">
            <v>196.79627311678689</v>
          </cell>
          <cell r="D25">
            <v>2586.0023021747752</v>
          </cell>
          <cell r="E25">
            <v>989.33384718328784</v>
          </cell>
          <cell r="F25">
            <v>7.2170025446510896E-2</v>
          </cell>
          <cell r="H25">
            <v>3</v>
          </cell>
          <cell r="I25">
            <v>133.52535794654494</v>
          </cell>
          <cell r="J25">
            <v>561.45541025694058</v>
          </cell>
          <cell r="K25">
            <v>2724.8916665565603</v>
          </cell>
          <cell r="L25">
            <v>931.81322668048699</v>
          </cell>
          <cell r="M25">
            <v>1.6507493559501081</v>
          </cell>
        </row>
        <row r="26">
          <cell r="A26">
            <v>48</v>
          </cell>
          <cell r="B26">
            <v>0.11176398162627307</v>
          </cell>
          <cell r="C26">
            <v>200.97605541496625</v>
          </cell>
          <cell r="D26">
            <v>2587.7738692222097</v>
          </cell>
          <cell r="E26">
            <v>988.89886026241993</v>
          </cell>
          <cell r="F26">
            <v>7.5681743663450263E-2</v>
          </cell>
          <cell r="H26">
            <v>3.5</v>
          </cell>
          <cell r="I26">
            <v>138.86073915416807</v>
          </cell>
          <cell r="J26">
            <v>584.31133420836352</v>
          </cell>
          <cell r="K26">
            <v>2731.9652423791522</v>
          </cell>
          <cell r="L26">
            <v>927.1446139872146</v>
          </cell>
          <cell r="M26">
            <v>1.9076840100796373</v>
          </cell>
        </row>
        <row r="27">
          <cell r="A27">
            <v>49</v>
          </cell>
          <cell r="B27">
            <v>0.11751240281975399</v>
          </cell>
          <cell r="C27">
            <v>205.15602356404756</v>
          </cell>
          <cell r="D27">
            <v>2589.5432045442108</v>
          </cell>
          <cell r="E27">
            <v>988.45714344491353</v>
          </cell>
          <cell r="F27">
            <v>7.9336948322782555E-2</v>
          </cell>
          <cell r="H27">
            <v>4</v>
          </cell>
          <cell r="I27">
            <v>143.61253299838245</v>
          </cell>
          <cell r="J27">
            <v>604.72347415298282</v>
          </cell>
          <cell r="K27">
            <v>2738.0566229311898</v>
          </cell>
          <cell r="L27">
            <v>922.88473347179763</v>
          </cell>
          <cell r="M27">
            <v>2.1626681881935372</v>
          </cell>
        </row>
        <row r="28">
          <cell r="A28">
            <v>50</v>
          </cell>
          <cell r="B28">
            <v>0.12351270434023369</v>
          </cell>
          <cell r="C28">
            <v>209.33620039468835</v>
          </cell>
          <cell r="D28">
            <v>2591.3102638165524</v>
          </cell>
          <cell r="E28">
            <v>988.00877573515413</v>
          </cell>
          <cell r="F28">
            <v>8.3140280585840581E-2</v>
          </cell>
          <cell r="H28">
            <v>4.5</v>
          </cell>
          <cell r="I28">
            <v>147.90809697170192</v>
          </cell>
          <cell r="J28">
            <v>623.22431336115733</v>
          </cell>
          <cell r="K28">
            <v>2743.3864049836147</v>
          </cell>
          <cell r="L28">
            <v>918.95093686320843</v>
          </cell>
          <cell r="M28">
            <v>2.4160397338669992</v>
          </cell>
        </row>
        <row r="29">
          <cell r="A29">
            <v>51</v>
          </cell>
          <cell r="B29">
            <v>0.12977384176552537</v>
          </cell>
          <cell r="C29">
            <v>213.51660860900787</v>
          </cell>
          <cell r="D29">
            <v>2593.0750019912434</v>
          </cell>
          <cell r="E29">
            <v>987.55383381849401</v>
          </cell>
          <cell r="F29">
            <v>8.7096486419813254E-2</v>
          </cell>
          <cell r="H29">
            <v>5</v>
          </cell>
          <cell r="I29">
            <v>151.83624387684495</v>
          </cell>
          <cell r="J29">
            <v>640.18533536322502</v>
          </cell>
          <cell r="K29">
            <v>2748.1076146578775</v>
          </cell>
          <cell r="L29">
            <v>915.28434342997957</v>
          </cell>
          <cell r="M29">
            <v>2.6680580298566765</v>
          </cell>
        </row>
        <row r="30">
          <cell r="A30">
            <v>52</v>
          </cell>
          <cell r="B30">
            <v>0.13630500503536172</v>
          </cell>
          <cell r="C30">
            <v>217.69727079521405</v>
          </cell>
          <cell r="D30">
            <v>2594.8373732956661</v>
          </cell>
          <cell r="E30">
            <v>987.09239215008995</v>
          </cell>
          <cell r="F30">
            <v>9.1210417654531167E-2</v>
          </cell>
          <cell r="H30">
            <v>5.5</v>
          </cell>
          <cell r="I30">
            <v>155.4615253891314</v>
          </cell>
          <cell r="J30">
            <v>655.87665150658279</v>
          </cell>
          <cell r="K30">
            <v>2752.3308900774882</v>
          </cell>
          <cell r="L30">
            <v>911.84136095908832</v>
          </cell>
          <cell r="M30">
            <v>2.918928201189638</v>
          </cell>
        </row>
        <row r="31">
          <cell r="A31">
            <v>53</v>
          </cell>
          <cell r="B31">
            <v>0.14311562181846169</v>
          </cell>
          <cell r="C31">
            <v>221.87820944044967</v>
          </cell>
          <cell r="D31">
            <v>2596.5973312322658</v>
          </cell>
          <cell r="E31">
            <v>986.62452303881923</v>
          </cell>
          <cell r="F31">
            <v>9.5487033024326373E-2</v>
          </cell>
          <cell r="H31">
            <v>6</v>
          </cell>
          <cell r="I31">
            <v>158.83242395448519</v>
          </cell>
          <cell r="J31">
            <v>670.50120803139157</v>
          </cell>
          <cell r="K31">
            <v>2756.1388895362406</v>
          </cell>
          <cell r="L31">
            <v>908.58871539450365</v>
          </cell>
          <cell r="M31">
            <v>3.1688163475771693</v>
          </cell>
        </row>
        <row r="32">
          <cell r="A32">
            <v>54</v>
          </cell>
          <cell r="B32">
            <v>0.1502153608577938</v>
          </cell>
          <cell r="C32">
            <v>226.05944694208097</v>
          </cell>
          <cell r="D32">
            <v>2598.3548285787219</v>
          </cell>
          <cell r="E32">
            <v>986.15029672659955</v>
          </cell>
          <cell r="F32">
            <v>9.9931399194918433E-2</v>
          </cell>
          <cell r="H32">
            <v>6.5</v>
          </cell>
          <cell r="I32">
            <v>161.986336329479</v>
          </cell>
          <cell r="J32">
            <v>684.21560157465331</v>
          </cell>
          <cell r="K32">
            <v>2759.5950361386417</v>
          </cell>
          <cell r="L32">
            <v>905.50036931505952</v>
          </cell>
          <cell r="M32">
            <v>3.4178595991072749</v>
          </cell>
        </row>
        <row r="33">
          <cell r="A33">
            <v>55</v>
          </cell>
          <cell r="B33">
            <v>0.15761413529259541</v>
          </cell>
          <cell r="C33">
            <v>230.24100561760457</v>
          </cell>
          <cell r="D33">
            <v>2600.1098173885225</v>
          </cell>
          <cell r="E33">
            <v>985.66978146340762</v>
          </cell>
          <cell r="F33">
            <v>0.10454869177529907</v>
          </cell>
          <cell r="H33">
            <v>7</v>
          </cell>
          <cell r="I33">
            <v>164.95275255074171</v>
          </cell>
          <cell r="J33">
            <v>697.14336073505115</v>
          </cell>
          <cell r="K33">
            <v>2762.7490827694173</v>
          </cell>
          <cell r="L33">
            <v>902.55552318648506</v>
          </cell>
          <cell r="M33">
            <v>3.6661730155638583</v>
          </cell>
        </row>
        <row r="34">
          <cell r="A34">
            <v>56</v>
          </cell>
          <cell r="B34">
            <v>0.16532210595575186</v>
          </cell>
          <cell r="C34">
            <v>234.42290771334726</v>
          </cell>
          <cell r="D34">
            <v>2601.862248991878</v>
          </cell>
          <cell r="E34">
            <v>985.18304357828299</v>
          </cell>
          <cell r="F34">
            <v>0.10934419631462766</v>
          </cell>
          <cell r="H34">
            <v>7.5</v>
          </cell>
          <cell r="I34">
            <v>167.75536447427311</v>
          </cell>
          <cell r="J34">
            <v>709.3837576735574</v>
          </cell>
          <cell r="K34">
            <v>2765.6407942779274</v>
          </cell>
          <cell r="L34">
            <v>899.73726975016029</v>
          </cell>
          <cell r="M34">
            <v>3.9138544733410088</v>
          </cell>
        </row>
        <row r="35">
          <cell r="A35">
            <v>57</v>
          </cell>
          <cell r="B35">
            <v>0.17334968464515957</v>
          </cell>
          <cell r="C35">
            <v>238.60517541212229</v>
          </cell>
          <cell r="D35">
            <v>2603.6120739969042</v>
          </cell>
          <cell r="E35">
            <v>984.69014754656553</v>
          </cell>
          <cell r="F35">
            <v>0.11432330928417463</v>
          </cell>
          <cell r="H35">
            <v>8</v>
          </cell>
          <cell r="I35">
            <v>170.41351081360017</v>
          </cell>
          <cell r="J35">
            <v>721.01784841959818</v>
          </cell>
          <cell r="K35">
            <v>2768.3024646636495</v>
          </cell>
          <cell r="L35">
            <v>897.03165936953087</v>
          </cell>
          <cell r="M35">
            <v>4.1609882209183633</v>
          </cell>
        </row>
        <row r="36">
          <cell r="A36">
            <v>58</v>
          </cell>
          <cell r="B36">
            <v>0.1817075373677163</v>
          </cell>
          <cell r="C36">
            <v>242.78783083995432</v>
          </cell>
          <cell r="D36">
            <v>2605.3592422910137</v>
          </cell>
          <cell r="E36">
            <v>984.19115605361515</v>
          </cell>
          <cell r="F36">
            <v>0.11949153904437314</v>
          </cell>
          <cell r="H36">
            <v>8.5</v>
          </cell>
          <cell r="I36">
            <v>172.94319540051112</v>
          </cell>
          <cell r="J36">
            <v>732.11273024317563</v>
          </cell>
          <cell r="K36">
            <v>2770.7606862349662</v>
          </cell>
          <cell r="L36">
            <v>894.427033316343</v>
          </cell>
          <cell r="M36">
            <v>4.4076475254835374</v>
          </cell>
        </row>
        <row r="37">
          <cell r="A37">
            <v>59</v>
          </cell>
          <cell r="B37">
            <v>0.19040658755463591</v>
          </cell>
          <cell r="C37">
            <v>246.9708960720246</v>
          </cell>
          <cell r="D37">
            <v>2607.1037030424523</v>
          </cell>
          <cell r="E37">
            <v>983.68613005523014</v>
          </cell>
          <cell r="F37">
            <v>0.12485450679708408</v>
          </cell>
          <cell r="H37">
            <v>9</v>
          </cell>
          <cell r="I37">
            <v>175.35782211701274</v>
          </cell>
          <cell r="J37">
            <v>742.72461512719804</v>
          </cell>
          <cell r="K37">
            <v>2773.0376230706656</v>
          </cell>
          <cell r="L37">
            <v>891.91353714478953</v>
          </cell>
          <cell r="M37">
            <v>4.6538966823484316</v>
          </cell>
        </row>
        <row r="38">
          <cell r="A38">
            <v>60</v>
          </cell>
          <cell r="B38">
            <v>0.19945801924678758</v>
          </cell>
          <cell r="C38">
            <v>251.15439313792453</v>
          </cell>
          <cell r="D38">
            <v>2608.8454047019254</v>
          </cell>
          <cell r="E38">
            <v>983.17512883497045</v>
          </cell>
          <cell r="F38">
            <v>0.13041794752319003</v>
          </cell>
          <cell r="H38">
            <v>9.5</v>
          </cell>
          <cell r="I38">
            <v>177.66873651994689</v>
          </cell>
          <cell r="J38">
            <v>752.9010953342314</v>
          </cell>
          <cell r="K38">
            <v>2775.1519469185832</v>
          </cell>
          <cell r="L38">
            <v>889.48275833378909</v>
          </cell>
          <cell r="M38">
            <v>4.8997925671397198</v>
          </cell>
        </row>
        <row r="39">
          <cell r="A39">
            <v>61</v>
          </cell>
          <cell r="B39">
            <v>0.20887328024880736</v>
          </cell>
          <cell r="C39">
            <v>255.3383440263286</v>
          </cell>
          <cell r="D39">
            <v>2610.5842950042693</v>
          </cell>
          <cell r="E39">
            <v>982.65821005858606</v>
          </cell>
          <cell r="F39">
            <v>0.13618771090567183</v>
          </cell>
          <cell r="H39">
            <v>10</v>
          </cell>
          <cell r="I39">
            <v>179.88563239146686</v>
          </cell>
          <cell r="J39">
            <v>762.68284433525957</v>
          </cell>
          <cell r="K39">
            <v>2777.1195376845681</v>
          </cell>
          <cell r="L39">
            <v>887.1274516747776</v>
          </cell>
          <cell r="M39">
            <v>5.1453858531826837</v>
          </cell>
        </row>
        <row r="40">
          <cell r="A40">
            <v>62</v>
          </cell>
          <cell r="B40">
            <v>0.21866408525076719</v>
          </cell>
          <cell r="C40">
            <v>259.52277068917317</v>
          </cell>
          <cell r="D40">
            <v>2612.3203209701123</v>
          </cell>
          <cell r="E40">
            <v>982.13542982571516</v>
          </cell>
          <cell r="F40">
            <v>0.14216976223835531</v>
          </cell>
          <cell r="H40">
            <v>10.5</v>
          </cell>
          <cell r="I40">
            <v>182.01686189970206</v>
          </cell>
          <cell r="J40">
            <v>772.1049147316952</v>
          </cell>
          <cell r="K40">
            <v>2778.9540162759768</v>
          </cell>
          <cell r="L40">
            <v>884.8413278861218</v>
          </cell>
          <cell r="M40">
            <v>5.3907219792854573</v>
          </cell>
        </row>
        <row r="41">
          <cell r="A41">
            <v>63</v>
          </cell>
          <cell r="B41">
            <v>0.22884241891619789</v>
          </cell>
          <cell r="C41">
            <v>263.70769504541329</v>
          </cell>
          <cell r="D41">
            <v>2614.0534289074958</v>
          </cell>
          <cell r="E41">
            <v>981.60684271903062</v>
          </cell>
          <cell r="F41">
            <v>0.14837018332052557</v>
          </cell>
          <cell r="H41">
            <v>11</v>
          </cell>
          <cell r="I41">
            <v>184.06967567794572</v>
          </cell>
          <cell r="J41">
            <v>781.19774311133142</v>
          </cell>
          <cell r="K41">
            <v>2780.6671558167741</v>
          </cell>
          <cell r="L41">
            <v>882.61888861543162</v>
          </cell>
          <cell r="M41">
            <v>5.6358419284516419</v>
          </cell>
        </row>
        <row r="42">
          <cell r="A42">
            <v>64</v>
          </cell>
          <cell r="B42">
            <v>0.23942053893532075</v>
          </cell>
          <cell r="C42">
            <v>267.89313898443544</v>
          </cell>
          <cell r="D42">
            <v>2615.783564413412</v>
          </cell>
          <cell r="E42">
            <v>981.07250185098314</v>
          </cell>
          <cell r="F42">
            <v>0.15479517333765191</v>
          </cell>
          <cell r="H42">
            <v>11.5</v>
          </cell>
          <cell r="I42">
            <v>186.05041109183469</v>
          </cell>
          <cell r="J42">
            <v>789.98793819796367</v>
          </cell>
          <cell r="K42">
            <v>2782.2692031411029</v>
          </cell>
          <cell r="L42">
            <v>880.45529602904867</v>
          </cell>
          <cell r="M42">
            <v>5.8807828613070301</v>
          </cell>
        </row>
        <row r="43">
          <cell r="A43">
            <v>65</v>
          </cell>
          <cell r="B43">
            <v>0.2504109790423612</v>
          </cell>
          <cell r="C43">
            <v>272.07912436918542</v>
          </cell>
          <cell r="D43">
            <v>2617.5106723752401</v>
          </cell>
          <cell r="E43">
            <v>980.53245890828441</v>
          </cell>
          <cell r="F43">
            <v>0.16145104972848159</v>
          </cell>
          <cell r="H43">
            <v>12</v>
          </cell>
          <cell r="I43">
            <v>187.96464162129996</v>
          </cell>
          <cell r="J43">
            <v>798.4989063327962</v>
          </cell>
          <cell r="K43">
            <v>2783.7691331051374</v>
          </cell>
          <cell r="L43">
            <v>878.34626856718307</v>
          </cell>
          <cell r="M43">
            <v>6.1255786364357103</v>
          </cell>
        </row>
        <row r="44">
          <cell r="A44">
            <v>66</v>
          </cell>
          <cell r="B44">
            <v>0.26182655199585853</v>
          </cell>
          <cell r="C44">
            <v>276.26567303906637</v>
          </cell>
          <cell r="D44">
            <v>2619.2346969720511</v>
          </cell>
          <cell r="E44">
            <v>979.98676419426522</v>
          </cell>
          <cell r="F44">
            <v>0.16834424903879006</v>
          </cell>
          <cell r="H44">
            <v>12.5</v>
          </cell>
          <cell r="I44">
            <v>189.81729665942527</v>
          </cell>
          <cell r="J44">
            <v>806.75135317984893</v>
          </cell>
          <cell r="K44">
            <v>2785.1748519096241</v>
          </cell>
          <cell r="L44">
            <v>876.28799675556445</v>
          </cell>
          <cell r="M44">
            <v>6.370260241650568</v>
          </cell>
        </row>
        <row r="45">
          <cell r="A45">
            <v>67</v>
          </cell>
          <cell r="B45">
            <v>0.27368035252091821</v>
          </cell>
          <cell r="C45">
            <v>280.45280681265467</v>
          </cell>
          <cell r="D45">
            <v>2620.9555816757738</v>
          </cell>
          <cell r="E45">
            <v>979.43546666923544</v>
          </cell>
          <cell r="F45">
            <v>0.17548132776209938</v>
          </cell>
          <cell r="H45">
            <v>13</v>
          </cell>
          <cell r="I45">
            <v>191.61275852521874</v>
          </cell>
          <cell r="J45">
            <v>814.76369007810479</v>
          </cell>
          <cell r="K45">
            <v>2786.4933612439868</v>
          </cell>
          <cell r="L45">
            <v>874.27707457566748</v>
          </cell>
          <cell r="M45">
            <v>6.6148561543676907</v>
          </cell>
        </row>
        <row r="46">
          <cell r="A46">
            <v>68</v>
          </cell>
          <cell r="B46">
            <v>0.28598576021239847</v>
          </cell>
          <cell r="C46">
            <v>284.64054749028332</v>
          </cell>
          <cell r="D46">
            <v>2622.6732692522096</v>
          </cell>
          <cell r="E46">
            <v>978.87861398895689</v>
          </cell>
          <cell r="F46">
            <v>0.18286896316770565</v>
          </cell>
          <cell r="H46">
            <v>13.5</v>
          </cell>
          <cell r="I46">
            <v>193.35494172645963</v>
          </cell>
          <cell r="J46">
            <v>822.55236610312818</v>
          </cell>
          <cell r="K46">
            <v>2787.7308919870979</v>
          </cell>
          <cell r="L46">
            <v>872.31044303677265</v>
          </cell>
          <cell r="M46">
            <v>6.8593926449946627</v>
          </cell>
        </row>
        <row r="47">
          <cell r="A47">
            <v>69</v>
          </cell>
          <cell r="B47">
            <v>0.29875644239804205</v>
          </cell>
          <cell r="C47">
            <v>288.82891685651708</v>
          </cell>
          <cell r="D47">
            <v>2624.3877017618938</v>
          </cell>
          <cell r="E47">
            <v>978.31625254134156</v>
          </cell>
          <cell r="F47">
            <v>0.19051395411637054</v>
          </cell>
          <cell r="H47">
            <v>14</v>
          </cell>
          <cell r="I47">
            <v>195.04735825190591</v>
          </cell>
          <cell r="J47">
            <v>830.13214164664168</v>
          </cell>
          <cell r="K47">
            <v>2788.8930140072894</v>
          </cell>
          <cell r="L47">
            <v>870.38534341362742</v>
          </cell>
          <cell r="M47">
            <v>7.1038940341019501</v>
          </cell>
        </row>
        <row r="48">
          <cell r="A48">
            <v>70</v>
          </cell>
          <cell r="B48">
            <v>0.31200635696061835</v>
          </cell>
          <cell r="C48">
            <v>293.0179366825696</v>
          </cell>
          <cell r="D48">
            <v>2626.0988205608151</v>
          </cell>
          <cell r="E48">
            <v>977.74842748147535</v>
          </cell>
          <cell r="F48">
            <v>0.19842322186406477</v>
          </cell>
          <cell r="H48">
            <v>14.5</v>
          </cell>
          <cell r="I48">
            <v>196.69317176230271</v>
          </cell>
          <cell r="J48">
            <v>837.51631551849459</v>
          </cell>
          <cell r="K48">
            <v>2789.9847270192886</v>
          </cell>
          <cell r="L48">
            <v>868.49927821153449</v>
          </cell>
          <cell r="M48">
            <v>7.3483829118010986</v>
          </cell>
        </row>
        <row r="49">
          <cell r="A49">
            <v>71</v>
          </cell>
          <cell r="B49">
            <v>0.32574975511817428</v>
          </cell>
          <cell r="C49">
            <v>297.20762872868136</v>
          </cell>
          <cell r="D49">
            <v>2627.8065663009984</v>
          </cell>
          <cell r="E49">
            <v>977.17518276506019</v>
          </cell>
          <cell r="F49">
            <v>0.20660381085417237</v>
          </cell>
          <cell r="H49">
            <v>15</v>
          </cell>
          <cell r="I49">
            <v>198.29524288241379</v>
          </cell>
          <cell r="J49">
            <v>844.71691478543869</v>
          </cell>
          <cell r="K49">
            <v>2791.0105362952268</v>
          </cell>
          <cell r="L49">
            <v>866.64997836214093</v>
          </cell>
          <cell r="M49">
            <v>7.5928803259818451</v>
          </cell>
        </row>
        <row r="50">
          <cell r="A50">
            <v>72</v>
          </cell>
          <cell r="B50">
            <v>0.34000118416150527</v>
          </cell>
          <cell r="C50">
            <v>301.39801474648169</v>
          </cell>
          <cell r="D50">
            <v>2629.5108789309738</v>
          </cell>
          <cell r="E50">
            <v>976.59656118036287</v>
          </cell>
          <cell r="F50">
            <v>0.21506288949856819</v>
          </cell>
          <cell r="H50">
            <v>15.5</v>
          </cell>
          <cell r="I50">
            <v>199.85616730113162</v>
          </cell>
          <cell r="J50">
            <v>851.74485449030215</v>
          </cell>
          <cell r="K50">
            <v>2791.9745161669193</v>
          </cell>
          <cell r="L50">
            <v>864.83537548287677</v>
          </cell>
          <cell r="M50">
            <v>7.8374059447076236</v>
          </cell>
        </row>
        <row r="51">
          <cell r="A51">
            <v>73</v>
          </cell>
          <cell r="B51">
            <v>0.35477549014805126</v>
          </cell>
          <cell r="C51">
            <v>305.58911648136575</v>
          </cell>
          <cell r="D51">
            <v>2631.2116976961529</v>
          </cell>
          <cell r="E51">
            <v>976.01260437875544</v>
          </cell>
          <cell r="F51">
            <v>0.22380775094804053</v>
          </cell>
          <cell r="H51">
            <v>16</v>
          </cell>
          <cell r="I51">
            <v>201.37830801515292</v>
          </cell>
          <cell r="J51">
            <v>858.610072840974</v>
          </cell>
          <cell r="K51">
            <v>2792.8803636123594</v>
          </cell>
          <cell r="L51">
            <v>863.05357828184708</v>
          </cell>
          <cell r="M51">
            <v>8.0819781970263396</v>
          </cell>
        </row>
        <row r="52">
          <cell r="A52">
            <v>74</v>
          </cell>
          <cell r="B52">
            <v>0.37008782055138406</v>
          </cell>
          <cell r="C52">
            <v>309.7809556748972</v>
          </cell>
          <cell r="D52">
            <v>2632.9089611391446</v>
          </cell>
          <cell r="E52">
            <v>975.42335290391941</v>
          </cell>
          <cell r="F52">
            <v>0.2328458138524967</v>
          </cell>
          <cell r="H52">
            <v>16.5</v>
          </cell>
          <cell r="I52">
            <v>202.86382277004373</v>
          </cell>
          <cell r="J52">
            <v>865.32164628040607</v>
          </cell>
          <cell r="K52">
            <v>2793.7314437318414</v>
          </cell>
          <cell r="L52">
            <v>861.30285237969804</v>
          </cell>
          <cell r="M52">
            <v>8.3266143956412666</v>
          </cell>
        </row>
        <row r="53">
          <cell r="A53">
            <v>75</v>
          </cell>
          <cell r="B53">
            <v>0.3859536268655675</v>
          </cell>
          <cell r="C53">
            <v>313.97355406725899</v>
          </cell>
          <cell r="D53">
            <v>2634.602607100051</v>
          </cell>
          <cell r="E53">
            <v>974.82884621979008</v>
          </cell>
          <cell r="F53">
            <v>0.24218462311146252</v>
          </cell>
          <cell r="H53">
            <v>17</v>
          </cell>
          <cell r="I53">
            <v>204.31468753689609</v>
          </cell>
          <cell r="J53">
            <v>871.88788794668505</v>
          </cell>
          <cell r="K53">
            <v>2794.5308285464876</v>
          </cell>
          <cell r="L53">
            <v>859.58160296602921</v>
          </cell>
          <cell r="M53">
            <v>8.5713308442507739</v>
          </cell>
        </row>
        <row r="54">
          <cell r="A54">
            <v>76</v>
          </cell>
          <cell r="B54">
            <v>0.40238866716365207</v>
          </cell>
          <cell r="C54">
            <v>318.16693339975649</v>
          </cell>
          <cell r="D54">
            <v>2636.2925727167731</v>
          </cell>
          <cell r="E54">
            <v>974.22912273730446</v>
          </cell>
          <cell r="F54">
            <v>0.25183185061536179</v>
          </cell>
          <cell r="H54">
            <v>17.5</v>
          </cell>
          <cell r="I54">
            <v>205.73271669632089</v>
          </cell>
          <cell r="J54">
            <v>878.31643233577233</v>
          </cell>
          <cell r="K54">
            <v>2795.281330264891</v>
          </cell>
          <cell r="L54">
            <v>857.88835982123715</v>
          </cell>
          <cell r="M54">
            <v>8.816142931861064</v>
          </cell>
        </row>
        <row r="55">
          <cell r="A55">
            <v>77</v>
          </cell>
          <cell r="B55">
            <v>0.41940900860961855</v>
          </cell>
          <cell r="C55">
            <v>322.36111541739814</v>
          </cell>
          <cell r="D55">
            <v>2637.9787944253872</v>
          </cell>
          <cell r="E55">
            <v>973.62421984001799</v>
          </cell>
          <cell r="F55">
            <v>0.26179529597809159</v>
          </cell>
          <cell r="H55">
            <v>18</v>
          </cell>
          <cell r="I55">
            <v>207.11958047187619</v>
          </cell>
          <cell r="J55">
            <v>884.61430843694563</v>
          </cell>
          <cell r="K55">
            <v>2795.9855299403389</v>
          </cell>
          <cell r="L55">
            <v>856.2217643233929</v>
          </cell>
          <cell r="M55">
            <v>9.0610652159746543</v>
          </cell>
        </row>
        <row r="56">
          <cell r="A56">
            <v>78</v>
          </cell>
          <cell r="B56">
            <v>0.4370310299231579</v>
          </cell>
          <cell r="C56">
            <v>326.55612187155089</v>
          </cell>
          <cell r="D56">
            <v>2639.6612079606289</v>
          </cell>
          <cell r="E56">
            <v>973.01417390864913</v>
          </cell>
          <cell r="F56">
            <v>0.27208288726144536</v>
          </cell>
          <cell r="H56">
            <v>18.5</v>
          </cell>
          <cell r="I56">
            <v>208.4768200532838</v>
          </cell>
          <cell r="J56">
            <v>890.78800318515641</v>
          </cell>
          <cell r="K56">
            <v>2796.6458022662327</v>
          </cell>
          <cell r="L56">
            <v>854.58055812973066</v>
          </cell>
          <cell r="M56">
            <v>9.3061114962352942</v>
          </cell>
        </row>
        <row r="57">
          <cell r="A57">
            <v>79</v>
          </cell>
          <cell r="B57">
            <v>0.45527142379664676</v>
          </cell>
          <cell r="C57">
            <v>330.7519745226806</v>
          </cell>
          <cell r="D57">
            <v>2641.3397483565532</v>
          </cell>
          <cell r="E57">
            <v>972.39902034460511</v>
          </cell>
          <cell r="F57">
            <v>0.2827026816919071</v>
          </cell>
          <cell r="H57">
            <v>19</v>
          </cell>
          <cell r="I57">
            <v>209.80586076938266</v>
          </cell>
          <cell r="J57">
            <v>896.84351673796596</v>
          </cell>
          <cell r="K57">
            <v>2797.2643371194413</v>
          </cell>
          <cell r="L57">
            <v>852.96357327785176</v>
          </cell>
          <cell r="M57">
            <v>9.5512948798488342</v>
          </cell>
        </row>
        <row r="58">
          <cell r="A58">
            <v>80</v>
          </cell>
          <cell r="B58">
            <v>0.47414719926378407</v>
          </cell>
          <cell r="C58">
            <v>334.94869514319328</v>
          </cell>
          <cell r="D58">
            <v>2643.0143499474107</v>
          </cell>
          <cell r="E58">
            <v>971.77879359254007</v>
          </cell>
          <cell r="F58">
            <v>0.2936628663703979</v>
          </cell>
          <cell r="H58">
            <v>19.5</v>
          </cell>
          <cell r="I58">
            <v>211.10802360673199</v>
          </cell>
          <cell r="J58">
            <v>902.78641081664421</v>
          </cell>
          <cell r="K58">
            <v>2797.8431583516808</v>
          </cell>
          <cell r="L58">
            <v>851.369723496201</v>
          </cell>
          <cell r="M58">
            <v>9.7966278398882185</v>
          </cell>
        </row>
        <row r="59">
          <cell r="A59">
            <v>81</v>
          </cell>
          <cell r="B59">
            <v>0.49367568401933271</v>
          </cell>
          <cell r="C59">
            <v>339.14630552036334</v>
          </cell>
          <cell r="D59">
            <v>2644.6849463688213</v>
          </cell>
          <cell r="E59">
            <v>971.15352716199891</v>
          </cell>
          <cell r="F59">
            <v>0.30497175897552947</v>
          </cell>
          <cell r="H59">
            <v>20</v>
          </cell>
          <cell r="I59">
            <v>212.38453531849024</v>
          </cell>
          <cell r="J59">
            <v>908.62185113631153</v>
          </cell>
          <cell r="K59">
            <v>2798.384140241415</v>
          </cell>
          <cell r="L59">
            <v>849.79799654911221</v>
          </cell>
          <cell r="M59">
            <v>10.042122267417231</v>
          </cell>
        </row>
        <row r="60">
          <cell r="A60">
            <v>82</v>
          </cell>
          <cell r="B60">
            <v>0.51387452668949407</v>
          </cell>
          <cell r="C60">
            <v>343.34482745937351</v>
          </cell>
          <cell r="D60">
            <v>2646.3514705592879</v>
          </cell>
          <cell r="E60">
            <v>970.52325364818523</v>
          </cell>
          <cell r="F60">
            <v>0.31663780846096123</v>
          </cell>
          <cell r="H60">
            <v>20.5</v>
          </cell>
          <cell r="I60">
            <v>213.63653732684588</v>
          </cell>
          <cell r="J60">
            <v>914.35464477684184</v>
          </cell>
          <cell r="K60">
            <v>2798.8890219482655</v>
          </cell>
          <cell r="L60">
            <v>848.24744747066484</v>
          </cell>
          <cell r="M60">
            <v>10.287789518225164</v>
          </cell>
        </row>
        <row r="61">
          <cell r="A61">
            <v>83</v>
          </cell>
          <cell r="B61">
            <v>0.53476169905244553</v>
          </cell>
          <cell r="C61">
            <v>347.54428278645531</v>
          </cell>
          <cell r="D61">
            <v>2648.0138547621304</v>
          </cell>
          <cell r="E61">
            <v>969.88800475190169</v>
          </cell>
          <cell r="F61">
            <v>0.32866959574744337</v>
          </cell>
          <cell r="H61">
            <v>21</v>
          </cell>
          <cell r="I61">
            <v>214.86509358874525</v>
          </cell>
          <cell r="J61">
            <v>919.98927320585358</v>
          </cell>
          <cell r="K61">
            <v>2799.3594202548643</v>
          </cell>
          <cell r="L61">
            <v>846.71719256516235</v>
          </cell>
          <cell r="M61">
            <v>10.533640454846795</v>
          </cell>
        </row>
        <row r="62">
          <cell r="A62">
            <v>84</v>
          </cell>
          <cell r="B62">
            <v>0.5563554982086385</v>
          </cell>
          <cell r="C62">
            <v>351.7446933521299</v>
          </cell>
          <cell r="D62">
            <v>2649.6720305278932</v>
          </cell>
          <cell r="E62">
            <v>969.24781129869962</v>
          </cell>
          <cell r="F62">
            <v>0.34107583441015649</v>
          </cell>
          <cell r="H62">
            <v>21.5</v>
          </cell>
          <cell r="I62">
            <v>216.07119756733562</v>
          </cell>
          <cell r="J62">
            <v>925.52992155065067</v>
          </cell>
          <cell r="K62">
            <v>2799.7968408346965</v>
          </cell>
          <cell r="L62">
            <v>845.20640407131759</v>
          </cell>
          <cell r="M62">
            <v>10.779685484443863</v>
          </cell>
        </row>
        <row r="63">
          <cell r="A63">
            <v>85</v>
          </cell>
          <cell r="B63">
            <v>0.57867454870044421</v>
          </cell>
          <cell r="C63">
            <v>355.94608103456096</v>
          </cell>
          <cell r="D63">
            <v>2651.3259287172973</v>
          </cell>
          <cell r="E63">
            <v>968.60270325727697</v>
          </cell>
          <cell r="F63">
            <v>0.35386537136193941</v>
          </cell>
          <cell r="H63">
            <v>22</v>
          </cell>
          <cell r="I63">
            <v>217.25577842912799</v>
          </cell>
          <cell r="J63">
            <v>930.9805046221046</v>
          </cell>
          <cell r="K63">
            <v>2800.2026882464829</v>
          </cell>
          <cell r="L63">
            <v>843.71430540311189</v>
          </cell>
          <cell r="M63">
            <v>11.025934593042718</v>
          </cell>
        </row>
        <row r="64">
          <cell r="A64">
            <v>86</v>
          </cell>
          <cell r="B64">
            <v>0.6017378045808528</v>
          </cell>
          <cell r="C64">
            <v>360.14846774301407</v>
          </cell>
          <cell r="D64">
            <v>2652.9754795048011</v>
          </cell>
          <cell r="E64">
            <v>967.95270975715937</v>
          </cell>
          <cell r="F64">
            <v>0.36704718753305177</v>
          </cell>
          <cell r="H64">
            <v>22.5</v>
          </cell>
          <cell r="I64">
            <v>218.41970656843807</v>
          </cell>
          <cell r="J64">
            <v>936.3446901161966</v>
          </cell>
          <cell r="K64">
            <v>2800.5782748244778</v>
          </cell>
          <cell r="L64">
            <v>842.24016689341101</v>
          </cell>
          <cell r="M64">
            <v>11.272397376554094</v>
          </cell>
        </row>
        <row r="65">
          <cell r="A65">
            <v>87</v>
          </cell>
          <cell r="B65">
            <v>0.62556455143084611</v>
          </cell>
          <cell r="C65">
            <v>364.35187542141665</v>
          </cell>
          <cell r="D65">
            <v>2654.6206123828288</v>
          </cell>
          <cell r="E65">
            <v>967.29785910569683</v>
          </cell>
          <cell r="F65">
            <v>0.38063039854804942</v>
          </cell>
          <cell r="H65">
            <v>23</v>
          </cell>
          <cell r="I65">
            <v>219.56379854539301</v>
          </cell>
          <cell r="J65">
            <v>941.62591935496584</v>
          </cell>
          <cell r="K65">
            <v>2800.9248286082698</v>
          </cell>
          <cell r="L65">
            <v>840.78330197731054</v>
          </cell>
          <cell r="M65">
            <v>11.519083068943102</v>
          </cell>
        </row>
        <row r="66">
          <cell r="A66">
            <v>88</v>
          </cell>
          <cell r="B66">
            <v>0.65017440832523787</v>
          </cell>
          <cell r="C66">
            <v>368.55632605202635</v>
          </cell>
          <cell r="D66">
            <v>2656.2612561667333</v>
          </cell>
          <cell r="E66">
            <v>966.63817880441036</v>
          </cell>
          <cell r="F66">
            <v>0.39462425540044133</v>
          </cell>
          <cell r="H66">
            <v>23.5</v>
          </cell>
          <cell r="I66">
            <v>220.68882151109307</v>
          </cell>
          <cell r="J66">
            <v>946.82742587539826</v>
          </cell>
          <cell r="K66">
            <v>2801.2435004343024</v>
          </cell>
          <cell r="L66">
            <v>839.34306376128086</v>
          </cell>
          <cell r="M66">
            <v>11.76600056786882</v>
          </cell>
        </row>
        <row r="67">
          <cell r="A67">
            <v>89</v>
          </cell>
          <cell r="B67">
            <v>0.67558732974668723</v>
          </cell>
          <cell r="C67">
            <v>372.7618416592012</v>
          </cell>
          <cell r="D67">
            <v>2657.8973390005463</v>
          </cell>
          <cell r="E67">
            <v>965.9736955647121</v>
          </cell>
          <cell r="F67">
            <v>0.40903814512572645</v>
          </cell>
          <cell r="H67">
            <v>24</v>
          </cell>
          <cell r="I67">
            <v>221.79549718292873</v>
          </cell>
          <cell r="J67">
            <v>951.95225213043648</v>
          </cell>
          <cell r="K67">
            <v>2801.5353702935367</v>
          </cell>
          <cell r="L67">
            <v>837.91884193178805</v>
          </cell>
          <cell r="M67">
            <v>12.013158458071107</v>
          </cell>
        </row>
        <row r="68">
          <cell r="A68">
            <v>90</v>
          </cell>
          <cell r="B68">
            <v>0.70182360744771444</v>
          </cell>
          <cell r="C68">
            <v>376.96844431326957</v>
          </cell>
          <cell r="D68">
            <v>2659.5287883635742</v>
          </cell>
          <cell r="E68">
            <v>965.30443532303411</v>
          </cell>
          <cell r="F68">
            <v>0.4238815914734626</v>
          </cell>
          <cell r="H68">
            <v>24.5</v>
          </cell>
          <cell r="I68">
            <v>222.88450542415512</v>
          </cell>
          <cell r="J68">
            <v>957.00326452898321</v>
          </cell>
          <cell r="K68">
            <v>2801.8014530447253</v>
          </cell>
          <cell r="L68">
            <v>836.51005996348749</v>
          </cell>
          <cell r="M68">
            <v>12.260565032747381</v>
          </cell>
        </row>
        <row r="69">
          <cell r="A69">
            <v>91</v>
          </cell>
          <cell r="B69">
            <v>0.72890387226051667</v>
          </cell>
          <cell r="C69">
            <v>381.17615613449959</v>
          </cell>
          <cell r="D69">
            <v>2661.1555310778917</v>
          </cell>
          <cell r="E69">
            <v>964.63042325538481</v>
          </cell>
          <cell r="F69">
            <v>0.43916425557898725</v>
          </cell>
          <cell r="H69">
            <v>25</v>
          </cell>
          <cell r="I69">
            <v>223.95648747437752</v>
          </cell>
          <cell r="J69">
            <v>961.98316701057217</v>
          </cell>
          <cell r="K69">
            <v>2802.0427035603561</v>
          </cell>
          <cell r="L69">
            <v>835.11617259245668</v>
          </cell>
          <cell r="M69">
            <v>12.508228313130763</v>
          </cell>
        </row>
        <row r="70">
          <cell r="A70">
            <v>92</v>
          </cell>
          <cell r="B70">
            <v>0.7568490958544849</v>
          </cell>
          <cell r="C70">
            <v>385.38499929716392</v>
          </cell>
          <cell r="D70">
            <v>2662.777493316773</v>
          </cell>
          <cell r="E70">
            <v>963.95168379136294</v>
          </cell>
          <cell r="F70">
            <v>0.45489593663545069</v>
          </cell>
          <cell r="H70">
            <v>25.5</v>
          </cell>
          <cell r="I70">
            <v>225.01204887124197</v>
          </cell>
          <cell r="J70">
            <v>966.89451332370493</v>
          </cell>
          <cell r="K70">
            <v>2802.2600213716155</v>
          </cell>
          <cell r="L70">
            <v>833.7366635245794</v>
          </cell>
          <cell r="M70">
            <v>12.756156066456928</v>
          </cell>
        </row>
        <row r="71">
          <cell r="A71">
            <v>93</v>
          </cell>
          <cell r="B71">
            <v>0.78568059244125488</v>
          </cell>
          <cell r="C71">
            <v>389.59499603369687</v>
          </cell>
          <cell r="D71">
            <v>2664.3946006141136</v>
          </cell>
          <cell r="E71">
            <v>963.26824062764854</v>
          </cell>
          <cell r="F71">
            <v>0.47108657256676412</v>
          </cell>
          <cell r="H71">
            <v>26</v>
          </cell>
          <cell r="I71">
            <v>226.05176209833252</v>
          </cell>
          <cell r="J71">
            <v>971.73971815469508</v>
          </cell>
          <cell r="K71">
            <v>2802.454254870001</v>
          </cell>
          <cell r="L71">
            <v>832.37104335300353</v>
          </cell>
          <cell r="M71">
            <v>13.00435582248199</v>
          </cell>
        </row>
        <row r="72">
          <cell r="A72">
            <v>94</v>
          </cell>
          <cell r="B72">
            <v>0.81542002042730566</v>
          </cell>
          <cell r="C72">
            <v>393.80616863894068</v>
          </cell>
          <cell r="D72">
            <v>2666.0067778748626</v>
          </cell>
          <cell r="E72">
            <v>962.58011674099589</v>
          </cell>
          <cell r="F72">
            <v>0.48774624070215522</v>
          </cell>
          <cell r="H72">
            <v>26.5</v>
          </cell>
          <cell r="I72">
            <v>227.07616898965728</v>
          </cell>
          <cell r="J72">
            <v>976.52106723445968</v>
          </cell>
          <cell r="K72">
            <v>2802.6262051154117</v>
          </cell>
          <cell r="L72">
            <v>831.01884766200988</v>
          </cell>
          <cell r="M72">
            <v>13.252834888697352</v>
          </cell>
        </row>
        <row r="73">
          <cell r="A73">
            <v>95</v>
          </cell>
          <cell r="B73">
            <v>0.84608938401395828</v>
          </cell>
          <cell r="C73">
            <v>398.01853947448257</v>
          </cell>
          <cell r="D73">
            <v>2667.6139493865071</v>
          </cell>
          <cell r="E73">
            <v>961.88733440074566</v>
          </cell>
          <cell r="F73">
            <v>0.50488515845290893</v>
          </cell>
          <cell r="H73">
            <v>27</v>
          </cell>
          <cell r="I73">
            <v>228.08578291727213</v>
          </cell>
          <cell r="J73">
            <v>981.24072653466249</v>
          </cell>
          <cell r="K73">
            <v>2802.7766292942706</v>
          </cell>
          <cell r="L73">
            <v>829.67963529740155</v>
          </cell>
          <cell r="M73">
            <v>13.501600364368354</v>
          </cell>
        </row>
        <row r="74">
          <cell r="A74">
            <v>96</v>
          </cell>
          <cell r="B74">
            <v>0.87771103474486589</v>
          </cell>
          <cell r="C74">
            <v>402.23213097307115</v>
          </cell>
          <cell r="D74">
            <v>2669.2160388316261</v>
          </cell>
          <cell r="E74">
            <v>961.18991518087978</v>
          </cell>
          <cell r="F74">
            <v>0.52251368399199549</v>
          </cell>
          <cell r="H74">
            <v>27.5</v>
          </cell>
          <cell r="I74">
            <v>229.08109078523933</v>
          </cell>
          <cell r="J74">
            <v>985.90075065053452</v>
          </cell>
          <cell r="K74">
            <v>2802.9062438656324</v>
          </cell>
          <cell r="L74">
            <v>828.35298678600179</v>
          </cell>
          <cell r="M74">
            <v>13.750659153510073</v>
          </cell>
        </row>
        <row r="75">
          <cell r="A75">
            <v>97</v>
          </cell>
          <cell r="B75">
            <v>0.91030767300094473</v>
          </cell>
          <cell r="C75">
            <v>406.44696564311414</v>
          </cell>
          <cell r="D75">
            <v>2670.8129693015244</v>
          </cell>
          <cell r="E75">
            <v>960.48787997163333</v>
          </cell>
          <cell r="F75">
            <v>0.5406423169371839</v>
          </cell>
          <cell r="H75">
            <v>28</v>
          </cell>
          <cell r="I75">
            <v>230.06255485025582</v>
          </cell>
          <cell r="J75">
            <v>990.50309045570657</v>
          </cell>
          <cell r="K75">
            <v>2803.0157274284775</v>
          </cell>
          <cell r="L75">
            <v>827.03850288895467</v>
          </cell>
          <cell r="M75">
            <v>14.000017976901345</v>
          </cell>
        </row>
        <row r="76">
          <cell r="A76">
            <v>98</v>
          </cell>
          <cell r="B76">
            <v>0.94390234944282381</v>
          </cell>
          <cell r="C76">
            <v>410.6630660732539</v>
          </cell>
          <cell r="D76">
            <v>2672.4046633109624</v>
          </cell>
          <cell r="E76">
            <v>959.78124899068325</v>
          </cell>
          <cell r="F76">
            <v>0.55928169903830405</v>
          </cell>
          <cell r="H76">
            <v>28.5</v>
          </cell>
          <cell r="I76">
            <v>231.03061438684466</v>
          </cell>
          <cell r="J76">
            <v>995.04960010414607</v>
          </cell>
          <cell r="K76">
            <v>2803.1057233394076</v>
          </cell>
          <cell r="L76">
            <v>825.73580327531874</v>
          </cell>
          <cell r="M76">
            <v>14.249683383225916</v>
          </cell>
        </row>
        <row r="77">
          <cell r="A77">
            <v>99</v>
          </cell>
          <cell r="B77">
            <v>0.97851846640090268</v>
          </cell>
          <cell r="C77">
            <v>414.88045493701554</v>
          </cell>
          <cell r="D77">
            <v>2673.9910428139706</v>
          </cell>
          <cell r="E77">
            <v>959.07004179393084</v>
          </cell>
          <cell r="F77">
            <v>0.57844261486929882</v>
          </cell>
          <cell r="H77">
            <v>29</v>
          </cell>
          <cell r="I77">
            <v>231.98568721286154</v>
          </cell>
          <cell r="J77">
            <v>999.54204344531649</v>
          </cell>
          <cell r="K77">
            <v>2803.1768421063716</v>
          </cell>
          <cell r="L77">
            <v>824.44452530403396</v>
          </cell>
          <cell r="M77">
            <v>14.499661759420945</v>
          </cell>
        </row>
        <row r="78">
          <cell r="A78">
            <v>100</v>
          </cell>
          <cell r="B78">
            <v>1.0141797792131015</v>
          </cell>
          <cell r="C78">
            <v>419.09915499752583</v>
          </cell>
          <cell r="D78">
            <v>2675.572029220747</v>
          </cell>
          <cell r="E78">
            <v>958.35427728588991</v>
          </cell>
          <cell r="F78">
            <v>0.59813599252570304</v>
          </cell>
          <cell r="H78">
            <v>29.5</v>
          </cell>
          <cell r="I78">
            <v>232.92817108923322</v>
          </cell>
          <cell r="J78">
            <v>1003.9820999109625</v>
          </cell>
          <cell r="K78">
            <v>2803.2296635810717</v>
          </cell>
          <cell r="L78">
            <v>823.16432290370517</v>
          </cell>
          <cell r="M78">
            <v>14.749959340304118</v>
          </cell>
        </row>
        <row r="79">
          <cell r="A79">
            <v>101</v>
          </cell>
          <cell r="B79">
            <v>1.050910397510463</v>
          </cell>
          <cell r="C79">
            <v>423.31918911229985</v>
          </cell>
          <cell r="D79">
            <v>2677.1475434156168</v>
          </cell>
          <cell r="E79">
            <v>957.63397372970121</v>
          </cell>
          <cell r="F79">
            <v>0.61837290432820191</v>
          </cell>
          <cell r="H79">
            <v>30</v>
          </cell>
          <cell r="I79">
            <v>233.85844500625223</v>
          </cell>
          <cell r="J79">
            <v>1008.3713699252716</v>
          </cell>
          <cell r="K79">
            <v>2803.2647389700587</v>
          </cell>
          <cell r="L79">
            <v>821.89486554082373</v>
          </cell>
          <cell r="M79">
            <v>15.000582217543011</v>
          </cell>
        </row>
        <row r="80">
          <cell r="A80">
            <v>102</v>
          </cell>
          <cell r="B80">
            <v>1.0887347864507604</v>
          </cell>
          <cell r="C80">
            <v>427.54058023808835</v>
          </cell>
          <cell r="D80">
            <v>2678.7175057760242</v>
          </cell>
          <cell r="E80">
            <v>956.90914875678038</v>
          </cell>
          <cell r="F80">
            <v>0.63916456753291251</v>
          </cell>
        </row>
        <row r="81">
          <cell r="A81">
            <v>103</v>
          </cell>
          <cell r="B81">
            <v>1.1276777679003032</v>
          </cell>
          <cell r="C81">
            <v>431.76335143579058</v>
          </cell>
          <cell r="D81">
            <v>2680.2818361925283</v>
          </cell>
          <cell r="E81">
            <v>956.17981937611808</v>
          </cell>
          <cell r="F81">
            <v>0.66052234504903806</v>
          </cell>
        </row>
        <row r="82">
          <cell r="A82">
            <v>104</v>
          </cell>
          <cell r="B82">
            <v>1.1677645215641657</v>
          </cell>
          <cell r="C82">
            <v>435.9875258754181</v>
          </cell>
          <cell r="D82">
            <v>2681.8404540897509</v>
          </cell>
          <cell r="E82">
            <v>955.44600198324144</v>
          </cell>
          <cell r="F82">
            <v>0.68245774616454868</v>
          </cell>
        </row>
        <row r="83">
          <cell r="A83">
            <v>105</v>
          </cell>
          <cell r="B83">
            <v>1.2090205860650922</v>
          </cell>
          <cell r="C83">
            <v>440.21312684111933</v>
          </cell>
          <cell r="D83">
            <v>2683.393278448229</v>
          </cell>
          <cell r="E83">
            <v>954.70771236885059</v>
          </cell>
          <cell r="F83">
            <v>0.70498242728055482</v>
          </cell>
        </row>
        <row r="84">
          <cell r="A84">
            <v>106</v>
          </cell>
          <cell r="B84">
            <v>1.2514718599713044</v>
          </cell>
          <cell r="C84">
            <v>444.4401777362495</v>
          </cell>
          <cell r="D84">
            <v>2684.94022782711</v>
          </cell>
          <cell r="E84">
            <v>953.96496572713909</v>
          </cell>
          <cell r="F84">
            <v>0.7281081926550057</v>
          </cell>
        </row>
        <row r="85">
          <cell r="A85">
            <v>107</v>
          </cell>
          <cell r="B85">
            <v>1.2951446027735845</v>
          </cell>
          <cell r="C85">
            <v>448.66870208849502</v>
          </cell>
          <cell r="D85">
            <v>2686.4812203876136</v>
          </cell>
          <cell r="E85">
            <v>953.21777666381183</v>
          </cell>
          <cell r="F85">
            <v>0.75184699515643116</v>
          </cell>
        </row>
        <row r="86">
          <cell r="A86">
            <v>108</v>
          </cell>
          <cell r="B86">
            <v>1.3400654358118609</v>
          </cell>
          <cell r="C86">
            <v>452.89872355503883</v>
          </cell>
          <cell r="D86">
            <v>2688.0161739171954</v>
          </cell>
          <cell r="E86">
            <v>952.46615920380896</v>
          </cell>
          <cell r="F86">
            <v>0.77621093702834654</v>
          </cell>
        </row>
        <row r="87">
          <cell r="A87">
            <v>109</v>
          </cell>
          <cell r="B87">
            <v>1.3862613431517175</v>
          </cell>
          <cell r="C87">
            <v>457.13026592777237</v>
          </cell>
          <cell r="D87">
            <v>2689.5450058543124</v>
          </cell>
          <cell r="E87">
            <v>951.71012679874445</v>
          </cell>
          <cell r="F87">
            <v>0.80121227066505196</v>
          </cell>
        </row>
        <row r="88">
          <cell r="A88">
            <v>110</v>
          </cell>
          <cell r="B88">
            <v>1.433759672411151</v>
          </cell>
          <cell r="C88">
            <v>461.3633531385438</v>
          </cell>
          <cell r="D88">
            <v>2691.0676333137076</v>
          </cell>
          <cell r="E88">
            <v>950.94969233406869</v>
          </cell>
          <cell r="F88">
            <v>0.82686339939949838</v>
          </cell>
        </row>
        <row r="89">
          <cell r="A89">
            <v>111</v>
          </cell>
          <cell r="B89">
            <v>1.4825881355379513</v>
          </cell>
          <cell r="C89">
            <v>465.59800926445212</v>
          </cell>
          <cell r="D89">
            <v>2692.5839731121118</v>
          </cell>
          <cell r="E89">
            <v>950.18486813596814</v>
          </cell>
          <cell r="F89">
            <v>0.85317687830391797</v>
          </cell>
        </row>
        <row r="90">
          <cell r="A90">
            <v>112</v>
          </cell>
          <cell r="B90">
            <v>1.5327748095381586</v>
          </cell>
          <cell r="C90">
            <v>469.83425853316811</v>
          </cell>
          <cell r="D90">
            <v>2694.0939417942577</v>
          </cell>
          <cell r="E90">
            <v>949.41566597800067</v>
          </cell>
          <cell r="F90">
            <v>0.88016541500396783</v>
          </cell>
        </row>
        <row r="91">
          <cell r="A91">
            <v>113</v>
          </cell>
          <cell r="B91">
            <v>1.5843481371559884</v>
          </cell>
          <cell r="C91">
            <v>474.0721253282959</v>
          </cell>
          <cell r="D91">
            <v>2695.5974556590909</v>
          </cell>
          <cell r="E91">
            <v>948.64209708748501</v>
          </cell>
          <cell r="F91">
            <v>0.90784187050709464</v>
          </cell>
        </row>
        <row r="92">
          <cell r="A92">
            <v>114</v>
          </cell>
          <cell r="B92">
            <v>1.6373369275056739</v>
          </cell>
          <cell r="C92">
            <v>478.31163419476638</v>
          </cell>
          <cell r="D92">
            <v>2697.09443078607</v>
          </cell>
          <cell r="E92">
            <v>947.86417215164408</v>
          </cell>
          <cell r="F92">
            <v>0.93621926004587497</v>
          </cell>
        </row>
        <row r="93">
          <cell r="A93">
            <v>115</v>
          </cell>
          <cell r="B93">
            <v>1.6917703566557418</v>
          </cell>
          <cell r="C93">
            <v>482.5528098442544</v>
          </cell>
          <cell r="D93">
            <v>2698.5847830614284</v>
          </cell>
          <cell r="E93">
            <v>947.08190132351262</v>
          </cell>
          <cell r="F93">
            <v>0.9653107539371234</v>
          </cell>
        </row>
        <row r="94">
          <cell r="A94">
            <v>116</v>
          </cell>
          <cell r="B94">
            <v>1.747677968166127</v>
          </cell>
          <cell r="C94">
            <v>486.79567716063553</v>
          </cell>
          <cell r="D94">
            <v>2700.0684282042785</v>
          </cell>
          <cell r="E94">
            <v>946.29529422761493</v>
          </cell>
          <cell r="F94">
            <v>0.99512967845751188</v>
          </cell>
        </row>
        <row r="95">
          <cell r="A95">
            <v>117</v>
          </cell>
          <cell r="B95">
            <v>1.8050896735787203</v>
          </cell>
          <cell r="C95">
            <v>491.04026120545655</v>
          </cell>
          <cell r="D95">
            <v>2701.5452817924302</v>
          </cell>
          <cell r="E95">
            <v>945.5043599654183</v>
          </cell>
          <cell r="F95">
            <v>1.0256895167365572</v>
          </cell>
        </row>
        <row r="96">
          <cell r="A96">
            <v>118</v>
          </cell>
          <cell r="B96">
            <v>1.8640357528617977</v>
          </cell>
          <cell r="C96">
            <v>495.28658722344085</v>
          </cell>
          <cell r="D96">
            <v>2703.015259287798</v>
          </cell>
          <cell r="E96">
            <v>944.70910712057048</v>
          </cell>
          <cell r="F96">
            <v>1.0570039096677666</v>
          </cell>
        </row>
        <row r="97">
          <cell r="A97">
            <v>119</v>
          </cell>
          <cell r="B97">
            <v>1.9245468548089635</v>
          </cell>
          <cell r="C97">
            <v>499.53468064801717</v>
          </cell>
          <cell r="D97">
            <v>2704.4782760612629</v>
          </cell>
          <cell r="E97">
            <v>943.90954376392358</v>
          </cell>
          <cell r="F97">
            <v>1.0890866568388504</v>
          </cell>
        </row>
        <row r="98">
          <cell r="A98">
            <v>120</v>
          </cell>
          <cell r="B98">
            <v>1.9866539973930177</v>
          </cell>
          <cell r="C98">
            <v>503.78456710686413</v>
          </cell>
          <cell r="D98">
            <v>2705.9342474168702</v>
          </cell>
          <cell r="E98">
            <v>943.10567745835317</v>
          </cell>
          <cell r="F98">
            <v>1.1219517174817994</v>
          </cell>
        </row>
        <row r="99">
          <cell r="A99">
            <v>121</v>
          </cell>
          <cell r="B99">
            <v>2.0503885680755252</v>
          </cell>
          <cell r="C99">
            <v>508.03627242748661</v>
          </cell>
          <cell r="D99">
            <v>2707.3830886152209</v>
          </cell>
          <cell r="E99">
            <v>942.29751526337384</v>
          </cell>
          <cell r="F99">
            <v>1.1556132114438531</v>
          </cell>
        </row>
        <row r="100">
          <cell r="A100">
            <v>122</v>
          </cell>
          <cell r="B100">
            <v>2.1157823240724629</v>
          </cell>
          <cell r="C100">
            <v>512.2898226428041</v>
          </cell>
          <cell r="D100">
            <v>2708.8247148959422</v>
          </cell>
          <cell r="E100">
            <v>941.48506373956161</v>
          </cell>
          <cell r="F100">
            <v>1.1900854201801792</v>
          </cell>
        </row>
        <row r="101">
          <cell r="A101">
            <v>123</v>
          </cell>
          <cell r="B101">
            <v>2.182867392576727</v>
          </cell>
          <cell r="C101">
            <v>516.54524399676711</v>
          </cell>
          <cell r="D101">
            <v>2710.2590414991109</v>
          </cell>
          <cell r="E101">
            <v>940.66832895278128</v>
          </cell>
          <cell r="F101">
            <v>1.2253827877693315</v>
          </cell>
        </row>
        <row r="102">
          <cell r="A102">
            <v>124</v>
          </cell>
          <cell r="B102">
            <v>2.2516762709380016</v>
          </cell>
          <cell r="C102">
            <v>520.80256294998253</v>
          </cell>
          <cell r="D102">
            <v>2711.6859836855024</v>
          </cell>
          <cell r="E102">
            <v>939.84731647822855</v>
          </cell>
          <cell r="F102">
            <v>1.2615199219524276</v>
          </cell>
        </row>
        <row r="103">
          <cell r="A103">
            <v>125</v>
          </cell>
          <cell r="B103">
            <v>2.3222418268006848</v>
          </cell>
          <cell r="C103">
            <v>525.06180618537303</v>
          </cell>
          <cell r="D103">
            <v>2713.1054567555561</v>
          </cell>
          <cell r="E103">
            <v>939.02203140428867</v>
          </cell>
          <cell r="F103">
            <v>1.29851159519711</v>
          </cell>
        </row>
        <row r="104">
          <cell r="A104">
            <v>126</v>
          </cell>
          <cell r="B104">
            <v>2.3945972982004866</v>
          </cell>
          <cell r="C104">
            <v>529.32300061383683</v>
          </cell>
          <cell r="D104">
            <v>2714.5173760669472</v>
          </cell>
          <cell r="E104">
            <v>938.192478336215</v>
          </cell>
          <cell r="F104">
            <v>1.3363727457873495</v>
          </cell>
        </row>
        <row r="105">
          <cell r="A105">
            <v>127</v>
          </cell>
          <cell r="B105">
            <v>2.4687762936203805</v>
          </cell>
          <cell r="C105">
            <v>533.58617337994349</v>
          </cell>
          <cell r="D105">
            <v>2715.921657050651</v>
          </cell>
          <cell r="E105">
            <v>937.35866139963412</v>
          </cell>
          <cell r="F105">
            <v>1.3751184789402049</v>
          </cell>
        </row>
        <row r="106">
          <cell r="A106">
            <v>128</v>
          </cell>
          <cell r="B106">
            <v>2.5448127920065455</v>
          </cell>
          <cell r="C106">
            <v>537.85135186763182</v>
          </cell>
          <cell r="D106">
            <v>2717.3182152254117</v>
          </cell>
          <cell r="E106">
            <v>936.52058424387747</v>
          </cell>
          <cell r="F106">
            <v>1.4147640679506612</v>
          </cell>
        </row>
        <row r="107">
          <cell r="A107">
            <v>129</v>
          </cell>
          <cell r="B107">
            <v>2.6227411427450731</v>
          </cell>
          <cell r="C107">
            <v>542.11856370593694</v>
          </cell>
          <cell r="D107">
            <v>2718.7069662105155</v>
          </cell>
          <cell r="E107">
            <v>935.67825004514532</v>
          </cell>
          <cell r="F107">
            <v>1.4553249553657783</v>
          </cell>
        </row>
        <row r="108">
          <cell r="A108">
            <v>130</v>
          </cell>
          <cell r="B108">
            <v>2.7025960655999781</v>
          </cell>
          <cell r="C108">
            <v>546.38783677473054</v>
          </cell>
          <cell r="D108">
            <v>2720.0878257367926</v>
          </cell>
          <cell r="E108">
            <v>934.83166150950603</v>
          </cell>
          <cell r="F108">
            <v>1.4968167541892763</v>
          </cell>
        </row>
        <row r="109">
          <cell r="A109">
            <v>131</v>
          </cell>
          <cell r="B109">
            <v>2.7844126506133815</v>
          </cell>
          <cell r="C109">
            <v>550.65919921047612</v>
          </cell>
          <cell r="D109">
            <v>2721.4607096557675</v>
          </cell>
          <cell r="E109">
            <v>933.98082087573277</v>
          </cell>
          <cell r="F109">
            <v>1.5392552491179019</v>
          </cell>
        </row>
        <row r="110">
          <cell r="A110">
            <v>132</v>
          </cell>
          <cell r="B110">
            <v>2.8682263579684584</v>
          </cell>
          <cell r="C110">
            <v>554.93267941201134</v>
          </cell>
          <cell r="D110">
            <v>2722.8255339468933</v>
          </cell>
          <cell r="E110">
            <v>933.12572991798231</v>
          </cell>
          <cell r="F110">
            <v>1.5826563978108079</v>
          </cell>
        </row>
        <row r="111">
          <cell r="A111">
            <v>133</v>
          </cell>
          <cell r="B111">
            <v>2.9540730178160226</v>
          </cell>
          <cell r="C111">
            <v>559.20830604633807</v>
          </cell>
          <cell r="D111">
            <v>2724.1822147228181</v>
          </cell>
          <cell r="E111">
            <v>932.26638994831558</v>
          </cell>
          <cell r="F111">
            <v>1.627036332193347</v>
          </cell>
        </row>
        <row r="112">
          <cell r="A112">
            <v>134</v>
          </cell>
          <cell r="B112">
            <v>3.0419888300652675</v>
          </cell>
          <cell r="C112">
            <v>563.48610805444127</v>
          </cell>
          <cell r="D112">
            <v>2725.5306682326332</v>
          </cell>
          <cell r="E112">
            <v>931.40280181906701</v>
          </cell>
          <cell r="F112">
            <v>1.6724113597965415</v>
          </cell>
        </row>
        <row r="113">
          <cell r="A113">
            <v>135</v>
          </cell>
          <cell r="B113">
            <v>3.1320103641396226</v>
          </cell>
          <cell r="C113">
            <v>567.76611465711733</v>
          </cell>
          <cell r="D113">
            <v>2726.8708108630676</v>
          </cell>
          <cell r="E113">
            <v>930.53496592505985</v>
          </cell>
          <cell r="F113">
            <v>1.7187979651337508</v>
          </cell>
        </row>
        <row r="114">
          <cell r="A114">
            <v>136</v>
          </cell>
          <cell r="B114">
            <v>3.2241745586984152</v>
          </cell>
          <cell r="C114">
            <v>572.04835536083533</v>
          </cell>
          <cell r="D114">
            <v>2728.2025591376082</v>
          </cell>
          <cell r="E114">
            <v>929.66288220567696</v>
          </cell>
          <cell r="F114">
            <v>1.7662128111159563</v>
          </cell>
        </row>
        <row r="115">
          <cell r="A115">
            <v>137</v>
          </cell>
          <cell r="B115">
            <v>3.31851872132499</v>
          </cell>
          <cell r="C115">
            <v>576.33285996360473</v>
          </cell>
          <cell r="D115">
            <v>2729.5258297135269</v>
          </cell>
          <cell r="E115">
            <v>928.78655014677929</v>
          </cell>
          <cell r="F115">
            <v>1.8146727405070875</v>
          </cell>
        </row>
        <row r="116">
          <cell r="A116">
            <v>138</v>
          </cell>
          <cell r="B116">
            <v>3.4150805281822292</v>
          </cell>
          <cell r="C116">
            <v>580.61965856087681</v>
          </cell>
          <cell r="D116">
            <v>2730.8405393768126</v>
          </cell>
          <cell r="E116">
            <v>927.90596878248459</v>
          </cell>
          <cell r="F116">
            <v>1.8641947774210086</v>
          </cell>
        </row>
        <row r="117">
          <cell r="A117">
            <v>139</v>
          </cell>
          <cell r="B117">
            <v>3.5138980236361683</v>
          </cell>
          <cell r="C117">
            <v>584.90878155146243</v>
          </cell>
          <cell r="D117">
            <v>2732.146605035015</v>
          </cell>
          <cell r="E117">
            <v>927.0211366968017</v>
          </cell>
          <cell r="F117">
            <v>1.9147961288616961</v>
          </cell>
        </row>
        <row r="118">
          <cell r="A118">
            <v>140</v>
          </cell>
          <cell r="B118">
            <v>3.6150096198484878</v>
          </cell>
          <cell r="C118">
            <v>589.20025964347667</v>
          </cell>
          <cell r="D118">
            <v>2733.4439437080232</v>
          </cell>
          <cell r="E118">
            <v>926.13205202512404</v>
          </cell>
          <cell r="F118">
            <v>1.9664941863081919</v>
          </cell>
        </row>
        <row r="119">
          <cell r="A119">
            <v>141</v>
          </cell>
          <cell r="B119">
            <v>3.7184540963386583</v>
          </cell>
          <cell r="C119">
            <v>593.49412386030508</v>
          </cell>
          <cell r="D119">
            <v>2734.7324725167987</v>
          </cell>
          <cell r="E119">
            <v>925.23871245558439</v>
          </cell>
          <cell r="F119">
            <v>2.0193065273459778</v>
          </cell>
        </row>
        <row r="120">
          <cell r="A120">
            <v>142</v>
          </cell>
          <cell r="B120">
            <v>3.8242705995167006</v>
          </cell>
          <cell r="C120">
            <v>597.79040554659809</v>
          </cell>
          <cell r="D120">
            <v>2736.0121086701101</v>
          </cell>
          <cell r="E120">
            <v>924.34111523027207</v>
          </cell>
          <cell r="F120">
            <v>2.0732509173465266</v>
          </cell>
        </row>
        <row r="121">
          <cell r="A121">
            <v>143</v>
          </cell>
          <cell r="B121">
            <v>3.9324986421870807</v>
          </cell>
          <cell r="C121">
            <v>602.08913637429578</v>
          </cell>
          <cell r="D121">
            <v>2737.2827694493158</v>
          </cell>
          <cell r="E121">
            <v>923.43925714631484</v>
          </cell>
          <cell r="F121">
            <v>2.1283453111965946</v>
          </cell>
        </row>
        <row r="122">
          <cell r="A122">
            <v>144</v>
          </cell>
          <cell r="B122">
            <v>4.0431781030248564</v>
          </cell>
          <cell r="C122">
            <v>606.39034834867346</v>
          </cell>
          <cell r="D122">
            <v>2738.5443721912529</v>
          </cell>
          <cell r="E122">
            <v>922.53313455682564</v>
          </cell>
          <cell r="F122">
            <v>2.1846078550791672</v>
          </cell>
        </row>
        <row r="123">
          <cell r="A123">
            <v>145</v>
          </cell>
          <cell r="B123">
            <v>4.156349226024707</v>
          </cell>
          <cell r="C123">
            <v>610.69407381442772</v>
          </cell>
          <cell r="D123">
            <v>2739.7968342693021</v>
          </cell>
          <cell r="E123">
            <v>921.62274337171652</v>
          </cell>
          <cell r="F123">
            <v>2.2420568883077374</v>
          </cell>
        </row>
        <row r="124">
          <cell r="A124">
            <v>146</v>
          </cell>
          <cell r="B124">
            <v>4.2720526199237705</v>
          </cell>
          <cell r="C124">
            <v>615.00034546178449</v>
          </cell>
          <cell r="D124">
            <v>2741.0400730727033</v>
          </cell>
          <cell r="E124">
            <v>920.70807905838114</v>
          </cell>
          <cell r="F124">
            <v>2.3007109452157994</v>
          </cell>
        </row>
        <row r="125">
          <cell r="A125">
            <v>147</v>
          </cell>
          <cell r="B125">
            <v>4.3903292575990251</v>
          </cell>
          <cell r="C125">
            <v>619.30919633264921</v>
          </cell>
          <cell r="D125">
            <v>2742.2740059842104</v>
          </cell>
          <cell r="E125">
            <v>919.78913664224513</v>
          </cell>
          <cell r="F125">
            <v>2.3605887571033515</v>
          </cell>
        </row>
        <row r="126">
          <cell r="A126">
            <v>148</v>
          </cell>
          <cell r="B126">
            <v>4.5112204754401954</v>
          </cell>
          <cell r="C126">
            <v>623.6206598267845</v>
          </cell>
          <cell r="D126">
            <v>2743.4985503561743</v>
          </cell>
          <cell r="E126">
            <v>918.86591070718782</v>
          </cell>
          <cell r="F126">
            <v>2.4217092542423773</v>
          </cell>
        </row>
        <row r="127">
          <cell r="A127">
            <v>149</v>
          </cell>
          <cell r="B127">
            <v>4.6347679726988869</v>
          </cell>
          <cell r="C127">
            <v>627.93476970803283</v>
          </cell>
          <cell r="D127">
            <v>2744.7136234851532</v>
          </cell>
          <cell r="E127">
            <v>917.93839539583485</v>
          </cell>
          <cell r="F127">
            <v>2.4840915679431577</v>
          </cell>
        </row>
        <row r="128">
          <cell r="A128">
            <v>150</v>
          </cell>
          <cell r="B128">
            <v>4.7610138108149265</v>
          </cell>
          <cell r="C128">
            <v>632.25156011057356</v>
          </cell>
          <cell r="D128">
            <v>2745.9191425851614</v>
          </cell>
          <cell r="E128">
            <v>917.00658440972177</v>
          </cell>
          <cell r="F128">
            <v>2.5477550326834315</v>
          </cell>
        </row>
        <row r="129">
          <cell r="A129">
            <v>151</v>
          </cell>
          <cell r="B129">
            <v>4.8900004127206422</v>
          </cell>
          <cell r="C129">
            <v>636.57106554521681</v>
          </cell>
          <cell r="D129">
            <v>2747.1150247596584</v>
          </cell>
          <cell r="E129">
            <v>916.07047100933187</v>
          </cell>
          <cell r="F129">
            <v>2.6127191883023357</v>
          </cell>
        </row>
        <row r="130">
          <cell r="A130">
            <v>152</v>
          </cell>
          <cell r="B130">
            <v>5.0217705621240949</v>
          </cell>
          <cell r="C130">
            <v>640.89332090575203</v>
          </cell>
          <cell r="D130">
            <v>2748.3011869723996</v>
          </cell>
          <cell r="E130">
            <v>915.1300480140053</v>
          </cell>
          <cell r="F130">
            <v>2.6790037822612325</v>
          </cell>
        </row>
        <row r="131">
          <cell r="A131">
            <v>153</v>
          </cell>
          <cell r="B131">
            <v>5.1563674027719131</v>
          </cell>
          <cell r="C131">
            <v>645.21836147533133</v>
          </cell>
          <cell r="D131">
            <v>2749.4775460172646</v>
          </cell>
          <cell r="E131">
            <v>914.18530780172421</v>
          </cell>
          <cell r="F131">
            <v>2.746628771973362</v>
          </cell>
        </row>
        <row r="132">
          <cell r="A132">
            <v>154</v>
          </cell>
          <cell r="B132">
            <v>5.2938344376929178</v>
          </cell>
          <cell r="C132">
            <v>649.54622293290618</v>
          </cell>
          <cell r="D132">
            <v>2750.6440184871853</v>
          </cell>
          <cell r="E132">
            <v>913.23624230876942</v>
          </cell>
          <cell r="F132">
            <v>2.8156143272045968</v>
          </cell>
        </row>
        <row r="133">
          <cell r="A133">
            <v>155</v>
          </cell>
          <cell r="B133">
            <v>5.4342155284230165</v>
          </cell>
          <cell r="C133">
            <v>653.87694135970855</v>
          </cell>
          <cell r="D133">
            <v>2751.8005207422971</v>
          </cell>
          <cell r="E133">
            <v>912.28284302925522</v>
          </cell>
          <cell r="F133">
            <v>2.8859808325471974</v>
          </cell>
        </row>
        <row r="134">
          <cell r="A134">
            <v>156</v>
          </cell>
          <cell r="B134">
            <v>5.5775548942126338</v>
          </cell>
          <cell r="C134">
            <v>658.21055324579265</v>
          </cell>
          <cell r="D134">
            <v>2752.9469688774352</v>
          </cell>
          <cell r="E134">
            <v>911.32510101453477</v>
          </cell>
          <cell r="F134">
            <v>2.9577488899689612</v>
          </cell>
        </row>
        <row r="135">
          <cell r="A135">
            <v>157</v>
          </cell>
          <cell r="B135">
            <v>5.7238971112173411</v>
          </cell>
          <cell r="C135">
            <v>662.54709549662323</v>
          </cell>
          <cell r="D135">
            <v>2754.0832786891019</v>
          </cell>
          <cell r="E135">
            <v>910.36300687248524</v>
          </cell>
          <cell r="F135">
            <v>3.0309393214398437</v>
          </cell>
        </row>
        <row r="136">
          <cell r="A136">
            <v>158</v>
          </cell>
          <cell r="B136">
            <v>5.8732871116725516</v>
          </cell>
          <cell r="C136">
            <v>666.88660543972628</v>
          </cell>
          <cell r="D136">
            <v>2755.2093656420302</v>
          </cell>
          <cell r="E136">
            <v>909.39655076666327</v>
          </cell>
          <cell r="F136">
            <v>3.1055731716382708</v>
          </cell>
        </row>
        <row r="137">
          <cell r="A137">
            <v>159</v>
          </cell>
          <cell r="B137">
            <v>6.0257701830534298</v>
          </cell>
          <cell r="C137">
            <v>671.22912083139818</v>
          </cell>
          <cell r="D137">
            <v>2756.325144835459</v>
          </cell>
          <cell r="E137">
            <v>908.42572241533969</v>
          </cell>
          <cell r="F137">
            <v>3.18167171073959</v>
          </cell>
        </row>
        <row r="138">
          <cell r="A138">
            <v>160</v>
          </cell>
          <cell r="B138">
            <v>6.1813919672205397</v>
          </cell>
          <cell r="C138">
            <v>675.57467986347638</v>
          </cell>
          <cell r="D138">
            <v>2757.4305309692477</v>
          </cell>
          <cell r="E138">
            <v>907.45051109040674</v>
          </cell>
          <cell r="F138">
            <v>3.2592564372887538</v>
          </cell>
        </row>
        <row r="139">
          <cell r="A139">
            <v>161</v>
          </cell>
          <cell r="B139">
            <v>6.3401984595524645</v>
          </cell>
          <cell r="C139">
            <v>679.92332117017963</v>
          </cell>
          <cell r="D139">
            <v>2758.5254383099391</v>
          </cell>
          <cell r="E139">
            <v>906.47090561616074</v>
          </cell>
          <cell r="F139">
            <v>3.3383490811598135</v>
          </cell>
        </row>
        <row r="140">
          <cell r="A140">
            <v>162</v>
          </cell>
          <cell r="B140">
            <v>6.5022360080661521</v>
          </cell>
          <cell r="C140">
            <v>684.27508383501436</v>
          </cell>
          <cell r="D140">
            <v>2759.6097806568851</v>
          </cell>
          <cell r="E140">
            <v>905.48689436795905</v>
          </cell>
          <cell r="F140">
            <v>3.4189716066045457</v>
          </cell>
        </row>
        <row r="141">
          <cell r="A141">
            <v>163</v>
          </cell>
          <cell r="B141">
            <v>6.667551312525978</v>
          </cell>
          <cell r="C141">
            <v>688.63000739775134</v>
          </cell>
          <cell r="D141">
            <v>2760.6834713085418</v>
          </cell>
          <cell r="E141">
            <v>904.49846527075226</v>
          </cell>
          <cell r="F141">
            <v>3.5011462153927186</v>
          </cell>
        </row>
        <row r="142">
          <cell r="A142">
            <v>164</v>
          </cell>
          <cell r="B142">
            <v>6.8361914235422478</v>
          </cell>
          <cell r="C142">
            <v>692.98813186148095</v>
          </cell>
          <cell r="D142">
            <v>2761.7464230290393</v>
          </cell>
          <cell r="E142">
            <v>903.50560579748787</v>
          </cell>
          <cell r="F142">
            <v>3.5848953500464367</v>
          </cell>
        </row>
        <row r="143">
          <cell r="A143">
            <v>165</v>
          </cell>
          <cell r="B143">
            <v>7.0082037416604726</v>
          </cell>
          <cell r="C143">
            <v>697.34949769974514</v>
          </cell>
          <cell r="D143">
            <v>2762.7985480151096</v>
          </cell>
          <cell r="E143">
            <v>902.50830296738843</v>
          </cell>
          <cell r="F143">
            <v>3.6702416971713379</v>
          </cell>
        </row>
        <row r="144">
          <cell r="A144">
            <v>166</v>
          </cell>
          <cell r="B144">
            <v>7.1836360164417776</v>
          </cell>
          <cell r="C144">
            <v>701.71414586374954</v>
          </cell>
          <cell r="D144">
            <v>2763.8397578634813</v>
          </cell>
          <cell r="E144">
            <v>901.50654334410183</v>
          </cell>
          <cell r="F144">
            <v>3.7572081908870008</v>
          </cell>
        </row>
        <row r="145">
          <cell r="A145">
            <v>167</v>
          </cell>
          <cell r="B145">
            <v>7.362536345536018</v>
          </cell>
          <cell r="C145">
            <v>706.08211778966256</v>
          </cell>
          <cell r="D145">
            <v>2764.8699635388011</v>
          </cell>
          <cell r="E145">
            <v>900.50031303372157</v>
          </cell>
          <cell r="F145">
            <v>3.8458180163595941</v>
          </cell>
        </row>
        <row r="146">
          <cell r="A146">
            <v>168</v>
          </cell>
          <cell r="B146">
            <v>7.544953173747933</v>
          </cell>
          <cell r="C146">
            <v>710.45345540600385</v>
          </cell>
          <cell r="D146">
            <v>2765.8890753421715</v>
          </cell>
          <cell r="E146">
            <v>899.48959768267878</v>
          </cell>
          <cell r="F146">
            <v>3.9360946134392258</v>
          </cell>
        </row>
        <row r="147">
          <cell r="A147">
            <v>169</v>
          </cell>
          <cell r="B147">
            <v>7.7309352920977226</v>
          </cell>
          <cell r="C147">
            <v>714.82820114112121</v>
          </cell>
          <cell r="D147">
            <v>2766.8970028803647</v>
          </cell>
          <cell r="E147">
            <v>898.47438247550303</v>
          </cell>
          <cell r="F147">
            <v>4.0280616804050631</v>
          </cell>
        </row>
        <row r="148">
          <cell r="A148">
            <v>170</v>
          </cell>
          <cell r="B148">
            <v>7.9205318368769291</v>
          </cell>
          <cell r="C148">
            <v>719.20639793076975</v>
          </cell>
          <cell r="D148">
            <v>2767.8936550357662</v>
          </cell>
          <cell r="E148">
            <v>897.45465213245086</v>
          </cell>
          <cell r="F148">
            <v>4.1217431778211076</v>
          </cell>
        </row>
        <row r="149">
          <cell r="A149">
            <v>171</v>
          </cell>
          <cell r="B149">
            <v>8.1137922887001981</v>
          </cell>
          <cell r="C149">
            <v>723.58808922578407</v>
          </cell>
          <cell r="D149">
            <v>2768.878939937109</v>
          </cell>
          <cell r="E149">
            <v>896.4303909070012</v>
          </cell>
          <cell r="F149">
            <v>4.2171633325054261</v>
          </cell>
        </row>
        <row r="150">
          <cell r="A150">
            <v>172</v>
          </cell>
          <cell r="B150">
            <v>8.3107664715545049</v>
          </cell>
          <cell r="C150">
            <v>727.9733189998633</v>
          </cell>
          <cell r="D150">
            <v>2769.8527649310245</v>
          </cell>
          <cell r="E150">
            <v>895.40158258321571</v>
          </cell>
          <cell r="F150">
            <v>4.3143466416162539</v>
          </cell>
        </row>
        <row r="151">
          <cell r="A151">
            <v>173</v>
          </cell>
          <cell r="B151">
            <v>8.5115045518462882</v>
          </cell>
          <cell r="C151">
            <v>732.36213175745513</v>
          </cell>
          <cell r="D151">
            <v>2770.8150365544511</v>
          </cell>
          <cell r="E151">
            <v>894.36821047296257</v>
          </cell>
          <cell r="F151">
            <v>4.4133178768578727</v>
          </cell>
        </row>
        <row r="152">
          <cell r="A152">
            <v>174</v>
          </cell>
          <cell r="B152">
            <v>8.7160570374478219</v>
          </cell>
          <cell r="C152">
            <v>736.75457254176047</v>
          </cell>
          <cell r="D152">
            <v>2771.7656605079192</v>
          </cell>
          <cell r="E152">
            <v>893.33025741300287</v>
          </cell>
          <cell r="F152">
            <v>4.5141020888097128</v>
          </cell>
        </row>
        <row r="153">
          <cell r="A153">
            <v>175</v>
          </cell>
          <cell r="B153">
            <v>8.9244747767434571</v>
          </cell>
          <cell r="C153">
            <v>741.15068694285139</v>
          </cell>
          <cell r="D153">
            <v>2772.7045416297278</v>
          </cell>
          <cell r="E153">
            <v>892.28770576193472</v>
          </cell>
          <cell r="F153">
            <v>4.616724611381871</v>
          </cell>
        </row>
        <row r="154">
          <cell r="A154">
            <v>176</v>
          </cell>
          <cell r="B154">
            <v>9.1368089576771521</v>
          </cell>
          <cell r="C154">
            <v>745.55052110591259</v>
          </cell>
          <cell r="D154">
            <v>2773.6315838710179</v>
          </cell>
          <cell r="E154">
            <v>891.24053739699616</v>
          </cell>
          <cell r="F154">
            <v>4.7212110664007652</v>
          </cell>
        </row>
        <row r="155">
          <cell r="A155">
            <v>177</v>
          </cell>
          <cell r="B155">
            <v>9.3531111068018937</v>
          </cell>
          <cell r="C155">
            <v>749.9541217396079</v>
          </cell>
          <cell r="D155">
            <v>2774.5466902717367</v>
          </cell>
          <cell r="E155">
            <v>890.18873371072368</v>
          </cell>
          <cell r="F155">
            <v>4.8275873683282713</v>
          </cell>
        </row>
        <row r="156">
          <cell r="A156">
            <v>178</v>
          </cell>
          <cell r="B156">
            <v>9.5734330883322301</v>
          </cell>
          <cell r="C156">
            <v>754.36153612458054</v>
          </cell>
          <cell r="D156">
            <v>2775.4497629374869</v>
          </cell>
          <cell r="E156">
            <v>889.13227560746202</v>
          </cell>
          <cell r="F156">
            <v>4.9358797291181986</v>
          </cell>
        </row>
        <row r="157">
          <cell r="A157">
            <v>179</v>
          </cell>
          <cell r="B157">
            <v>9.797827103200996</v>
          </cell>
          <cell r="C157">
            <v>758.77281212209095</v>
          </cell>
          <cell r="D157">
            <v>2776.3407030172325</v>
          </cell>
          <cell r="E157">
            <v>888.0711434997246</v>
          </cell>
          <cell r="F157">
            <v>5.0461146632139426</v>
          </cell>
        </row>
        <row r="158">
          <cell r="A158">
            <v>180</v>
          </cell>
          <cell r="B158">
            <v>10.026345688120941</v>
          </cell>
          <cell r="C158">
            <v>763.18799818279297</v>
          </cell>
          <cell r="D158">
            <v>2777.2194106818442</v>
          </cell>
          <cell r="E158">
            <v>887.00531730440139</v>
          </cell>
          <cell r="F158">
            <v>5.1583189926910959</v>
          </cell>
        </row>
        <row r="159">
          <cell r="A159">
            <v>181</v>
          </cell>
          <cell r="B159">
            <v>10.259041714652595</v>
          </cell>
          <cell r="C159">
            <v>767.60714335566252</v>
          </cell>
          <cell r="D159">
            <v>2778.0857851034457</v>
          </cell>
          <cell r="E159">
            <v>885.93477643880976</v>
          </cell>
          <cell r="F159">
            <v>5.272519852549288</v>
          </cell>
        </row>
        <row r="160">
          <cell r="A160">
            <v>182</v>
          </cell>
          <cell r="B160">
            <v>10.495968388279344</v>
          </cell>
          <cell r="C160">
            <v>772.03029729707578</v>
          </cell>
          <cell r="D160">
            <v>2778.9397244355168</v>
          </cell>
          <cell r="E160">
            <v>884.85949981658575</v>
          </cell>
          <cell r="F160">
            <v>5.3887446961574081</v>
          </cell>
        </row>
        <row r="161">
          <cell r="A161">
            <v>183</v>
          </cell>
          <cell r="B161">
            <v>10.737179247490644</v>
          </cell>
          <cell r="C161">
            <v>776.457510280051</v>
          </cell>
          <cell r="D161">
            <v>2779.7811257937151</v>
          </cell>
          <cell r="E161">
            <v>883.77946584341339</v>
          </cell>
          <cell r="F161">
            <v>5.5070213008565174</v>
          </cell>
        </row>
        <row r="162">
          <cell r="A162">
            <v>184</v>
          </cell>
          <cell r="B162">
            <v>10.98272816287453</v>
          </cell>
          <cell r="C162">
            <v>780.88883320365244</v>
          </cell>
          <cell r="D162">
            <v>2780.6098852373557</v>
          </cell>
          <cell r="E162">
            <v>882.69465241258513</v>
          </cell>
          <cell r="F162">
            <v>5.6273777737250121</v>
          </cell>
        </row>
        <row r="163">
          <cell r="A163">
            <v>185</v>
          </cell>
          <cell r="B163">
            <v>11.232669336220471</v>
          </cell>
          <cell r="C163">
            <v>785.32431760256623</v>
          </cell>
          <cell r="D163">
            <v>2781.4258977514996</v>
          </cell>
          <cell r="E163">
            <v>881.60503690039275</v>
          </cell>
          <cell r="F163">
            <v>5.7498425575106795</v>
          </cell>
        </row>
        <row r="164">
          <cell r="A164">
            <v>186</v>
          </cell>
          <cell r="B164">
            <v>11.487057299633783</v>
          </cell>
          <cell r="C164">
            <v>789.76401565686001</v>
          </cell>
          <cell r="D164">
            <v>2782.229057229581</v>
          </cell>
          <cell r="E164">
            <v>880.51059616134103</v>
          </cell>
          <cell r="F164">
            <v>5.8744444367345157</v>
          </cell>
        </row>
        <row r="165">
          <cell r="A165">
            <v>187</v>
          </cell>
          <cell r="B165">
            <v>11.745946914662333</v>
          </cell>
          <cell r="C165">
            <v>794.20798020192149</v>
          </cell>
          <cell r="D165">
            <v>2783.0192564565168</v>
          </cell>
          <cell r="E165">
            <v>879.41130652318236</v>
          </cell>
          <cell r="F165">
            <v>6.001212543971107</v>
          </cell>
        </row>
        <row r="166">
          <cell r="A166">
            <v>188</v>
          </cell>
          <cell r="B166">
            <v>12.009393371436985</v>
          </cell>
          <cell r="C166">
            <v>798.65626473859402</v>
          </cell>
          <cell r="D166">
            <v>2783.7963870922276</v>
          </cell>
          <cell r="E166">
            <v>878.30714378176458</v>
          </cell>
          <cell r="F166">
            <v>6.1301763663108781</v>
          </cell>
        </row>
        <row r="167">
          <cell r="A167">
            <v>189</v>
          </cell>
          <cell r="B167">
            <v>12.277452187826889</v>
          </cell>
          <cell r="C167">
            <v>803.10892344351078</v>
          </cell>
          <cell r="D167">
            <v>2784.5603396554957</v>
          </cell>
          <cell r="E167">
            <v>877.19808319568961</v>
          </cell>
          <cell r="F167">
            <v>6.261365752009513</v>
          </cell>
        </row>
        <row r="168">
          <cell r="A168">
            <v>190</v>
          </cell>
          <cell r="B168">
            <v>12.550179208610466</v>
          </cell>
          <cell r="C168">
            <v>807.56601117963942</v>
          </cell>
          <cell r="D168">
            <v>2785.3110035080936</v>
          </cell>
          <cell r="E168">
            <v>876.08409948077349</v>
          </cell>
          <cell r="F168">
            <v>6.3948109173298775</v>
          </cell>
        </row>
        <row r="169">
          <cell r="A169">
            <v>191</v>
          </cell>
          <cell r="B169">
            <v>12.827630604663501</v>
          </cell>
          <cell r="C169">
            <v>812.02758350703755</v>
          </cell>
          <cell r="D169">
            <v>2786.0482668391105</v>
          </cell>
          <cell r="E169">
            <v>874.96516680430489</v>
          </cell>
          <cell r="F169">
            <v>6.5305424535822416</v>
          </cell>
        </row>
        <row r="170">
          <cell r="A170">
            <v>192</v>
          </cell>
          <cell r="B170">
            <v>13.109862872165397</v>
          </cell>
          <cell r="C170">
            <v>816.49369669383964</v>
          </cell>
          <cell r="D170">
            <v>2786.7720166493968</v>
          </cell>
          <cell r="E170">
            <v>873.84125877909469</v>
          </cell>
          <cell r="F170">
            <v>6.6685913343685872</v>
          </cell>
        </row>
        <row r="171">
          <cell r="A171">
            <v>193</v>
          </cell>
          <cell r="B171">
            <v>13.396932831824863</v>
          </cell>
          <cell r="C171">
            <v>820.96440772747133</v>
          </cell>
          <cell r="D171">
            <v>2787.4821387360603</v>
          </cell>
          <cell r="E171">
            <v>872.71234845730783</v>
          </cell>
          <cell r="F171">
            <v>6.8089889230370977</v>
          </cell>
        </row>
        <row r="172">
          <cell r="A172">
            <v>194</v>
          </cell>
          <cell r="B172">
            <v>13.688897628125954</v>
          </cell>
          <cell r="C172">
            <v>825.43977432611098</v>
          </cell>
          <cell r="D172">
            <v>2788.178517676939</v>
          </cell>
          <cell r="E172">
            <v>871.57840832407408</v>
          </cell>
          <cell r="F172">
            <v>6.9517669803528888</v>
          </cell>
        </row>
        <row r="173">
          <cell r="A173">
            <v>195</v>
          </cell>
          <cell r="B173">
            <v>13.985814728596033</v>
          </cell>
          <cell r="C173">
            <v>829.91985495039796</v>
          </cell>
          <cell r="D173">
            <v>2788.8610368149775</v>
          </cell>
          <cell r="E173">
            <v>870.43941029086602</v>
          </cell>
          <cell r="F173">
            <v>7.0969576723915972</v>
          </cell>
        </row>
        <row r="174">
          <cell r="A174">
            <v>196</v>
          </cell>
          <cell r="B174">
            <v>14.287741923096615</v>
          </cell>
          <cell r="C174">
            <v>834.40470881540909</v>
          </cell>
          <cell r="D174">
            <v>2789.5295782424405</v>
          </cell>
          <cell r="E174">
            <v>869.29532568863715</v>
          </cell>
          <cell r="F174">
            <v>7.2445935786623306</v>
          </cell>
        </row>
        <row r="175">
          <cell r="A175">
            <v>197</v>
          </cell>
          <cell r="B175">
            <v>14.594737323138498</v>
          </cell>
          <cell r="C175">
            <v>838.89439590290306</v>
          </cell>
          <cell r="D175">
            <v>2790.1840227848938</v>
          </cell>
          <cell r="E175">
            <v>868.14612526071414</v>
          </cell>
          <cell r="F175">
            <v>7.3947077004668866</v>
          </cell>
        </row>
        <row r="176">
          <cell r="A176">
            <v>198</v>
          </cell>
          <cell r="B176">
            <v>14.906859361222182</v>
          </cell>
          <cell r="C176">
            <v>843.38897697384903</v>
          </cell>
          <cell r="D176">
            <v>2790.8242499848893</v>
          </cell>
          <cell r="E176">
            <v>866.99177915542953</v>
          </cell>
          <cell r="F176">
            <v>7.5473334695021501</v>
          </cell>
        </row>
        <row r="177">
          <cell r="A177">
            <v>199</v>
          </cell>
          <cell r="B177">
            <v>15.224166790205359</v>
          </cell>
          <cell r="C177">
            <v>847.88851358124941</v>
          </cell>
          <cell r="D177">
            <v>2791.4501380852907</v>
          </cell>
          <cell r="E177">
            <v>865.8322569184885</v>
          </cell>
          <cell r="F177">
            <v>7.7025047567132212</v>
          </cell>
        </row>
        <row r="178">
          <cell r="A178">
            <v>200</v>
          </cell>
          <cell r="B178">
            <v>15.54671868269824</v>
          </cell>
          <cell r="C178">
            <v>852.39306808327194</v>
          </cell>
          <cell r="D178">
            <v>2792.0615640121823</v>
          </cell>
          <cell r="E178">
            <v>864.66752748505814</v>
          </cell>
          <cell r="F178">
            <v>7.8602558814045018</v>
          </cell>
        </row>
        <row r="179">
          <cell r="A179">
            <v>201</v>
          </cell>
          <cell r="B179">
            <v>15.874574430488122</v>
          </cell>
          <cell r="C179">
            <v>856.90270365669596</v>
          </cell>
          <cell r="D179">
            <v>2792.658403357304</v>
          </cell>
          <cell r="E179">
            <v>863.4975591715687</v>
          </cell>
          <cell r="F179">
            <v>8.0206216206164918</v>
          </cell>
        </row>
        <row r="180">
          <cell r="A180">
            <v>202</v>
          </cell>
          <cell r="B180">
            <v>16.207793743995204</v>
          </cell>
          <cell r="C180">
            <v>861.41748431069311</v>
          </cell>
          <cell r="D180">
            <v>2793.2405303599626</v>
          </cell>
          <cell r="E180">
            <v>862.32231966721429</v>
          </cell>
          <cell r="F180">
            <v>8.1836372187767026</v>
          </cell>
        </row>
        <row r="181">
          <cell r="A181">
            <v>203</v>
          </cell>
          <cell r="B181">
            <v>16.546436651759823</v>
          </cell>
          <cell r="C181">
            <v>865.93747490095222</v>
          </cell>
          <cell r="D181">
            <v>2793.8078178883679</v>
          </cell>
          <cell r="E181">
            <v>861.14177602514326</v>
          </cell>
          <cell r="F181">
            <v>8.3493383976322235</v>
          </cell>
        </row>
        <row r="182">
          <cell r="A182">
            <v>204</v>
          </cell>
          <cell r="B182">
            <v>16.890563499963768</v>
          </cell>
          <cell r="C182">
            <v>870.46274114416497</v>
          </cell>
          <cell r="D182">
            <v>2794.3601374203495</v>
          </cell>
          <cell r="E182">
            <v>859.95589465332284</v>
          </cell>
          <cell r="F182">
            <v>8.517761366473211</v>
          </cell>
        </row>
        <row r="183">
          <cell r="A183">
            <v>205</v>
          </cell>
          <cell r="B183">
            <v>17.240234951986221</v>
          </cell>
          <cell r="C183">
            <v>874.99334963288106</v>
          </cell>
          <cell r="D183">
            <v>2794.8973590234159</v>
          </cell>
          <cell r="E183">
            <v>858.76464130506633</v>
          </cell>
          <cell r="F183">
            <v>8.6889428326555862</v>
          </cell>
        </row>
        <row r="184">
          <cell r="A184">
            <v>206</v>
          </cell>
          <cell r="B184">
            <v>17.595511987995902</v>
          </cell>
          <cell r="C184">
            <v>879.52936785075985</v>
          </cell>
          <cell r="D184">
            <v>2795.4193513341088</v>
          </cell>
          <cell r="E184">
            <v>857.56798106920849</v>
          </cell>
          <cell r="F184">
            <v>8.8629200124321326</v>
          </cell>
        </row>
        <row r="185">
          <cell r="A185">
            <v>207</v>
          </cell>
          <cell r="B185">
            <v>17.956455904581649</v>
          </cell>
          <cell r="C185">
            <v>884.07086418821973</v>
          </cell>
          <cell r="D185">
            <v>2795.9259815366263</v>
          </cell>
          <cell r="E185">
            <v>856.36587835991327</v>
          </cell>
          <cell r="F185">
            <v>9.039730642101814</v>
          </cell>
        </row>
        <row r="186">
          <cell r="A186">
            <v>208</v>
          </cell>
          <cell r="B186">
            <v>18.323128314421652</v>
          </cell>
          <cell r="C186">
            <v>888.61790795851527</v>
          </cell>
          <cell r="D186">
            <v>2796.4171153406774</v>
          </cell>
          <cell r="E186">
            <v>855.15829690609974</v>
          </cell>
          <cell r="F186">
            <v>9.219412989486333</v>
          </cell>
        </row>
        <row r="187">
          <cell r="A187">
            <v>209</v>
          </cell>
          <cell r="B187">
            <v>18.695591145994054</v>
          </cell>
          <cell r="C187">
            <v>893.17056941425096</v>
          </cell>
          <cell r="D187">
            <v>2796.8926169585347</v>
          </cell>
          <cell r="E187">
            <v>853.94519974046841</v>
          </cell>
          <cell r="F187">
            <v>9.4020058657447105</v>
          </cell>
        </row>
        <row r="188">
          <cell r="A188">
            <v>210</v>
          </cell>
          <cell r="B188">
            <v>19.073906643329657</v>
          </cell>
          <cell r="C188">
            <v>897.72891976435699</v>
          </cell>
          <cell r="D188">
            <v>2797.3523490812645</v>
          </cell>
          <cell r="E188">
            <v>852.72654918811145</v>
          </cell>
          <cell r="F188">
            <v>9.587548637535809</v>
          </cell>
        </row>
        <row r="189">
          <cell r="A189">
            <v>211</v>
          </cell>
          <cell r="B189">
            <v>19.458137365809037</v>
          </cell>
          <cell r="C189">
            <v>902.29303119153826</v>
          </cell>
          <cell r="D189">
            <v>2797.7961728540949</v>
          </cell>
          <cell r="E189">
            <v>851.50230685468932</v>
          </cell>
          <cell r="F189">
            <v>9.7760812395401206</v>
          </cell>
        </row>
        <row r="190">
          <cell r="A190">
            <v>212</v>
          </cell>
          <cell r="B190">
            <v>19.848346188005134</v>
          </cell>
          <cell r="C190">
            <v>906.86297687022534</v>
          </cell>
          <cell r="D190">
            <v>2798.2239478509086</v>
          </cell>
          <cell r="E190">
            <v>850.27243361415287</v>
          </cell>
          <cell r="F190">
            <v>9.9676441873517039</v>
          </cell>
        </row>
        <row r="191">
          <cell r="A191">
            <v>213</v>
          </cell>
          <cell r="B191">
            <v>20.244596299573217</v>
          </cell>
          <cell r="C191">
            <v>911.43883098504148</v>
          </cell>
          <cell r="D191">
            <v>2798.6355320478215</v>
          </cell>
          <cell r="E191">
            <v>849.03688959599322</v>
          </cell>
          <cell r="F191">
            <v>10.162278590752134</v>
          </cell>
        </row>
        <row r="192">
          <cell r="A192">
            <v>214</v>
          </cell>
          <cell r="B192">
            <v>20.646951205190046</v>
          </cell>
          <cell r="C192">
            <v>916.02066874981165</v>
          </cell>
          <cell r="D192">
            <v>2799.0307817958287</v>
          </cell>
          <cell r="E192">
            <v>847.79563417199734</v>
          </cell>
          <cell r="F192">
            <v>10.360026167378715</v>
          </cell>
        </row>
        <row r="193">
          <cell r="A193">
            <v>215</v>
          </cell>
          <cell r="B193">
            <v>21.055474724543686</v>
          </cell>
          <cell r="C193">
            <v>920.60856642713861</v>
          </cell>
          <cell r="D193">
            <v>2799.4095517924889</v>
          </cell>
          <cell r="E193">
            <v>846.54862594248743</v>
          </cell>
          <cell r="F193">
            <v>10.560929256799453</v>
          </cell>
        </row>
        <row r="194">
          <cell r="A194">
            <v>216</v>
          </cell>
          <cell r="B194">
            <v>21.470230992376301</v>
          </cell>
          <cell r="C194">
            <v>925.20260134856085</v>
          </cell>
          <cell r="D194">
            <v>2799.7716950526101</v>
          </cell>
          <cell r="E194">
            <v>845.29582272202197</v>
          </cell>
          <cell r="F194">
            <v>10.765030835008353</v>
          </cell>
        </row>
        <row r="195">
          <cell r="A195">
            <v>217</v>
          </cell>
          <cell r="B195">
            <v>21.891284458580916</v>
          </cell>
          <cell r="C195">
            <v>929.80285193533257</v>
          </cell>
          <cell r="D195">
            <v>2800.1170628779178</v>
          </cell>
          <cell r="E195">
            <v>844.03718152453519</v>
          </cell>
          <cell r="F195">
            <v>10.972374529354362</v>
          </cell>
        </row>
        <row r="196">
          <cell r="A196">
            <v>218</v>
          </cell>
          <cell r="B196">
            <v>22.318699888355074</v>
          </cell>
          <cell r="C196">
            <v>934.4093977198371</v>
          </cell>
          <cell r="D196">
            <v>2800.4455048256541</v>
          </cell>
          <cell r="E196">
            <v>842.77265854788664</v>
          </cell>
          <cell r="F196">
            <v>11.18300463391898</v>
          </cell>
        </row>
        <row r="197">
          <cell r="A197">
            <v>219</v>
          </cell>
          <cell r="B197">
            <v>22.752542362412314</v>
          </cell>
          <cell r="C197">
            <v>939.02231936767225</v>
          </cell>
          <cell r="D197">
            <v>2800.7568686760842</v>
          </cell>
          <cell r="E197">
            <v>841.50220915779971</v>
          </cell>
          <cell r="F197">
            <v>11.39696612535708</v>
          </cell>
        </row>
        <row r="198">
          <cell r="A198">
            <v>220</v>
          </cell>
          <cell r="B198">
            <v>23.192877277254244</v>
          </cell>
          <cell r="C198">
            <v>943.64169870043054</v>
          </cell>
          <cell r="D198">
            <v>2801.0510003988547</v>
          </cell>
          <cell r="E198">
            <v>840.22578787115856</v>
          </cell>
          <cell r="F198">
            <v>11.614304679217234</v>
          </cell>
        </row>
        <row r="199">
          <cell r="A199">
            <v>221</v>
          </cell>
          <cell r="B199">
            <v>23.639770345504772</v>
          </cell>
          <cell r="C199">
            <v>948.26761871920792</v>
          </cell>
          <cell r="D199">
            <v>2801.3277441181608</v>
          </cell>
          <cell r="E199">
            <v>838.94334833863456</v>
          </cell>
          <cell r="F199">
            <v>11.83506668675779</v>
          </cell>
        </row>
        <row r="200">
          <cell r="A200">
            <v>222</v>
          </cell>
          <cell r="B200">
            <v>24.09328759630877</v>
          </cell>
          <cell r="C200">
            <v>952.90016362887172</v>
          </cell>
          <cell r="D200">
            <v>2801.5869420766626</v>
          </cell>
          <cell r="E200">
            <v>837.65484332661697</v>
          </cell>
          <cell r="F200">
            <v>12.059299272276334</v>
          </cell>
        </row>
        <row r="201">
          <cell r="A201">
            <v>223</v>
          </cell>
          <cell r="B201">
            <v>24.553495375797084</v>
          </cell>
          <cell r="C201">
            <v>957.53941886311827</v>
          </cell>
          <cell r="D201">
            <v>2801.8284345980956</v>
          </cell>
          <cell r="E201">
            <v>836.3602246984093</v>
          </cell>
          <cell r="F201">
            <v>12.287050310970594</v>
          </cell>
        </row>
        <row r="202">
          <cell r="A202">
            <v>224</v>
          </cell>
          <cell r="B202">
            <v>25.020460347620652</v>
          </cell>
          <cell r="C202">
            <v>962.18547111036287</v>
          </cell>
          <cell r="D202">
            <v>2802.0520600484942</v>
          </cell>
          <cell r="E202">
            <v>835.05944339466839</v>
          </cell>
          <cell r="F202">
            <v>12.518368447350367</v>
          </cell>
        </row>
        <row r="203">
          <cell r="A203">
            <v>225</v>
          </cell>
          <cell r="B203">
            <v>25.494249493555298</v>
          </cell>
          <cell r="C203">
            <v>966.83840834048385</v>
          </cell>
          <cell r="D203">
            <v>2802.2576547959643</v>
          </cell>
          <cell r="E203">
            <v>833.75244941304345</v>
          </cell>
          <cell r="F203">
            <v>12.753303114220374</v>
          </cell>
        </row>
        <row r="204">
          <cell r="A204">
            <v>226</v>
          </cell>
          <cell r="B204">
            <v>25.974930114179809</v>
          </cell>
          <cell r="C204">
            <v>971.49831983247839</v>
          </cell>
          <cell r="D204">
            <v>2802.445053168909</v>
          </cell>
          <cell r="E204">
            <v>832.43919178698798</v>
          </cell>
          <cell r="F204">
            <v>12.991904552255452</v>
          </cell>
        </row>
        <row r="205">
          <cell r="A205">
            <v>227</v>
          </cell>
          <cell r="B205">
            <v>26.462569829629935</v>
          </cell>
          <cell r="C205">
            <v>976.16529620305039</v>
          </cell>
          <cell r="D205">
            <v>2802.6140874126177</v>
          </cell>
          <cell r="E205">
            <v>831.11961856370147</v>
          </cell>
          <cell r="F205">
            <v>13.234223830190746</v>
          </cell>
        </row>
        <row r="206">
          <cell r="A206">
            <v>228</v>
          </cell>
          <cell r="B206">
            <v>26.957236580430394</v>
          </cell>
          <cell r="C206">
            <v>980.83942943618558</v>
          </cell>
          <cell r="D206">
            <v>2802.7645876441143</v>
          </cell>
          <cell r="E206">
            <v>829.79367678116671</v>
          </cell>
          <cell r="F206">
            <v>13.480312865650374</v>
          </cell>
        </row>
        <row r="207">
          <cell r="A207">
            <v>229</v>
          </cell>
          <cell r="B207">
            <v>27.458998628407855</v>
          </cell>
          <cell r="C207">
            <v>985.52081291374907</v>
          </cell>
          <cell r="D207">
            <v>2802.8963818051461</v>
          </cell>
          <cell r="E207">
            <v>828.46131244424248</v>
          </cell>
          <cell r="F207">
            <v>13.730224446639902</v>
          </cell>
        </row>
        <row r="208">
          <cell r="A208">
            <v>230</v>
          </cell>
          <cell r="B208">
            <v>27.967924557686437</v>
          </cell>
          <cell r="C208">
            <v>990.2095414471562</v>
          </cell>
          <cell r="D208">
            <v>2803.0092956132003</v>
          </cell>
          <cell r="E208">
            <v>827.12247049976872</v>
          </cell>
          <cell r="F208">
            <v>13.984012253728345</v>
          </cell>
        </row>
        <row r="209">
          <cell r="A209">
            <v>231</v>
          </cell>
          <cell r="B209">
            <v>28.484083275770441</v>
          </cell>
          <cell r="C209">
            <v>994.90571131016054</v>
          </cell>
          <cell r="D209">
            <v>2803.1031525103986</v>
          </cell>
          <cell r="E209">
            <v>825.77709481064323</v>
          </cell>
          <cell r="F209">
            <v>14.241730882948916</v>
          </cell>
        </row>
        <row r="210">
          <cell r="A210">
            <v>232</v>
          </cell>
          <cell r="B210">
            <v>29.00754401471449</v>
          </cell>
          <cell r="C210">
            <v>999.60942027280907</v>
          </cell>
          <cell r="D210">
            <v>2803.177773610144</v>
          </cell>
          <cell r="E210">
            <v>824.42512812882308</v>
          </cell>
          <cell r="F210">
            <v>14.503435869446427</v>
          </cell>
        </row>
        <row r="211">
          <cell r="A211">
            <v>233</v>
          </cell>
          <cell r="B211">
            <v>29.538376332386271</v>
          </cell>
          <cell r="C211">
            <v>1004.3207676366167</v>
          </cell>
          <cell r="D211">
            <v>2803.232977641349</v>
          </cell>
          <cell r="E211">
            <v>823.06651206720551</v>
          </cell>
          <cell r="F211">
            <v>14.769183711904018</v>
          </cell>
        </row>
        <row r="212">
          <cell r="A212">
            <v>234</v>
          </cell>
          <cell r="B212">
            <v>30.076650113823323</v>
          </cell>
          <cell r="C212">
            <v>1009.0398542710176</v>
          </cell>
          <cell r="D212">
            <v>2803.2685808900924</v>
          </cell>
          <cell r="E212">
            <v>821.7011870703401</v>
          </cell>
          <cell r="F212">
            <v>15.039031897781278</v>
          </cell>
        </row>
        <row r="213">
          <cell r="A213">
            <v>235</v>
          </cell>
          <cell r="B213">
            <v>30.622435572687763</v>
          </cell>
          <cell r="C213">
            <v>1013.7667826511423</v>
          </cell>
          <cell r="D213">
            <v>2803.2843971385219</v>
          </cell>
          <cell r="E213">
            <v>820.32909238391971</v>
          </cell>
          <cell r="F213">
            <v>15.313038929399223</v>
          </cell>
        </row>
        <row r="214">
          <cell r="A214">
            <v>236</v>
          </cell>
          <cell r="B214">
            <v>31.17580325282098</v>
          </cell>
          <cell r="C214">
            <v>1018.5016568969877</v>
          </cell>
          <cell r="D214">
            <v>2803.2802376008267</v>
          </cell>
          <cell r="E214">
            <v>818.95016602299972</v>
          </cell>
          <cell r="F214">
            <v>15.591264350908396</v>
          </cell>
        </row>
        <row r="215">
          <cell r="A215">
            <v>237</v>
          </cell>
          <cell r="B215">
            <v>31.736824029903339</v>
          </cell>
          <cell r="C215">
            <v>1023.2445828140358</v>
          </cell>
          <cell r="D215">
            <v>2803.2559108560754</v>
          </cell>
          <cell r="E215">
            <v>817.56434473888976</v>
          </cell>
          <cell r="F215">
            <v>15.873768776180341</v>
          </cell>
        </row>
        <row r="216">
          <cell r="A216">
            <v>238</v>
          </cell>
          <cell r="B216">
            <v>32.305569113220251</v>
          </cell>
          <cell r="C216">
            <v>1027.9956679353897</v>
          </cell>
          <cell r="D216">
            <v>2803.211222777727</v>
          </cell>
          <cell r="E216">
            <v>816.17156398466045</v>
          </cell>
          <cell r="F216">
            <v>16.160613917662488</v>
          </cell>
        </row>
        <row r="217">
          <cell r="A217">
            <v>239</v>
          </cell>
          <cell r="B217">
            <v>32.882110047539314</v>
          </cell>
          <cell r="C217">
            <v>1032.755021565494</v>
          </cell>
          <cell r="D217">
            <v>2803.1459764595938</v>
          </cell>
          <cell r="E217">
            <v>814.77175787920839</v>
          </cell>
          <cell r="F217">
            <v>16.451862616241094</v>
          </cell>
        </row>
        <row r="218">
          <cell r="A218">
            <v>240</v>
          </cell>
          <cell r="B218">
            <v>33.4665187151016</v>
          </cell>
          <cell r="C218">
            <v>1037.5227548255059</v>
          </cell>
          <cell r="D218">
            <v>2803.0599721380463</v>
          </cell>
          <cell r="E218">
            <v>813.36485916981394</v>
          </cell>
          <cell r="F218">
            <v>16.747578872158229</v>
          </cell>
        </row>
        <row r="219">
          <cell r="A219">
            <v>241</v>
          </cell>
          <cell r="B219">
            <v>34.05886733773184</v>
          </cell>
          <cell r="C219">
            <v>1042.2989807003976</v>
          </cell>
          <cell r="D219">
            <v>2802.9530071102163</v>
          </cell>
          <cell r="E219">
            <v>811.95079919313127</v>
          </cell>
          <cell r="F219">
            <v>17.047827877032343</v>
          </cell>
        </row>
        <row r="220">
          <cell r="A220">
            <v>242</v>
          </cell>
          <cell r="B220">
            <v>34.659228479067998</v>
          </cell>
          <cell r="C220">
            <v>1047.0838140878616</v>
          </cell>
          <cell r="D220">
            <v>2802.8248756479952</v>
          </cell>
          <cell r="E220">
            <v>810.52950783454185</v>
          </cell>
          <cell r="F220">
            <v>17.352676047032318</v>
          </cell>
        </row>
        <row r="221">
          <cell r="A221">
            <v>243</v>
          </cell>
          <cell r="B221">
            <v>35.26767504691945</v>
          </cell>
          <cell r="C221">
            <v>1051.877371849102</v>
          </cell>
          <cell r="D221">
            <v>2802.6753689075467</v>
          </cell>
          <cell r="E221">
            <v>809.10091348580329</v>
          </cell>
          <cell r="F221">
            <v>17.662191057262941</v>
          </cell>
        </row>
        <row r="222">
          <cell r="A222">
            <v>244</v>
          </cell>
          <cell r="B222">
            <v>35.884280295753221</v>
          </cell>
          <cell r="C222">
            <v>1056.6797728615979</v>
          </cell>
          <cell r="D222">
            <v>2802.5042748341243</v>
          </cell>
          <cell r="E222">
            <v>807.66494300092086</v>
          </cell>
          <cell r="F222">
            <v>17.976441877416871</v>
          </cell>
        </row>
        <row r="223">
          <cell r="A223">
            <v>245</v>
          </cell>
          <cell r="B223">
            <v>36.509117829314192</v>
          </cell>
          <cell r="C223">
            <v>1061.4911380739204</v>
          </cell>
          <cell r="D223">
            <v>2802.3113780619337</v>
          </cell>
          <cell r="E223">
            <v>806.22152165016701</v>
          </cell>
          <cell r="F223">
            <v>18.295498808755369</v>
          </cell>
        </row>
        <row r="224">
          <cell r="A224">
            <v>246</v>
          </cell>
          <cell r="B224">
            <v>37.142261603383766</v>
          </cell>
          <cell r="C224">
            <v>1066.3115905627033</v>
          </cell>
          <cell r="D224">
            <v>2802.0964598087835</v>
          </cell>
          <cell r="E224">
            <v>804.7705730721724</v>
          </cell>
          <cell r="F224">
            <v>18.619433522482502</v>
          </cell>
        </row>
        <row r="225">
          <cell r="A225">
            <v>247</v>
          </cell>
          <cell r="B225">
            <v>37.783785928682967</v>
          </cell>
          <cell r="C225">
            <v>1071.1412555918589</v>
          </cell>
          <cell r="D225">
            <v>2801.8592977652688</v>
          </cell>
          <cell r="E225">
            <v>803.31201922400624</v>
          </cell>
          <cell r="F225">
            <v>18.948319099582019</v>
          </cell>
        </row>
        <row r="226">
          <cell r="A226">
            <v>248</v>
          </cell>
          <cell r="B226">
            <v>38.433765473920623</v>
          </cell>
          <cell r="C226">
            <v>1075.9802606741407</v>
          </cell>
          <cell r="D226">
            <v>2801.5996659782622</v>
          </cell>
          <cell r="E226">
            <v>801.84578032916534</v>
          </cell>
          <cell r="F226">
            <v>19.282230072186515</v>
          </cell>
        </row>
        <row r="227">
          <cell r="A227">
            <v>249</v>
          </cell>
          <cell r="B227">
            <v>39.092275268994797</v>
          </cell>
          <cell r="C227">
            <v>1080.8287356351566</v>
          </cell>
          <cell r="D227">
            <v>2801.3173347284251</v>
          </cell>
          <cell r="E227">
            <v>800.37177482338097</v>
          </cell>
          <cell r="F227">
            <v>19.621242466556964</v>
          </cell>
        </row>
        <row r="228">
          <cell r="A228">
            <v>250</v>
          </cell>
          <cell r="B228">
            <v>39.759390708353152</v>
          </cell>
          <cell r="C228">
            <v>1085.686812679947</v>
          </cell>
          <cell r="D228">
            <v>2801.0120704015035</v>
          </cell>
          <cell r="E228">
            <v>798.889919298162</v>
          </cell>
          <cell r="F228">
            <v>19.965433847753427</v>
          </cell>
        </row>
        <row r="229">
          <cell r="A229">
            <v>251</v>
          </cell>
          <cell r="B229">
            <v>40.435187554513945</v>
          </cell>
          <cell r="C229">
            <v>1090.554626462233</v>
          </cell>
          <cell r="D229">
            <v>2800.6836353531717</v>
          </cell>
          <cell r="E229">
            <v>797.40012844197315</v>
          </cell>
          <cell r="F229">
            <v>20.314883366079197</v>
          </cell>
        </row>
        <row r="230">
          <cell r="A230">
            <v>252</v>
          </cell>
          <cell r="B230">
            <v>41.11974194175535</v>
          </cell>
          <cell r="C230">
            <v>1095.4323141564648</v>
          </cell>
          <cell r="D230">
            <v>2800.331787767172</v>
          </cell>
          <cell r="E230">
            <v>795.90231497896161</v>
          </cell>
          <cell r="F230">
            <v>20.66967180538925</v>
          </cell>
        </row>
        <row r="231">
          <cell r="A231">
            <v>253</v>
          </cell>
          <cell r="B231">
            <v>41.813130379980223</v>
          </cell>
          <cell r="C231">
            <v>1100.3200155327893</v>
          </cell>
          <cell r="D231">
            <v>2799.9562815065069</v>
          </cell>
          <cell r="E231">
            <v>794.39638960512923</v>
          </cell>
          <cell r="F231">
            <v>21.029881633357764</v>
          </cell>
        </row>
        <row r="232">
          <cell r="A232">
            <v>254</v>
          </cell>
          <cell r="B232">
            <v>42.515429758757605</v>
          </cell>
          <cell r="C232">
            <v>1105.2178730350645</v>
          </cell>
          <cell r="D232">
            <v>2799.5568659574792</v>
          </cell>
          <cell r="E232">
            <v>792.88226092185255</v>
          </cell>
          <cell r="F232">
            <v>21.395597053800941</v>
          </cell>
        </row>
        <row r="233">
          <cell r="A233">
            <v>255</v>
          </cell>
          <cell r="B233">
            <v>43.226717351552452</v>
          </cell>
          <cell r="C233">
            <v>1110.1260318620641</v>
          </cell>
          <cell r="D233">
            <v>2799.1332858663382</v>
          </cell>
          <cell r="E233">
            <v>791.35983536664764</v>
          </cell>
          <cell r="F233">
            <v>21.766904061162819</v>
          </cell>
        </row>
        <row r="234">
          <cell r="A234">
            <v>256</v>
          </cell>
          <cell r="B234">
            <v>43.947070820144333</v>
          </cell>
          <cell r="C234">
            <v>1115.0446400520057</v>
          </cell>
          <cell r="D234">
            <v>2798.6852811683443</v>
          </cell>
          <cell r="E234">
            <v>789.82901714107379</v>
          </cell>
          <cell r="F234">
            <v>22.143890497270103</v>
          </cell>
        </row>
        <row r="235">
          <cell r="A235">
            <v>257</v>
          </cell>
          <cell r="B235">
            <v>44.676568219247201</v>
          </cell>
          <cell r="C235">
            <v>1119.9738485705523</v>
          </cell>
          <cell r="D235">
            <v>2798.2125868090347</v>
          </cell>
          <cell r="E235">
            <v>788.28970813567071</v>
          </cell>
          <cell r="F235">
            <v>22.526646110475095</v>
          </cell>
        </row>
        <row r="236">
          <cell r="A236">
            <v>258</v>
          </cell>
          <cell r="B236">
            <v>45.415288001331959</v>
          </cell>
          <cell r="C236">
            <v>1124.9138114024452</v>
          </cell>
          <cell r="D236">
            <v>2797.7149325575297</v>
          </cell>
          <cell r="E236">
            <v>786.74180785181977</v>
          </cell>
          <cell r="F236">
            <v>22.915262617304567</v>
          </cell>
        </row>
        <row r="237">
          <cell r="A237">
            <v>259</v>
          </cell>
          <cell r="B237">
            <v>46.163309021663501</v>
          </cell>
          <cell r="C237">
            <v>1129.8646856469172</v>
          </cell>
          <cell r="D237">
            <v>2797.1920428116828</v>
          </cell>
          <cell r="E237">
            <v>785.18521332042008</v>
          </cell>
          <cell r="F237">
            <v>23.309833766745317</v>
          </cell>
        </row>
        <row r="238">
          <cell r="A238">
            <v>260</v>
          </cell>
          <cell r="B238">
            <v>46.920710543553483</v>
          </cell>
          <cell r="C238">
            <v>1134.8266316170632</v>
          </cell>
          <cell r="D238">
            <v>2796.6436363949642</v>
          </cell>
          <cell r="E238">
            <v>783.61981901726676</v>
          </cell>
          <cell r="F238">
            <v>23.710455407296092</v>
          </cell>
        </row>
        <row r="239">
          <cell r="A239">
            <v>261</v>
          </cell>
          <cell r="B239">
            <v>47.687572243844151</v>
          </cell>
          <cell r="C239">
            <v>1139.7998129433272</v>
          </cell>
          <cell r="D239">
            <v>2796.0694263448786</v>
          </cell>
          <cell r="E239">
            <v>782.045516775024</v>
          </cell>
          <cell r="F239">
            <v>24.117225556931977</v>
          </cell>
        </row>
        <row r="240">
          <cell r="A240">
            <v>262</v>
          </cell>
          <cell r="B240">
            <v>48.463974218625118</v>
          </cell>
          <cell r="C240">
            <v>1144.7843966812991</v>
          </cell>
          <cell r="D240">
            <v>2795.4691196928461</v>
          </cell>
          <cell r="E240">
            <v>780.46219569167863</v>
          </cell>
          <cell r="F240">
            <v>24.530244476124885</v>
          </cell>
        </row>
        <row r="241">
          <cell r="A241">
            <v>263</v>
          </cell>
          <cell r="B241">
            <v>49.249996989192191</v>
          </cell>
          <cell r="C241">
            <v>1149.7805534239885</v>
          </cell>
          <cell r="D241">
            <v>2794.8424172354257</v>
          </cell>
          <cell r="E241">
            <v>778.86974203536522</v>
          </cell>
          <cell r="F241">
            <v>24.949614744075962</v>
          </cell>
        </row>
        <row r="242">
          <cell r="A242">
            <v>264</v>
          </cell>
          <cell r="B242">
            <v>50.045721508260215</v>
          </cell>
          <cell r="C242">
            <v>1154.7884574187831</v>
          </cell>
          <cell r="D242">
            <v>2794.1890132967674</v>
          </cell>
          <cell r="E242">
            <v>777.26803914545621</v>
          </cell>
          <cell r="F242">
            <v>25.375441338325317</v>
          </cell>
        </row>
        <row r="243">
          <cell r="A243">
            <v>265</v>
          </cell>
          <cell r="B243">
            <v>50.851229166435239</v>
          </cell>
          <cell r="C243">
            <v>1159.8082866892778</v>
          </cell>
          <cell r="D243">
            <v>2793.5085954822484</v>
          </cell>
          <cell r="E243">
            <v>775.65696732980712</v>
          </cell>
          <cell r="F243">
            <v>25.807831717907675</v>
          </cell>
        </row>
        <row r="244">
          <cell r="A244">
            <v>266</v>
          </cell>
          <cell r="B244">
            <v>51.666601798956847</v>
          </cell>
          <cell r="C244">
            <v>1164.8402231621817</v>
          </cell>
          <cell r="D244">
            <v>2792.8008444232114</v>
          </cell>
          <cell r="E244">
            <v>774.03640375805878</v>
          </cell>
          <cell r="F244">
            <v>26.246895910234926</v>
          </cell>
        </row>
        <row r="245">
          <cell r="A245">
            <v>267</v>
          </cell>
          <cell r="B245">
            <v>52.491921692719743</v>
          </cell>
          <cell r="C245">
            <v>1169.8844527995184</v>
          </cell>
          <cell r="D245">
            <v>2792.0654335127638</v>
          </cell>
          <cell r="E245">
            <v>772.40622235089279</v>
          </cell>
          <cell r="F245">
            <v>26.692746601894061</v>
          </cell>
        </row>
        <row r="246">
          <cell r="A246">
            <v>268</v>
          </cell>
          <cell r="B246">
            <v>53.327271593585181</v>
          </cell>
          <cell r="C246">
            <v>1174.9411657363296</v>
          </cell>
          <cell r="D246">
            <v>2791.3020286325909</v>
          </cell>
          <cell r="E246">
            <v>770.76629366514987</v>
          </cell>
          <cell r="F246">
            <v>27.145499233559327</v>
          </cell>
        </row>
        <row r="247">
          <cell r="A247">
            <v>269</v>
          </cell>
          <cell r="B247">
            <v>54.172734713992767</v>
          </cell>
          <cell r="C247">
            <v>1180.0105564241078</v>
          </cell>
          <cell r="D247">
            <v>2790.5102878707448</v>
          </cell>
          <cell r="E247">
            <v>769.11648477472295</v>
          </cell>
          <cell r="F247">
            <v>27.605272099227648</v>
          </cell>
        </row>
        <row r="248">
          <cell r="A248">
            <v>270</v>
          </cell>
          <cell r="B248">
            <v>55.028394740882831</v>
          </cell>
          <cell r="C248">
            <v>1185.0928237801961</v>
          </cell>
          <cell r="D248">
            <v>2789.6898612303794</v>
          </cell>
          <cell r="E248">
            <v>767.4566591471405</v>
          </cell>
          <cell r="F248">
            <v>28.072186449996206</v>
          </cell>
        </row>
        <row r="249">
          <cell r="A249">
            <v>271</v>
          </cell>
          <cell r="B249">
            <v>55.894335843942514</v>
          </cell>
          <cell r="C249">
            <v>1190.1881713433729</v>
          </cell>
          <cell r="D249">
            <v>2788.8403903293806</v>
          </cell>
          <cell r="E249">
            <v>765.78667651577109</v>
          </cell>
          <cell r="F249">
            <v>28.546366602615198</v>
          </cell>
        </row>
        <row r="250">
          <cell r="A250">
            <v>272</v>
          </cell>
          <cell r="B250">
            <v>56.770642684183777</v>
          </cell>
          <cell r="C250">
            <v>1195.2968074358898</v>
          </cell>
          <cell r="D250">
            <v>2787.9615080908588</v>
          </cell>
          <cell r="E250">
            <v>764.10639274758205</v>
          </cell>
          <cell r="F250">
            <v>29.027940053056835</v>
          </cell>
        </row>
        <row r="251">
          <cell r="A251">
            <v>273</v>
          </cell>
          <cell r="B251">
            <v>57.657400422871341</v>
          </cell>
          <cell r="C251">
            <v>1200.4189453321856</v>
          </cell>
          <cell r="D251">
            <v>2787.0528384244053</v>
          </cell>
          <cell r="E251">
            <v>762.41565970639647</v>
          </cell>
          <cell r="F251">
            <v>29.517037595362275</v>
          </cell>
        </row>
        <row r="252">
          <cell r="A252">
            <v>274</v>
          </cell>
          <cell r="B252">
            <v>58.554694730807704</v>
          </cell>
          <cell r="C252">
            <v>1205.5548034345566</v>
          </cell>
          <cell r="D252">
            <v>2786.1139958980389</v>
          </cell>
          <cell r="E252">
            <v>760.71432511160435</v>
          </cell>
          <cell r="F252">
            <v>30.01379344603447</v>
          </cell>
        </row>
        <row r="253">
          <cell r="A253">
            <v>275</v>
          </cell>
          <cell r="B253">
            <v>59.462611797993539</v>
          </cell>
          <cell r="C253">
            <v>1210.7046054560269</v>
          </cell>
          <cell r="D253">
            <v>2785.1445854006847</v>
          </cell>
          <cell r="E253">
            <v>759.00223239229081</v>
          </cell>
          <cell r="F253">
            <v>30.518345374268375</v>
          </cell>
        </row>
        <row r="254">
          <cell r="A254">
            <v>276</v>
          </cell>
          <cell r="B254">
            <v>60.381238343674106</v>
          </cell>
          <cell r="C254">
            <v>1215.8685806107039</v>
          </cell>
          <cell r="D254">
            <v>2784.1442017950094</v>
          </cell>
          <cell r="E254">
            <v>757.27922053675798</v>
          </cell>
          <cell r="F254">
            <v>31.030834838321706</v>
          </cell>
        </row>
        <row r="255">
          <cell r="A255">
            <v>277</v>
          </cell>
          <cell r="B255">
            <v>61.310661626789368</v>
          </cell>
          <cell r="C255">
            <v>1221.0469638118864</v>
          </cell>
          <cell r="D255">
            <v>2783.1124295603408</v>
          </cell>
          <cell r="E255">
            <v>755.5451239374238</v>
          </cell>
          <cell r="F255">
            <v>31.551407128352583</v>
          </cell>
        </row>
        <row r="256">
          <cell r="A256">
            <v>278</v>
          </cell>
          <cell r="B256">
            <v>62.250969456839051</v>
          </cell>
          <cell r="C256">
            <v>1226.2399958782225</v>
          </cell>
          <cell r="D256">
            <v>2782.048842425364</v>
          </cell>
          <cell r="E256">
            <v>753.79977223109142</v>
          </cell>
          <cell r="F256">
            <v>32.08021151606642</v>
          </cell>
        </row>
        <row r="257">
          <cell r="A257">
            <v>279</v>
          </cell>
          <cell r="B257">
            <v>63.202250205185351</v>
          </cell>
          <cell r="C257">
            <v>1231.4479237482053</v>
          </cell>
          <cell r="D257">
            <v>2780.9530029901125</v>
          </cell>
          <cell r="E257">
            <v>752.04299013459183</v>
          </cell>
          <cell r="F257">
            <v>32.617401411545302</v>
          </cell>
        </row>
      </sheetData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ัปดาห์ 4 (2)"/>
      <sheetName val="เดือน 4"/>
      <sheetName val="สัปดาห์ 4"/>
      <sheetName val="สัปดาห์ 3"/>
      <sheetName val="สัปดาห์ 2- 03"/>
      <sheetName val="Bill No. 2 - Carpark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  <sheetName val="L-2 PIT"/>
      <sheetName val="SAN REDUCED 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-2 บ้านพรุ  (2)"/>
      <sheetName val="super PS บ้านพรุ"/>
      <sheetName val="pro-Biotic (2)"/>
      <sheetName val="งบแป้งสาลี"/>
      <sheetName val="ปรับถมดิน1"/>
      <sheetName val="ปรับถมดิน"/>
      <sheetName val="หอพัก"/>
      <sheetName val="สร้างอาคาร (2)"/>
      <sheetName val="สร้างอาคาร"/>
      <sheetName val="new ext"/>
      <sheetName val="con PL"/>
      <sheetName val="ชุดวัดลม"/>
      <sheetName val="ลูกกุ้งวัยอ่อน"/>
      <sheetName val="india"/>
      <sheetName val="pro-Biotic"/>
      <sheetName val="โรงอาหาร (2)"/>
      <sheetName val="โรงอาหาร"/>
      <sheetName val="กำจัดกลิ่น"/>
      <sheetName val="คลัง (2)"/>
      <sheetName val="คลัง"/>
      <sheetName val="ระบบฉีดของสด"/>
      <sheetName val="ลูกกุ้ง (2)"/>
      <sheetName val="ลูกกุ้ง (3)"/>
      <sheetName val="วิศวกรรม"/>
      <sheetName val="gen มหาชัย"/>
      <sheetName val="gen บ้านพรุ"/>
      <sheetName val="อาหารปลา"/>
      <sheetName val="air2"/>
      <sheetName val="air"/>
      <sheetName val="ยางกันซึม"/>
      <sheetName val="lico2"/>
      <sheetName val="lico"/>
      <sheetName val="คอมพิวเตอร์"/>
      <sheetName val="เก็บเอกสาร"/>
      <sheetName val="ลูกกุ้ง"/>
      <sheetName val="ext"/>
      <sheetName val="ป๊มเม็ด"/>
      <sheetName val="ไอน้ำ"/>
      <sheetName val="extruder 1"/>
      <sheetName val="extruder"/>
      <sheetName val="Sheet1"/>
      <sheetName val="Sheet2"/>
      <sheetName val="Sheet3"/>
      <sheetName val="BT-2 บ้านพรุ "/>
      <sheetName val="super PS มหาชั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SS"/>
      <sheetName val="extruder"/>
    </sheetNames>
    <definedNames>
      <definedName name="setcolors"/>
    </defined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>
        <row r="1">
          <cell r="F1" t="str">
            <v>SKKL-LYSINE S-JAR FERMENTATION REPORT  No.SKKL-82B</v>
          </cell>
        </row>
        <row r="2">
          <cell r="O2" t="str">
            <v xml:space="preserve">In charge </v>
          </cell>
        </row>
        <row r="3">
          <cell r="A3" t="str">
            <v>OBJECTIVE                  :</v>
          </cell>
          <cell r="C3" t="str">
            <v xml:space="preserve">To evaluate quality of SKKKL-E.coli No.10 transformants from each stock culture prepared for commercial production in TL plant </v>
          </cell>
          <cell r="O3" t="str">
            <v>Kobchai Porndussadeekul</v>
          </cell>
        </row>
        <row r="4">
          <cell r="C4" t="str">
            <v xml:space="preserve"> (1st Prep.) under production flow.</v>
          </cell>
        </row>
        <row r="5">
          <cell r="A5" t="str">
            <v>BACTERIAL STRAINS :</v>
          </cell>
          <cell r="C5" t="str">
            <v xml:space="preserve"> E.coli No.10-(5th week, innoculation of 2nd seed was 3 times increased )  : 1st preparation &gt; TF#1, 2, 3, 4, 5   </v>
          </cell>
          <cell r="O5" t="str">
            <v>Date: April 17,2002</v>
          </cell>
        </row>
        <row r="7">
          <cell r="A7" t="str">
            <v>CARBON-SOURCE       :</v>
          </cell>
          <cell r="C7" t="str">
            <v xml:space="preserve">  Glucose </v>
          </cell>
          <cell r="G7" t="str">
            <v xml:space="preserve">Remark  1)TF#7 is also a referent strain which was proved to be as good as the control culture under </v>
          </cell>
        </row>
        <row r="8">
          <cell r="A8" t="str">
            <v xml:space="preserve">NITROGEN-SOURCE    :                    </v>
          </cell>
          <cell r="C8" t="str">
            <v xml:space="preserve">  MN (TN)</v>
          </cell>
          <cell r="G8" t="str">
            <v xml:space="preserve">                     the production flow (BLD-2's).</v>
          </cell>
        </row>
        <row r="9">
          <cell r="A9" t="str">
            <v>TEST ITEMS :</v>
          </cell>
          <cell r="G9" t="str">
            <v xml:space="preserve">     2) 2nd seed growth of the TF#7 was low due to too high initial  pH (~7.4)</v>
          </cell>
        </row>
        <row r="10">
          <cell r="A10" t="str">
            <v>Jar No.</v>
          </cell>
          <cell r="B10" t="str">
            <v xml:space="preserve">Stock Culture </v>
          </cell>
          <cell r="D10" t="str">
            <v>2nd - seed CT</v>
          </cell>
          <cell r="I10" t="str">
            <v>Jar No.</v>
          </cell>
          <cell r="L10" t="str">
            <v>1</v>
          </cell>
          <cell r="M10" t="str">
            <v>2</v>
          </cell>
          <cell r="N10" t="str">
            <v>3</v>
          </cell>
          <cell r="O10" t="str">
            <v>4</v>
          </cell>
          <cell r="P10">
            <v>5</v>
          </cell>
          <cell r="Q10">
            <v>6</v>
          </cell>
        </row>
        <row r="12">
          <cell r="B12" t="str">
            <v>No.</v>
          </cell>
          <cell r="D12" t="str">
            <v>(hour)</v>
          </cell>
          <cell r="I12" t="str">
            <v xml:space="preserve">Initial Osmotic Pressure      </v>
          </cell>
          <cell r="K12" t="str">
            <v>(mOsm)</v>
          </cell>
        </row>
        <row r="13">
          <cell r="A13">
            <v>1</v>
          </cell>
          <cell r="B13" t="str">
            <v>BLD2's Control(02)</v>
          </cell>
          <cell r="D13">
            <v>18.5</v>
          </cell>
          <cell r="I13" t="str">
            <v>Start volume</v>
          </cell>
          <cell r="K13" t="str">
            <v>(ml)</v>
          </cell>
          <cell r="L13">
            <v>300</v>
          </cell>
          <cell r="M13">
            <v>300</v>
          </cell>
          <cell r="N13">
            <v>300</v>
          </cell>
          <cell r="O13">
            <v>300</v>
          </cell>
          <cell r="P13">
            <v>300</v>
          </cell>
          <cell r="Q13">
            <v>300</v>
          </cell>
        </row>
        <row r="14">
          <cell r="A14">
            <v>2</v>
          </cell>
          <cell r="B14" t="str">
            <v>BLD2's Control(02)</v>
          </cell>
          <cell r="D14">
            <v>18.5</v>
          </cell>
          <cell r="I14" t="str">
            <v>Initial Sugar</v>
          </cell>
          <cell r="K14" t="str">
            <v>(g/dl)</v>
          </cell>
          <cell r="L14">
            <v>2.4</v>
          </cell>
          <cell r="M14">
            <v>2.4</v>
          </cell>
          <cell r="N14">
            <v>2.4</v>
          </cell>
          <cell r="O14">
            <v>2.4700000000000002</v>
          </cell>
          <cell r="P14">
            <v>2.65</v>
          </cell>
          <cell r="Q14">
            <v>2.82</v>
          </cell>
        </row>
        <row r="15">
          <cell r="A15">
            <v>3</v>
          </cell>
          <cell r="B15" t="str">
            <v>TF#1</v>
          </cell>
          <cell r="D15">
            <v>19</v>
          </cell>
          <cell r="I15" t="str">
            <v>Feed Volume</v>
          </cell>
          <cell r="J15" t="str">
            <v/>
          </cell>
          <cell r="K15" t="str">
            <v>(ml)</v>
          </cell>
          <cell r="L15">
            <v>293</v>
          </cell>
          <cell r="M15">
            <v>285</v>
          </cell>
          <cell r="N15">
            <v>310</v>
          </cell>
          <cell r="O15">
            <v>319</v>
          </cell>
          <cell r="P15">
            <v>256</v>
          </cell>
          <cell r="Q15">
            <v>284</v>
          </cell>
        </row>
        <row r="16">
          <cell r="A16">
            <v>4</v>
          </cell>
          <cell r="B16" t="str">
            <v>TF#2</v>
          </cell>
          <cell r="D16">
            <v>17.5</v>
          </cell>
          <cell r="I16" t="str">
            <v>Feed sugar concentration</v>
          </cell>
          <cell r="K16" t="str">
            <v>(g/dl)</v>
          </cell>
          <cell r="L16">
            <v>46</v>
          </cell>
          <cell r="M16">
            <v>46</v>
          </cell>
          <cell r="N16">
            <v>46</v>
          </cell>
          <cell r="O16">
            <v>46</v>
          </cell>
          <cell r="P16">
            <v>46</v>
          </cell>
          <cell r="Q16">
            <v>46</v>
          </cell>
        </row>
        <row r="17">
          <cell r="A17">
            <v>5</v>
          </cell>
          <cell r="B17" t="str">
            <v>TF#3</v>
          </cell>
          <cell r="D17">
            <v>17.5</v>
          </cell>
          <cell r="I17" t="str">
            <v>BPD -  volume</v>
          </cell>
          <cell r="K17" t="str">
            <v>(ml)</v>
          </cell>
          <cell r="L17">
            <v>204</v>
          </cell>
          <cell r="M17">
            <v>195</v>
          </cell>
          <cell r="N17">
            <v>190</v>
          </cell>
          <cell r="O17">
            <v>225</v>
          </cell>
          <cell r="P17">
            <v>202</v>
          </cell>
          <cell r="Q17">
            <v>201</v>
          </cell>
        </row>
        <row r="18">
          <cell r="A18">
            <v>4</v>
          </cell>
          <cell r="B18" t="str">
            <v>TF#7</v>
          </cell>
          <cell r="D18">
            <v>21.5</v>
          </cell>
          <cell r="I18" t="str">
            <v>BO   -  volume</v>
          </cell>
          <cell r="K18" t="str">
            <v>(ml)</v>
          </cell>
          <cell r="L18">
            <v>365</v>
          </cell>
          <cell r="M18">
            <v>345</v>
          </cell>
          <cell r="N18">
            <v>369</v>
          </cell>
          <cell r="O18">
            <v>366</v>
          </cell>
          <cell r="P18">
            <v>363</v>
          </cell>
          <cell r="Q18">
            <v>361</v>
          </cell>
        </row>
        <row r="19">
          <cell r="I19" t="str">
            <v xml:space="preserve">Sample cut         </v>
          </cell>
          <cell r="K19" t="str">
            <v>(ml)</v>
          </cell>
          <cell r="L19">
            <v>27.6</v>
          </cell>
          <cell r="M19">
            <v>29.8</v>
          </cell>
          <cell r="N19">
            <v>28.3</v>
          </cell>
          <cell r="O19">
            <v>28.2</v>
          </cell>
          <cell r="P19">
            <v>33.9</v>
          </cell>
          <cell r="Q19">
            <v>22.3</v>
          </cell>
        </row>
        <row r="20">
          <cell r="I20" t="str">
            <v xml:space="preserve">Af-Vol     </v>
          </cell>
          <cell r="K20" t="str">
            <v>(ml)</v>
          </cell>
          <cell r="L20">
            <v>7</v>
          </cell>
          <cell r="M20">
            <v>4.5</v>
          </cell>
          <cell r="N20">
            <v>8</v>
          </cell>
          <cell r="O20">
            <v>8.5</v>
          </cell>
          <cell r="P20">
            <v>6.5</v>
          </cell>
          <cell r="Q20">
            <v>5</v>
          </cell>
        </row>
        <row r="21">
          <cell r="A21" t="str">
            <v>MEDIUM COMPOSITION:</v>
          </cell>
          <cell r="C21" t="str">
            <v>BLD-2 Flow</v>
          </cell>
          <cell r="I21" t="str">
            <v xml:space="preserve">BPD Lysine-HCl       </v>
          </cell>
          <cell r="J21" t="str">
            <v/>
          </cell>
          <cell r="K21" t="str">
            <v>(g/dl)</v>
          </cell>
          <cell r="L21">
            <v>13.8</v>
          </cell>
          <cell r="M21">
            <v>14.2</v>
          </cell>
          <cell r="N21">
            <v>12.4</v>
          </cell>
          <cell r="O21">
            <v>13.2</v>
          </cell>
          <cell r="P21">
            <v>11.8</v>
          </cell>
          <cell r="Q21">
            <v>14.2</v>
          </cell>
        </row>
        <row r="22">
          <cell r="A22" t="str">
            <v>Composition</v>
          </cell>
          <cell r="B22" t="str">
            <v>Unit</v>
          </cell>
          <cell r="C22" t="str">
            <v>2nd</v>
          </cell>
          <cell r="D22" t="str">
            <v>Main</v>
          </cell>
          <cell r="E22" t="str">
            <v>Feed</v>
          </cell>
          <cell r="I22" t="str">
            <v>BO   Lysine-HCl</v>
          </cell>
          <cell r="J22" t="str">
            <v/>
          </cell>
          <cell r="K22" t="str">
            <v>(g/dl)</v>
          </cell>
          <cell r="L22">
            <v>16.2</v>
          </cell>
          <cell r="M22">
            <v>17.2</v>
          </cell>
          <cell r="N22">
            <v>15.8</v>
          </cell>
          <cell r="O22">
            <v>16.600000000000001</v>
          </cell>
          <cell r="P22">
            <v>13</v>
          </cell>
          <cell r="Q22">
            <v>16.600000000000001</v>
          </cell>
        </row>
        <row r="23">
          <cell r="C23" t="str">
            <v>Seed</v>
          </cell>
          <cell r="D23" t="str">
            <v>Medium</v>
          </cell>
          <cell r="E23" t="str">
            <v>Medium</v>
          </cell>
          <cell r="I23" t="str">
            <v xml:space="preserve">BPD - DCW                </v>
          </cell>
          <cell r="K23" t="str">
            <v>(g/dl)</v>
          </cell>
          <cell r="L23">
            <v>1.214</v>
          </cell>
          <cell r="M23">
            <v>1.246</v>
          </cell>
          <cell r="N23">
            <v>1.252</v>
          </cell>
          <cell r="O23">
            <v>1.292</v>
          </cell>
          <cell r="P23">
            <v>1.226</v>
          </cell>
          <cell r="Q23">
            <v>1.1839999999999999</v>
          </cell>
        </row>
        <row r="24">
          <cell r="A24" t="str">
            <v>Glucose</v>
          </cell>
          <cell r="B24" t="str">
            <v xml:space="preserve"> g/dl</v>
          </cell>
          <cell r="C24">
            <v>4</v>
          </cell>
          <cell r="D24">
            <v>2</v>
          </cell>
          <cell r="E24">
            <v>45</v>
          </cell>
          <cell r="I24" t="str">
            <v xml:space="preserve">B0   - DCW                </v>
          </cell>
          <cell r="K24" t="str">
            <v>(g/dl)</v>
          </cell>
          <cell r="L24">
            <v>1.1879999999999999</v>
          </cell>
          <cell r="M24">
            <v>1.252</v>
          </cell>
          <cell r="N24">
            <v>1.226</v>
          </cell>
          <cell r="O24">
            <v>1.232</v>
          </cell>
          <cell r="P24">
            <v>1.202</v>
          </cell>
          <cell r="Q24">
            <v>1.1659999999999999</v>
          </cell>
        </row>
        <row r="25">
          <cell r="A25" t="str">
            <v>Sucrose</v>
          </cell>
          <cell r="B25" t="str">
            <v xml:space="preserve"> g/dl</v>
          </cell>
          <cell r="C25" t="str">
            <v>-</v>
          </cell>
          <cell r="D25" t="str">
            <v>-</v>
          </cell>
          <cell r="E25" t="str">
            <v>-</v>
          </cell>
          <cell r="I25" t="str">
            <v xml:space="preserve">RS                 </v>
          </cell>
          <cell r="K25" t="str">
            <v>(g/dl)</v>
          </cell>
          <cell r="L25">
            <v>0.9</v>
          </cell>
          <cell r="M25">
            <v>0.9</v>
          </cell>
          <cell r="N25">
            <v>0.9</v>
          </cell>
          <cell r="O25">
            <v>0.9</v>
          </cell>
          <cell r="P25">
            <v>0.75</v>
          </cell>
          <cell r="Q25">
            <v>0.9</v>
          </cell>
          <cell r="R25" t="str">
            <v/>
          </cell>
        </row>
        <row r="26">
          <cell r="A26" t="str">
            <v>H3PO4</v>
          </cell>
          <cell r="B26" t="str">
            <v xml:space="preserve"> g/dl</v>
          </cell>
          <cell r="C26" t="str">
            <v>-</v>
          </cell>
          <cell r="D26" t="str">
            <v>-</v>
          </cell>
          <cell r="E26">
            <v>6.2E-2</v>
          </cell>
          <cell r="I26" t="str">
            <v>Culture time</v>
          </cell>
          <cell r="K26" t="str">
            <v>(hr)</v>
          </cell>
          <cell r="L26">
            <v>44.5</v>
          </cell>
          <cell r="M26">
            <v>44.5</v>
          </cell>
          <cell r="N26">
            <v>44.5</v>
          </cell>
          <cell r="O26">
            <v>44.5</v>
          </cell>
          <cell r="P26">
            <v>44.5</v>
          </cell>
          <cell r="Q26">
            <v>44.5</v>
          </cell>
        </row>
        <row r="27">
          <cell r="A27" t="str">
            <v>KH2PO4</v>
          </cell>
          <cell r="B27" t="str">
            <v xml:space="preserve"> g/dl</v>
          </cell>
          <cell r="C27">
            <v>0.1</v>
          </cell>
          <cell r="D27">
            <v>0.12</v>
          </cell>
          <cell r="E27" t="str">
            <v>-</v>
          </cell>
          <cell r="I27" t="str">
            <v>Contamination check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</row>
        <row r="28">
          <cell r="A28" t="str">
            <v>MgSO4.7H2O</v>
          </cell>
          <cell r="B28" t="str">
            <v xml:space="preserve"> g/dl</v>
          </cell>
          <cell r="C28">
            <v>0.1</v>
          </cell>
          <cell r="D28">
            <v>0.1</v>
          </cell>
          <cell r="E28" t="str">
            <v>-</v>
          </cell>
        </row>
        <row r="29">
          <cell r="A29" t="str">
            <v>FeSO4.7H2O</v>
          </cell>
          <cell r="B29" t="str">
            <v xml:space="preserve"> g/dl</v>
          </cell>
          <cell r="C29">
            <v>1E-3</v>
          </cell>
          <cell r="D29">
            <v>3.0000000000000001E-3</v>
          </cell>
          <cell r="E29" t="str">
            <v>-</v>
          </cell>
          <cell r="I29" t="str">
            <v>Corrected BO volume  (ml)</v>
          </cell>
          <cell r="L29">
            <v>385.7</v>
          </cell>
          <cell r="M29">
            <v>367.35</v>
          </cell>
          <cell r="N29">
            <v>390.22500000000002</v>
          </cell>
          <cell r="O29">
            <v>387.15</v>
          </cell>
          <cell r="P29">
            <v>388.42500000000001</v>
          </cell>
          <cell r="Q29">
            <v>377.72500000000002</v>
          </cell>
        </row>
        <row r="30">
          <cell r="A30" t="str">
            <v>MnSO4.4H2O</v>
          </cell>
          <cell r="B30" t="str">
            <v xml:space="preserve"> g/dl</v>
          </cell>
          <cell r="C30">
            <v>1E-3</v>
          </cell>
          <cell r="D30">
            <v>3.0000000000000001E-3</v>
          </cell>
          <cell r="E30" t="str">
            <v>-</v>
          </cell>
          <cell r="I30" t="str">
            <v>Evaporation ratio</v>
          </cell>
          <cell r="K30" t="str">
            <v>(%)</v>
          </cell>
          <cell r="L30">
            <v>99.406009783368276</v>
          </cell>
          <cell r="M30">
            <v>96.480257280686075</v>
          </cell>
          <cell r="N30">
            <v>94.793963032050186</v>
          </cell>
          <cell r="O30">
            <v>98.615050892708169</v>
          </cell>
          <cell r="P30">
            <v>106.88611426409382</v>
          </cell>
          <cell r="Q30">
            <v>99.170637021351681</v>
          </cell>
        </row>
        <row r="31">
          <cell r="A31" t="str">
            <v>NH4OH</v>
          </cell>
          <cell r="B31" t="str">
            <v xml:space="preserve"> g/dl</v>
          </cell>
          <cell r="C31" t="str">
            <v>pH Adjust.</v>
          </cell>
          <cell r="D31" t="str">
            <v>pH Adjust.</v>
          </cell>
          <cell r="E31" t="str">
            <v>-</v>
          </cell>
          <cell r="I31" t="str">
            <v xml:space="preserve">Total sugar        </v>
          </cell>
          <cell r="K31" t="str">
            <v>(g/B)</v>
          </cell>
          <cell r="L31">
            <v>141.97999999999999</v>
          </cell>
          <cell r="M31">
            <v>138.29999999999998</v>
          </cell>
          <cell r="N31">
            <v>149.79999999999998</v>
          </cell>
          <cell r="O31">
            <v>154.15</v>
          </cell>
          <cell r="P31">
            <v>125.71000000000001</v>
          </cell>
          <cell r="Q31">
            <v>139.1</v>
          </cell>
        </row>
        <row r="32">
          <cell r="A32" t="str">
            <v>(NH4)2SO4</v>
          </cell>
          <cell r="B32" t="str">
            <v xml:space="preserve"> g/dl</v>
          </cell>
          <cell r="C32">
            <v>0.8</v>
          </cell>
          <cell r="D32">
            <v>1</v>
          </cell>
          <cell r="E32">
            <v>9.07</v>
          </cell>
        </row>
        <row r="33">
          <cell r="A33" t="str">
            <v>Mameno (TN)</v>
          </cell>
          <cell r="B33" t="str">
            <v xml:space="preserve"> mg/dl</v>
          </cell>
          <cell r="C33">
            <v>60</v>
          </cell>
          <cell r="D33" t="str">
            <v>40(STD)</v>
          </cell>
          <cell r="E33" t="str">
            <v>-</v>
          </cell>
          <cell r="I33" t="str">
            <v>Lysine-HCl</v>
          </cell>
          <cell r="K33" t="str">
            <v>(g/B)</v>
          </cell>
          <cell r="L33">
            <v>90.63539999999999</v>
          </cell>
          <cell r="M33">
            <v>90.874200000000002</v>
          </cell>
          <cell r="N33">
            <v>85.215550000000007</v>
          </cell>
          <cell r="O33">
            <v>93.96690000000001</v>
          </cell>
          <cell r="P33">
            <v>74.331250000000011</v>
          </cell>
          <cell r="Q33">
            <v>91.244349999999997</v>
          </cell>
        </row>
        <row r="34">
          <cell r="A34" t="str">
            <v>Yeast Extract</v>
          </cell>
          <cell r="B34" t="str">
            <v>g/dl</v>
          </cell>
          <cell r="C34" t="str">
            <v>-</v>
          </cell>
          <cell r="D34" t="str">
            <v>-</v>
          </cell>
          <cell r="E34" t="str">
            <v>-</v>
          </cell>
          <cell r="I34" t="str">
            <v>&lt;including sugar for seed&gt;</v>
          </cell>
          <cell r="L34">
            <v>63.093638663382798</v>
          </cell>
          <cell r="M34">
            <v>64.923034716893795</v>
          </cell>
          <cell r="N34">
            <v>56.258211077676314</v>
          </cell>
          <cell r="O34">
            <v>60.303923317730082</v>
          </cell>
          <cell r="P34">
            <v>58.352933141365128</v>
          </cell>
          <cell r="Q34">
            <v>64.817023531634803</v>
          </cell>
        </row>
        <row r="35">
          <cell r="A35" t="str">
            <v>Threonine</v>
          </cell>
          <cell r="B35" t="str">
            <v xml:space="preserve"> mg/dl</v>
          </cell>
          <cell r="C35">
            <v>30</v>
          </cell>
          <cell r="D35" t="str">
            <v>-</v>
          </cell>
          <cell r="E35">
            <v>43</v>
          </cell>
        </row>
        <row r="36">
          <cell r="A36" t="str">
            <v>Threonine</v>
          </cell>
          <cell r="B36" t="str">
            <v xml:space="preserve">mg/dl </v>
          </cell>
          <cell r="C36">
            <v>30</v>
          </cell>
          <cell r="D36" t="str">
            <v>-</v>
          </cell>
          <cell r="E36">
            <v>43</v>
          </cell>
          <cell r="I36" t="str">
            <v>Lysine-HCl yield</v>
          </cell>
          <cell r="K36" t="str">
            <v xml:space="preserve">(%) </v>
          </cell>
          <cell r="L36">
            <v>63.836737568671644</v>
          </cell>
          <cell r="M36">
            <v>65.708026030368771</v>
          </cell>
          <cell r="N36">
            <v>56.886214953271043</v>
          </cell>
          <cell r="O36">
            <v>60.958092766785597</v>
          </cell>
          <cell r="P36">
            <v>59.129146448174374</v>
          </cell>
          <cell r="Q36">
            <v>65.596225736879944</v>
          </cell>
        </row>
        <row r="37">
          <cell r="A37" t="str">
            <v>Methionine</v>
          </cell>
          <cell r="B37" t="str">
            <v xml:space="preserve"> mg/dl</v>
          </cell>
          <cell r="C37" t="str">
            <v>-</v>
          </cell>
          <cell r="D37" t="str">
            <v>-</v>
          </cell>
          <cell r="E37" t="str">
            <v>-</v>
          </cell>
          <cell r="I37" t="str">
            <v>Lysine-HCl yield</v>
          </cell>
          <cell r="K37" t="str">
            <v>(%)</v>
          </cell>
          <cell r="L37">
            <v>63.836737568671644</v>
          </cell>
          <cell r="M37">
            <v>65.708026030368771</v>
          </cell>
          <cell r="N37">
            <v>56.886214953271043</v>
          </cell>
          <cell r="O37">
            <v>60.958092766785597</v>
          </cell>
          <cell r="P37">
            <v>59.129146448174374</v>
          </cell>
          <cell r="Q37">
            <v>65.596225736879944</v>
          </cell>
        </row>
        <row r="38">
          <cell r="A38" t="str">
            <v>Nicotinamide</v>
          </cell>
          <cell r="B38" t="str">
            <v xml:space="preserve"> mg/dl</v>
          </cell>
          <cell r="C38" t="str">
            <v>-</v>
          </cell>
          <cell r="D38" t="str">
            <v>-</v>
          </cell>
          <cell r="E38" t="str">
            <v>-</v>
          </cell>
        </row>
        <row r="39">
          <cell r="A39" t="str">
            <v>PABA</v>
          </cell>
          <cell r="B39" t="str">
            <v xml:space="preserve"> mg/l</v>
          </cell>
          <cell r="C39">
            <v>2</v>
          </cell>
          <cell r="D39" t="str">
            <v>-</v>
          </cell>
          <cell r="E39" t="str">
            <v>-</v>
          </cell>
          <cell r="I39" t="str">
            <v xml:space="preserve">DCW                </v>
          </cell>
          <cell r="K39" t="str">
            <v>(g/B)</v>
          </cell>
          <cell r="L39">
            <v>7.0586760000000002</v>
          </cell>
          <cell r="M39">
            <v>7.0289219999999997</v>
          </cell>
          <cell r="N39">
            <v>7.1629585000000002</v>
          </cell>
          <cell r="O39">
            <v>7.6766879999999995</v>
          </cell>
          <cell r="P39">
            <v>7.1453884999999993</v>
          </cell>
          <cell r="Q39">
            <v>6.7841134999999992</v>
          </cell>
        </row>
        <row r="40">
          <cell r="A40" t="str">
            <v>Antifoam &lt;GD-113&gt;</v>
          </cell>
          <cell r="B40" t="str">
            <v xml:space="preserve"> ml/dl</v>
          </cell>
          <cell r="C40">
            <v>0.01</v>
          </cell>
          <cell r="D40">
            <v>0.01</v>
          </cell>
          <cell r="E40">
            <v>0.01</v>
          </cell>
          <cell r="I40" t="str">
            <v>&lt;including sugar for seed&gt;</v>
          </cell>
          <cell r="L40">
            <v>4.9137263473862571</v>
          </cell>
          <cell r="M40">
            <v>5.0216557287804298</v>
          </cell>
          <cell r="N40">
            <v>4.7288931566320427</v>
          </cell>
          <cell r="O40">
            <v>4.9265688714445046</v>
          </cell>
          <cell r="P40">
            <v>5.6094089284060091</v>
          </cell>
          <cell r="Q40">
            <v>4.8192139499134052</v>
          </cell>
        </row>
        <row r="41">
          <cell r="A41" t="str">
            <v>Amix(U.S.A)</v>
          </cell>
          <cell r="B41" t="str">
            <v xml:space="preserve"> ml/dl</v>
          </cell>
          <cell r="C41" t="str">
            <v>-</v>
          </cell>
          <cell r="D41">
            <v>3</v>
          </cell>
          <cell r="E41" t="str">
            <v>-</v>
          </cell>
          <cell r="I41" t="str">
            <v xml:space="preserve">DCW yield               </v>
          </cell>
          <cell r="K41" t="str">
            <v xml:space="preserve">(%) </v>
          </cell>
          <cell r="L41">
            <v>4.971598816734752</v>
          </cell>
          <cell r="M41">
            <v>5.0823731019522782</v>
          </cell>
          <cell r="N41">
            <v>4.7816812416555416</v>
          </cell>
          <cell r="O41">
            <v>4.9800116769380471</v>
          </cell>
          <cell r="P41">
            <v>5.6840255349614184</v>
          </cell>
          <cell r="Q41">
            <v>4.8771484543493884</v>
          </cell>
        </row>
        <row r="43">
          <cell r="A43" t="str">
            <v>Condition</v>
          </cell>
          <cell r="B43" t="str">
            <v>1st Seed</v>
          </cell>
          <cell r="D43" t="str">
            <v>2nd Seed</v>
          </cell>
          <cell r="F43" t="str">
            <v>Main</v>
          </cell>
          <cell r="I43" t="str">
            <v xml:space="preserve">L/K                </v>
          </cell>
          <cell r="K43" t="str">
            <v/>
          </cell>
          <cell r="L43">
            <v>12.840283361922262</v>
          </cell>
          <cell r="M43">
            <v>12.928611243658702</v>
          </cell>
          <cell r="N43">
            <v>11.896697433050884</v>
          </cell>
          <cell r="O43">
            <v>12.240552175625741</v>
          </cell>
          <cell r="P43">
            <v>10.402688391261023</v>
          </cell>
          <cell r="Q43">
            <v>13.449708646531342</v>
          </cell>
        </row>
        <row r="44">
          <cell r="A44" t="str">
            <v>Antifoam (type)</v>
          </cell>
          <cell r="B44" t="str">
            <v>GD-113</v>
          </cell>
          <cell r="D44" t="str">
            <v>GD-113</v>
          </cell>
          <cell r="F44" t="str">
            <v>GD-113</v>
          </cell>
        </row>
        <row r="45">
          <cell r="A45" t="str">
            <v>pH adjustment</v>
          </cell>
          <cell r="B45" t="str">
            <v>6.5 &lt;KOH&gt;</v>
          </cell>
          <cell r="D45" t="str">
            <v>6.0 &lt;NH4OH&gt;</v>
          </cell>
          <cell r="F45" t="str">
            <v>Med.B : 5.0 &lt;NH4OH&gt;</v>
          </cell>
          <cell r="I45" t="str">
            <v xml:space="preserve">L/K/CT                 </v>
          </cell>
          <cell r="K45" t="str">
            <v/>
          </cell>
          <cell r="L45">
            <v>0.28854569352634296</v>
          </cell>
          <cell r="M45">
            <v>0.2905305897451394</v>
          </cell>
          <cell r="N45">
            <v>0.26734151534945805</v>
          </cell>
          <cell r="O45">
            <v>0.27506858821630881</v>
          </cell>
          <cell r="P45">
            <v>0.2337682784553039</v>
          </cell>
          <cell r="Q45">
            <v>0.30224064374227733</v>
          </cell>
        </row>
        <row r="46">
          <cell r="A46" t="str">
            <v>Inoculum(ml)</v>
          </cell>
          <cell r="B46" t="str">
            <v>0.30 (PS OD=0.08)</v>
          </cell>
          <cell r="D46" t="str">
            <v>7.0 **(5th week-1st seed)</v>
          </cell>
          <cell r="F46">
            <v>40.799999999999997</v>
          </cell>
        </row>
        <row r="47">
          <cell r="A47" t="str">
            <v>Initial Volume (ml)</v>
          </cell>
          <cell r="B47">
            <v>300</v>
          </cell>
          <cell r="D47">
            <v>300</v>
          </cell>
          <cell r="F47">
            <v>300</v>
          </cell>
          <cell r="I47" t="str">
            <v xml:space="preserve">T/K                </v>
          </cell>
          <cell r="K47" t="str">
            <v/>
          </cell>
          <cell r="L47">
            <v>20.114253721236107</v>
          </cell>
          <cell r="M47">
            <v>19.675847875392556</v>
          </cell>
          <cell r="N47">
            <v>20.913146432441284</v>
          </cell>
          <cell r="O47">
            <v>20.080274201582768</v>
          </cell>
          <cell r="P47">
            <v>17.593165158199589</v>
          </cell>
          <cell r="Q47">
            <v>20.503784319056575</v>
          </cell>
        </row>
        <row r="48">
          <cell r="A48" t="str">
            <v>End OD ( x 26 )</v>
          </cell>
          <cell r="B48">
            <v>0.46</v>
          </cell>
          <cell r="D48">
            <v>0.39500000000000002</v>
          </cell>
        </row>
        <row r="49">
          <cell r="A49" t="str">
            <v>Sterilization (C,min)</v>
          </cell>
          <cell r="B49" t="str">
            <v>120 , 20</v>
          </cell>
          <cell r="D49" t="str">
            <v>120 , 20</v>
          </cell>
          <cell r="F49" t="str">
            <v>120 , 20</v>
          </cell>
          <cell r="I49" t="str">
            <v xml:space="preserve">T/K/CT                    </v>
          </cell>
          <cell r="K49" t="str">
            <v/>
          </cell>
          <cell r="L49">
            <v>0.45200570160081138</v>
          </cell>
          <cell r="M49">
            <v>0.44215388484028217</v>
          </cell>
          <cell r="N49">
            <v>0.46995834679643333</v>
          </cell>
          <cell r="O49">
            <v>0.45124211688950039</v>
          </cell>
          <cell r="P49">
            <v>0.39535202602695707</v>
          </cell>
          <cell r="Q49">
            <v>0.4607591981810466</v>
          </cell>
        </row>
        <row r="50">
          <cell r="A50" t="str">
            <v>Cultivation Temp.(C)</v>
          </cell>
          <cell r="B50">
            <v>37</v>
          </cell>
          <cell r="D50">
            <v>37</v>
          </cell>
          <cell r="F50">
            <v>37</v>
          </cell>
        </row>
        <row r="51">
          <cell r="A51" t="str">
            <v>Aeration (vvm)</v>
          </cell>
          <cell r="B51">
            <v>0.5</v>
          </cell>
          <cell r="D51">
            <v>0.5</v>
          </cell>
          <cell r="F51" t="str">
            <v>1/2 ----&gt; 1</v>
          </cell>
          <cell r="I51" t="str">
            <v xml:space="preserve">TS/CT                        </v>
          </cell>
          <cell r="K51" t="str">
            <v/>
          </cell>
          <cell r="L51">
            <v>3.1905617977528089</v>
          </cell>
          <cell r="M51">
            <v>3.1078651685393255</v>
          </cell>
          <cell r="N51">
            <v>3.3662921348314603</v>
          </cell>
          <cell r="O51">
            <v>3.464044943820225</v>
          </cell>
          <cell r="P51">
            <v>2.8249438202247195</v>
          </cell>
          <cell r="Q51">
            <v>3.1258426966292134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S-025C"/>
      <sheetName val="Current"/>
    </sheetNames>
    <sheetDataSet>
      <sheetData sheetId="0">
        <row r="1">
          <cell r="F1" t="str">
            <v>SKKL-LYSINE S-JAR FERMENTATION REPORT  No.SKKL-82B</v>
          </cell>
        </row>
        <row r="2">
          <cell r="O2" t="str">
            <v xml:space="preserve">In charge </v>
          </cell>
        </row>
        <row r="3">
          <cell r="A3" t="str">
            <v>OBJECTIVE                  :</v>
          </cell>
          <cell r="C3" t="str">
            <v xml:space="preserve">To evaluate quality of SKKKL-E.coli No.10 transformants from each stock culture prepared for commercial production in TL plant </v>
          </cell>
          <cell r="O3" t="str">
            <v>Kobchai Porndussadeekul</v>
          </cell>
        </row>
        <row r="4">
          <cell r="C4" t="str">
            <v xml:space="preserve"> (1st Prep.) under production flow.</v>
          </cell>
        </row>
        <row r="5">
          <cell r="A5" t="str">
            <v>BACTERIAL STRAINS :</v>
          </cell>
          <cell r="C5" t="str">
            <v xml:space="preserve"> E.coli No.10-(5th week, innoculation of 2nd seed was 3 times increased )  : 1st preparation &gt; TF#1, 2, 3, 4, 5   </v>
          </cell>
          <cell r="O5" t="str">
            <v>Date: April 17,2002</v>
          </cell>
        </row>
        <row r="7">
          <cell r="A7" t="str">
            <v>CARBON-SOURCE       :</v>
          </cell>
          <cell r="C7" t="str">
            <v xml:space="preserve">  Glucose </v>
          </cell>
          <cell r="G7" t="str">
            <v xml:space="preserve">Remark  1)TF#7 is also a referent strain which was proved to be as good as the control culture under </v>
          </cell>
        </row>
        <row r="8">
          <cell r="A8" t="str">
            <v xml:space="preserve">NITROGEN-SOURCE    :                    </v>
          </cell>
          <cell r="C8" t="str">
            <v xml:space="preserve">  MN (TN)</v>
          </cell>
          <cell r="G8" t="str">
            <v xml:space="preserve">                     the production flow (BLD-2's).</v>
          </cell>
        </row>
        <row r="9">
          <cell r="A9" t="str">
            <v>TEST ITEMS :</v>
          </cell>
          <cell r="G9" t="str">
            <v xml:space="preserve">     2) 2nd seed growth of the TF#7 was low due to too high initial  pH (~7.4)</v>
          </cell>
        </row>
        <row r="10">
          <cell r="A10" t="str">
            <v>Jar No.</v>
          </cell>
          <cell r="B10" t="str">
            <v xml:space="preserve">Stock Culture </v>
          </cell>
          <cell r="D10" t="str">
            <v>2nd - seed CT</v>
          </cell>
          <cell r="I10" t="str">
            <v>Jar No.</v>
          </cell>
          <cell r="L10" t="str">
            <v>1</v>
          </cell>
          <cell r="M10" t="str">
            <v>2</v>
          </cell>
          <cell r="N10" t="str">
            <v>3</v>
          </cell>
          <cell r="O10" t="str">
            <v>4</v>
          </cell>
          <cell r="P10">
            <v>5</v>
          </cell>
          <cell r="Q10">
            <v>6</v>
          </cell>
        </row>
        <row r="12">
          <cell r="B12" t="str">
            <v>No.</v>
          </cell>
          <cell r="D12" t="str">
            <v>(hour)</v>
          </cell>
          <cell r="I12" t="str">
            <v xml:space="preserve">Initial Osmotic Pressure      </v>
          </cell>
          <cell r="K12" t="str">
            <v>(mOsm)</v>
          </cell>
        </row>
        <row r="13">
          <cell r="A13">
            <v>1</v>
          </cell>
          <cell r="B13" t="str">
            <v>BLD2's Control(02)</v>
          </cell>
          <cell r="D13">
            <v>18.5</v>
          </cell>
          <cell r="I13" t="str">
            <v>Start volume</v>
          </cell>
          <cell r="K13" t="str">
            <v>(ml)</v>
          </cell>
          <cell r="L13">
            <v>300</v>
          </cell>
          <cell r="M13">
            <v>300</v>
          </cell>
          <cell r="N13">
            <v>300</v>
          </cell>
          <cell r="O13">
            <v>300</v>
          </cell>
          <cell r="P13">
            <v>300</v>
          </cell>
          <cell r="Q13">
            <v>300</v>
          </cell>
        </row>
        <row r="14">
          <cell r="A14">
            <v>2</v>
          </cell>
          <cell r="B14" t="str">
            <v>BLD2's Control(02)</v>
          </cell>
          <cell r="D14">
            <v>18.5</v>
          </cell>
          <cell r="I14" t="str">
            <v>Initial Sugar</v>
          </cell>
          <cell r="K14" t="str">
            <v>(g/dl)</v>
          </cell>
          <cell r="L14">
            <v>2.4</v>
          </cell>
          <cell r="M14">
            <v>2.4</v>
          </cell>
          <cell r="N14">
            <v>2.4</v>
          </cell>
          <cell r="O14">
            <v>2.4700000000000002</v>
          </cell>
          <cell r="P14">
            <v>2.65</v>
          </cell>
          <cell r="Q14">
            <v>2.82</v>
          </cell>
        </row>
        <row r="15">
          <cell r="A15">
            <v>3</v>
          </cell>
          <cell r="B15" t="str">
            <v>TF#1</v>
          </cell>
          <cell r="D15">
            <v>19</v>
          </cell>
          <cell r="I15" t="str">
            <v>Feed Volume</v>
          </cell>
          <cell r="J15" t="str">
            <v/>
          </cell>
          <cell r="K15" t="str">
            <v>(ml)</v>
          </cell>
          <cell r="L15">
            <v>293</v>
          </cell>
          <cell r="M15">
            <v>285</v>
          </cell>
          <cell r="N15">
            <v>310</v>
          </cell>
          <cell r="O15">
            <v>319</v>
          </cell>
          <cell r="P15">
            <v>256</v>
          </cell>
          <cell r="Q15">
            <v>284</v>
          </cell>
        </row>
        <row r="16">
          <cell r="A16">
            <v>4</v>
          </cell>
          <cell r="B16" t="str">
            <v>TF#2</v>
          </cell>
          <cell r="D16">
            <v>17.5</v>
          </cell>
          <cell r="I16" t="str">
            <v>Feed sugar concentration</v>
          </cell>
          <cell r="K16" t="str">
            <v>(g/dl)</v>
          </cell>
          <cell r="L16">
            <v>46</v>
          </cell>
          <cell r="M16">
            <v>46</v>
          </cell>
          <cell r="N16">
            <v>46</v>
          </cell>
          <cell r="O16">
            <v>46</v>
          </cell>
          <cell r="P16">
            <v>46</v>
          </cell>
          <cell r="Q16">
            <v>46</v>
          </cell>
        </row>
        <row r="17">
          <cell r="A17">
            <v>5</v>
          </cell>
          <cell r="B17" t="str">
            <v>TF#3</v>
          </cell>
          <cell r="D17">
            <v>17.5</v>
          </cell>
          <cell r="I17" t="str">
            <v>BPD -  volume</v>
          </cell>
          <cell r="K17" t="str">
            <v>(ml)</v>
          </cell>
          <cell r="L17">
            <v>204</v>
          </cell>
          <cell r="M17">
            <v>195</v>
          </cell>
          <cell r="N17">
            <v>190</v>
          </cell>
          <cell r="O17">
            <v>225</v>
          </cell>
          <cell r="P17">
            <v>202</v>
          </cell>
          <cell r="Q17">
            <v>201</v>
          </cell>
        </row>
        <row r="18">
          <cell r="A18">
            <v>4</v>
          </cell>
          <cell r="B18" t="str">
            <v>TF#7</v>
          </cell>
          <cell r="D18">
            <v>21.5</v>
          </cell>
          <cell r="I18" t="str">
            <v>BO   -  volume</v>
          </cell>
          <cell r="K18" t="str">
            <v>(ml)</v>
          </cell>
          <cell r="L18">
            <v>365</v>
          </cell>
          <cell r="M18">
            <v>345</v>
          </cell>
          <cell r="N18">
            <v>369</v>
          </cell>
          <cell r="O18">
            <v>366</v>
          </cell>
          <cell r="P18">
            <v>363</v>
          </cell>
          <cell r="Q18">
            <v>361</v>
          </cell>
        </row>
        <row r="19">
          <cell r="I19" t="str">
            <v xml:space="preserve">Sample cut         </v>
          </cell>
          <cell r="K19" t="str">
            <v>(ml)</v>
          </cell>
          <cell r="L19">
            <v>27.6</v>
          </cell>
          <cell r="M19">
            <v>29.8</v>
          </cell>
          <cell r="N19">
            <v>28.3</v>
          </cell>
          <cell r="O19">
            <v>28.2</v>
          </cell>
          <cell r="P19">
            <v>33.9</v>
          </cell>
          <cell r="Q19">
            <v>22.3</v>
          </cell>
        </row>
        <row r="20">
          <cell r="I20" t="str">
            <v xml:space="preserve">Af-Vol     </v>
          </cell>
          <cell r="K20" t="str">
            <v>(ml)</v>
          </cell>
          <cell r="L20">
            <v>7</v>
          </cell>
          <cell r="M20">
            <v>4.5</v>
          </cell>
          <cell r="N20">
            <v>8</v>
          </cell>
          <cell r="O20">
            <v>8.5</v>
          </cell>
          <cell r="P20">
            <v>6.5</v>
          </cell>
          <cell r="Q20">
            <v>5</v>
          </cell>
        </row>
        <row r="21">
          <cell r="A21" t="str">
            <v>MEDIUM COMPOSITION:</v>
          </cell>
          <cell r="C21" t="str">
            <v>BLD-2 Flow</v>
          </cell>
          <cell r="I21" t="str">
            <v xml:space="preserve">BPD Lysine-HCl       </v>
          </cell>
          <cell r="J21" t="str">
            <v/>
          </cell>
          <cell r="K21" t="str">
            <v>(g/dl)</v>
          </cell>
          <cell r="L21">
            <v>13.8</v>
          </cell>
          <cell r="M21">
            <v>14.2</v>
          </cell>
          <cell r="N21">
            <v>12.4</v>
          </cell>
          <cell r="O21">
            <v>13.2</v>
          </cell>
          <cell r="P21">
            <v>11.8</v>
          </cell>
          <cell r="Q21">
            <v>14.2</v>
          </cell>
        </row>
        <row r="22">
          <cell r="A22" t="str">
            <v>Composition</v>
          </cell>
          <cell r="B22" t="str">
            <v>Unit</v>
          </cell>
          <cell r="C22" t="str">
            <v>2nd</v>
          </cell>
          <cell r="D22" t="str">
            <v>Main</v>
          </cell>
          <cell r="E22" t="str">
            <v>Feed</v>
          </cell>
          <cell r="I22" t="str">
            <v>BO   Lysine-HCl</v>
          </cell>
          <cell r="J22" t="str">
            <v/>
          </cell>
          <cell r="K22" t="str">
            <v>(g/dl)</v>
          </cell>
          <cell r="L22">
            <v>16.2</v>
          </cell>
          <cell r="M22">
            <v>17.2</v>
          </cell>
          <cell r="N22">
            <v>15.8</v>
          </cell>
          <cell r="O22">
            <v>16.600000000000001</v>
          </cell>
          <cell r="P22">
            <v>13</v>
          </cell>
          <cell r="Q22">
            <v>16.600000000000001</v>
          </cell>
        </row>
        <row r="23">
          <cell r="C23" t="str">
            <v>Seed</v>
          </cell>
          <cell r="D23" t="str">
            <v>Medium</v>
          </cell>
          <cell r="E23" t="str">
            <v>Medium</v>
          </cell>
          <cell r="I23" t="str">
            <v xml:space="preserve">BPD - DCW                </v>
          </cell>
          <cell r="K23" t="str">
            <v>(g/dl)</v>
          </cell>
          <cell r="L23">
            <v>1.214</v>
          </cell>
          <cell r="M23">
            <v>1.246</v>
          </cell>
          <cell r="N23">
            <v>1.252</v>
          </cell>
          <cell r="O23">
            <v>1.292</v>
          </cell>
          <cell r="P23">
            <v>1.226</v>
          </cell>
          <cell r="Q23">
            <v>1.1839999999999999</v>
          </cell>
        </row>
        <row r="24">
          <cell r="A24" t="str">
            <v>Glucose</v>
          </cell>
          <cell r="B24" t="str">
            <v xml:space="preserve"> g/dl</v>
          </cell>
          <cell r="C24">
            <v>4</v>
          </cell>
          <cell r="D24">
            <v>2</v>
          </cell>
          <cell r="E24">
            <v>45</v>
          </cell>
          <cell r="I24" t="str">
            <v xml:space="preserve">B0   - DCW                </v>
          </cell>
          <cell r="K24" t="str">
            <v>(g/dl)</v>
          </cell>
          <cell r="L24">
            <v>1.1879999999999999</v>
          </cell>
          <cell r="M24">
            <v>1.252</v>
          </cell>
          <cell r="N24">
            <v>1.226</v>
          </cell>
          <cell r="O24">
            <v>1.232</v>
          </cell>
          <cell r="P24">
            <v>1.202</v>
          </cell>
          <cell r="Q24">
            <v>1.1659999999999999</v>
          </cell>
        </row>
        <row r="25">
          <cell r="A25" t="str">
            <v>Sucrose</v>
          </cell>
          <cell r="B25" t="str">
            <v xml:space="preserve"> g/dl</v>
          </cell>
          <cell r="C25" t="str">
            <v>-</v>
          </cell>
          <cell r="D25" t="str">
            <v>-</v>
          </cell>
          <cell r="E25" t="str">
            <v>-</v>
          </cell>
          <cell r="I25" t="str">
            <v xml:space="preserve">RS                 </v>
          </cell>
          <cell r="K25" t="str">
            <v>(g/dl)</v>
          </cell>
          <cell r="L25">
            <v>0.9</v>
          </cell>
          <cell r="M25">
            <v>0.9</v>
          </cell>
          <cell r="N25">
            <v>0.9</v>
          </cell>
          <cell r="O25">
            <v>0.9</v>
          </cell>
          <cell r="P25">
            <v>0.75</v>
          </cell>
          <cell r="Q25">
            <v>0.9</v>
          </cell>
          <cell r="R25" t="str">
            <v/>
          </cell>
        </row>
        <row r="26">
          <cell r="A26" t="str">
            <v>H3PO4</v>
          </cell>
          <cell r="B26" t="str">
            <v xml:space="preserve"> g/dl</v>
          </cell>
          <cell r="C26" t="str">
            <v>-</v>
          </cell>
          <cell r="D26" t="str">
            <v>-</v>
          </cell>
          <cell r="E26">
            <v>6.2E-2</v>
          </cell>
          <cell r="I26" t="str">
            <v>Culture time</v>
          </cell>
          <cell r="K26" t="str">
            <v>(hr)</v>
          </cell>
          <cell r="L26">
            <v>44.5</v>
          </cell>
          <cell r="M26">
            <v>44.5</v>
          </cell>
          <cell r="N26">
            <v>44.5</v>
          </cell>
          <cell r="O26">
            <v>44.5</v>
          </cell>
          <cell r="P26">
            <v>44.5</v>
          </cell>
          <cell r="Q26">
            <v>44.5</v>
          </cell>
        </row>
        <row r="27">
          <cell r="A27" t="str">
            <v>KH2PO4</v>
          </cell>
          <cell r="B27" t="str">
            <v xml:space="preserve"> g/dl</v>
          </cell>
          <cell r="C27">
            <v>0.1</v>
          </cell>
          <cell r="D27">
            <v>0.12</v>
          </cell>
          <cell r="E27" t="str">
            <v>-</v>
          </cell>
          <cell r="I27" t="str">
            <v>Contamination check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</row>
        <row r="28">
          <cell r="A28" t="str">
            <v>MgSO4.7H2O</v>
          </cell>
          <cell r="B28" t="str">
            <v xml:space="preserve"> g/dl</v>
          </cell>
          <cell r="C28">
            <v>0.1</v>
          </cell>
          <cell r="D28">
            <v>0.1</v>
          </cell>
          <cell r="E28" t="str">
            <v>-</v>
          </cell>
        </row>
        <row r="29">
          <cell r="A29" t="str">
            <v>FeSO4.7H2O</v>
          </cell>
          <cell r="B29" t="str">
            <v xml:space="preserve"> g/dl</v>
          </cell>
          <cell r="C29">
            <v>1E-3</v>
          </cell>
          <cell r="D29">
            <v>3.0000000000000001E-3</v>
          </cell>
          <cell r="E29" t="str">
            <v>-</v>
          </cell>
          <cell r="I29" t="str">
            <v>Corrected BO volume  (ml)</v>
          </cell>
          <cell r="L29">
            <v>385.7</v>
          </cell>
          <cell r="M29">
            <v>367.35</v>
          </cell>
          <cell r="N29">
            <v>390.22500000000002</v>
          </cell>
          <cell r="O29">
            <v>387.15</v>
          </cell>
          <cell r="P29">
            <v>388.42500000000001</v>
          </cell>
          <cell r="Q29">
            <v>377.72500000000002</v>
          </cell>
        </row>
        <row r="30">
          <cell r="A30" t="str">
            <v>MnSO4.4H2O</v>
          </cell>
          <cell r="B30" t="str">
            <v xml:space="preserve"> g/dl</v>
          </cell>
          <cell r="C30">
            <v>1E-3</v>
          </cell>
          <cell r="D30">
            <v>3.0000000000000001E-3</v>
          </cell>
          <cell r="E30" t="str">
            <v>-</v>
          </cell>
          <cell r="I30" t="str">
            <v>Evaporation ratio</v>
          </cell>
          <cell r="K30" t="str">
            <v>(%)</v>
          </cell>
          <cell r="L30">
            <v>99.406009783368276</v>
          </cell>
          <cell r="M30">
            <v>96.480257280686075</v>
          </cell>
          <cell r="N30">
            <v>94.793963032050186</v>
          </cell>
          <cell r="O30">
            <v>98.615050892708169</v>
          </cell>
          <cell r="P30">
            <v>106.88611426409382</v>
          </cell>
          <cell r="Q30">
            <v>99.170637021351681</v>
          </cell>
        </row>
        <row r="31">
          <cell r="A31" t="str">
            <v>NH4OH</v>
          </cell>
          <cell r="B31" t="str">
            <v xml:space="preserve"> g/dl</v>
          </cell>
          <cell r="C31" t="str">
            <v>pH Adjust.</v>
          </cell>
          <cell r="D31" t="str">
            <v>pH Adjust.</v>
          </cell>
          <cell r="E31" t="str">
            <v>-</v>
          </cell>
          <cell r="I31" t="str">
            <v xml:space="preserve">Total sugar        </v>
          </cell>
          <cell r="K31" t="str">
            <v>(g/B)</v>
          </cell>
          <cell r="L31">
            <v>141.97999999999999</v>
          </cell>
          <cell r="M31">
            <v>138.29999999999998</v>
          </cell>
          <cell r="N31">
            <v>149.79999999999998</v>
          </cell>
          <cell r="O31">
            <v>154.15</v>
          </cell>
          <cell r="P31">
            <v>125.71000000000001</v>
          </cell>
          <cell r="Q31">
            <v>139.1</v>
          </cell>
        </row>
        <row r="32">
          <cell r="A32" t="str">
            <v>(NH4)2SO4</v>
          </cell>
          <cell r="B32" t="str">
            <v xml:space="preserve"> g/dl</v>
          </cell>
          <cell r="C32">
            <v>0.8</v>
          </cell>
          <cell r="D32">
            <v>1</v>
          </cell>
          <cell r="E32">
            <v>9.07</v>
          </cell>
        </row>
        <row r="33">
          <cell r="A33" t="str">
            <v>Mameno (TN)</v>
          </cell>
          <cell r="B33" t="str">
            <v xml:space="preserve"> mg/dl</v>
          </cell>
          <cell r="C33">
            <v>60</v>
          </cell>
          <cell r="D33" t="str">
            <v>40(STD)</v>
          </cell>
          <cell r="E33" t="str">
            <v>-</v>
          </cell>
          <cell r="I33" t="str">
            <v>Lysine-HCl</v>
          </cell>
          <cell r="K33" t="str">
            <v>(g/B)</v>
          </cell>
          <cell r="L33">
            <v>90.63539999999999</v>
          </cell>
          <cell r="M33">
            <v>90.874200000000002</v>
          </cell>
          <cell r="N33">
            <v>85.215550000000007</v>
          </cell>
          <cell r="O33">
            <v>93.96690000000001</v>
          </cell>
          <cell r="P33">
            <v>74.331250000000011</v>
          </cell>
          <cell r="Q33">
            <v>91.244349999999997</v>
          </cell>
        </row>
        <row r="34">
          <cell r="A34" t="str">
            <v>Yeast Extract</v>
          </cell>
          <cell r="B34" t="str">
            <v>g/dl</v>
          </cell>
          <cell r="C34" t="str">
            <v>-</v>
          </cell>
          <cell r="D34" t="str">
            <v>-</v>
          </cell>
          <cell r="E34" t="str">
            <v>-</v>
          </cell>
          <cell r="I34" t="str">
            <v>&lt;including sugar for seed&gt;</v>
          </cell>
          <cell r="L34">
            <v>63.093638663382798</v>
          </cell>
          <cell r="M34">
            <v>64.923034716893795</v>
          </cell>
          <cell r="N34">
            <v>56.258211077676314</v>
          </cell>
          <cell r="O34">
            <v>60.303923317730082</v>
          </cell>
          <cell r="P34">
            <v>58.352933141365128</v>
          </cell>
          <cell r="Q34">
            <v>64.817023531634803</v>
          </cell>
        </row>
        <row r="35">
          <cell r="A35" t="str">
            <v>Threonine</v>
          </cell>
          <cell r="B35" t="str">
            <v xml:space="preserve"> mg/dl</v>
          </cell>
          <cell r="C35">
            <v>30</v>
          </cell>
          <cell r="D35" t="str">
            <v>-</v>
          </cell>
          <cell r="E35">
            <v>43</v>
          </cell>
        </row>
        <row r="36">
          <cell r="A36" t="str">
            <v>Threonine</v>
          </cell>
          <cell r="B36" t="str">
            <v xml:space="preserve">mg/dl </v>
          </cell>
          <cell r="C36">
            <v>30</v>
          </cell>
          <cell r="D36" t="str">
            <v>-</v>
          </cell>
          <cell r="E36">
            <v>43</v>
          </cell>
          <cell r="I36" t="str">
            <v>Lysine-HCl yield</v>
          </cell>
          <cell r="K36" t="str">
            <v xml:space="preserve">(%) </v>
          </cell>
          <cell r="L36">
            <v>63.836737568671644</v>
          </cell>
          <cell r="M36">
            <v>65.708026030368771</v>
          </cell>
          <cell r="N36">
            <v>56.886214953271043</v>
          </cell>
          <cell r="O36">
            <v>60.958092766785597</v>
          </cell>
          <cell r="P36">
            <v>59.129146448174374</v>
          </cell>
          <cell r="Q36">
            <v>65.596225736879944</v>
          </cell>
        </row>
        <row r="37">
          <cell r="A37" t="str">
            <v>Methionine</v>
          </cell>
          <cell r="B37" t="str">
            <v xml:space="preserve"> mg/dl</v>
          </cell>
          <cell r="C37" t="str">
            <v>-</v>
          </cell>
          <cell r="D37" t="str">
            <v>-</v>
          </cell>
          <cell r="E37" t="str">
            <v>-</v>
          </cell>
          <cell r="I37" t="str">
            <v>Lysine-HCl yield</v>
          </cell>
          <cell r="K37" t="str">
            <v>(%)</v>
          </cell>
          <cell r="L37">
            <v>63.836737568671644</v>
          </cell>
          <cell r="M37">
            <v>65.708026030368771</v>
          </cell>
          <cell r="N37">
            <v>56.886214953271043</v>
          </cell>
          <cell r="O37">
            <v>60.958092766785597</v>
          </cell>
          <cell r="P37">
            <v>59.129146448174374</v>
          </cell>
          <cell r="Q37">
            <v>65.596225736879944</v>
          </cell>
        </row>
        <row r="38">
          <cell r="A38" t="str">
            <v>Nicotinamide</v>
          </cell>
          <cell r="B38" t="str">
            <v xml:space="preserve"> mg/dl</v>
          </cell>
          <cell r="C38" t="str">
            <v>-</v>
          </cell>
          <cell r="D38" t="str">
            <v>-</v>
          </cell>
          <cell r="E38" t="str">
            <v>-</v>
          </cell>
        </row>
        <row r="39">
          <cell r="A39" t="str">
            <v>PABA</v>
          </cell>
          <cell r="B39" t="str">
            <v xml:space="preserve"> mg/l</v>
          </cell>
          <cell r="C39">
            <v>2</v>
          </cell>
          <cell r="D39" t="str">
            <v>-</v>
          </cell>
          <cell r="E39" t="str">
            <v>-</v>
          </cell>
          <cell r="I39" t="str">
            <v xml:space="preserve">DCW                </v>
          </cell>
          <cell r="K39" t="str">
            <v>(g/B)</v>
          </cell>
          <cell r="L39">
            <v>7.0586760000000002</v>
          </cell>
          <cell r="M39">
            <v>7.0289219999999997</v>
          </cell>
          <cell r="N39">
            <v>7.1629585000000002</v>
          </cell>
          <cell r="O39">
            <v>7.6766879999999995</v>
          </cell>
          <cell r="P39">
            <v>7.1453884999999993</v>
          </cell>
          <cell r="Q39">
            <v>6.7841134999999992</v>
          </cell>
        </row>
        <row r="40">
          <cell r="A40" t="str">
            <v>Antifoam &lt;GD-113&gt;</v>
          </cell>
          <cell r="B40" t="str">
            <v xml:space="preserve"> ml/dl</v>
          </cell>
          <cell r="C40">
            <v>0.01</v>
          </cell>
          <cell r="D40">
            <v>0.01</v>
          </cell>
          <cell r="E40">
            <v>0.01</v>
          </cell>
          <cell r="I40" t="str">
            <v>&lt;including sugar for seed&gt;</v>
          </cell>
          <cell r="L40">
            <v>4.9137263473862571</v>
          </cell>
          <cell r="M40">
            <v>5.0216557287804298</v>
          </cell>
          <cell r="N40">
            <v>4.7288931566320427</v>
          </cell>
          <cell r="O40">
            <v>4.9265688714445046</v>
          </cell>
          <cell r="P40">
            <v>5.6094089284060091</v>
          </cell>
          <cell r="Q40">
            <v>4.8192139499134052</v>
          </cell>
        </row>
        <row r="41">
          <cell r="A41" t="str">
            <v>Amix(U.S.A)</v>
          </cell>
          <cell r="B41" t="str">
            <v xml:space="preserve"> ml/dl</v>
          </cell>
          <cell r="C41" t="str">
            <v>-</v>
          </cell>
          <cell r="D41">
            <v>3</v>
          </cell>
          <cell r="E41" t="str">
            <v>-</v>
          </cell>
          <cell r="I41" t="str">
            <v xml:space="preserve">DCW yield               </v>
          </cell>
          <cell r="K41" t="str">
            <v xml:space="preserve">(%) </v>
          </cell>
          <cell r="L41">
            <v>4.971598816734752</v>
          </cell>
          <cell r="M41">
            <v>5.0823731019522782</v>
          </cell>
          <cell r="N41">
            <v>4.7816812416555416</v>
          </cell>
          <cell r="O41">
            <v>4.9800116769380471</v>
          </cell>
          <cell r="P41">
            <v>5.6840255349614184</v>
          </cell>
          <cell r="Q41">
            <v>4.8771484543493884</v>
          </cell>
        </row>
        <row r="43">
          <cell r="A43" t="str">
            <v>Condition</v>
          </cell>
          <cell r="B43" t="str">
            <v>1st Seed</v>
          </cell>
          <cell r="D43" t="str">
            <v>2nd Seed</v>
          </cell>
          <cell r="F43" t="str">
            <v>Main</v>
          </cell>
          <cell r="I43" t="str">
            <v xml:space="preserve">L/K                </v>
          </cell>
          <cell r="K43" t="str">
            <v/>
          </cell>
          <cell r="L43">
            <v>12.840283361922262</v>
          </cell>
          <cell r="M43">
            <v>12.928611243658702</v>
          </cell>
          <cell r="N43">
            <v>11.896697433050884</v>
          </cell>
          <cell r="O43">
            <v>12.240552175625741</v>
          </cell>
          <cell r="P43">
            <v>10.402688391261023</v>
          </cell>
          <cell r="Q43">
            <v>13.449708646531342</v>
          </cell>
        </row>
        <row r="44">
          <cell r="A44" t="str">
            <v>Antifoam (type)</v>
          </cell>
          <cell r="B44" t="str">
            <v>GD-113</v>
          </cell>
          <cell r="D44" t="str">
            <v>GD-113</v>
          </cell>
          <cell r="F44" t="str">
            <v>GD-113</v>
          </cell>
        </row>
        <row r="45">
          <cell r="A45" t="str">
            <v>pH adjustment</v>
          </cell>
          <cell r="B45" t="str">
            <v>6.5 &lt;KOH&gt;</v>
          </cell>
          <cell r="D45" t="str">
            <v>6.0 &lt;NH4OH&gt;</v>
          </cell>
          <cell r="F45" t="str">
            <v>Med.B : 5.0 &lt;NH4OH&gt;</v>
          </cell>
          <cell r="I45" t="str">
            <v xml:space="preserve">L/K/CT                 </v>
          </cell>
          <cell r="K45" t="str">
            <v/>
          </cell>
          <cell r="L45">
            <v>0.28854569352634296</v>
          </cell>
          <cell r="M45">
            <v>0.2905305897451394</v>
          </cell>
          <cell r="N45">
            <v>0.26734151534945805</v>
          </cell>
          <cell r="O45">
            <v>0.27506858821630881</v>
          </cell>
          <cell r="P45">
            <v>0.2337682784553039</v>
          </cell>
          <cell r="Q45">
            <v>0.30224064374227733</v>
          </cell>
        </row>
        <row r="46">
          <cell r="A46" t="str">
            <v>Inoculum(ml)</v>
          </cell>
          <cell r="B46" t="str">
            <v>0.30 (PS OD=0.08)</v>
          </cell>
          <cell r="D46" t="str">
            <v>7.0 **(5th week-1st seed)</v>
          </cell>
          <cell r="F46">
            <v>40.799999999999997</v>
          </cell>
        </row>
        <row r="47">
          <cell r="A47" t="str">
            <v>Initial Volume (ml)</v>
          </cell>
          <cell r="B47">
            <v>300</v>
          </cell>
          <cell r="D47">
            <v>300</v>
          </cell>
          <cell r="F47">
            <v>300</v>
          </cell>
          <cell r="I47" t="str">
            <v xml:space="preserve">T/K                </v>
          </cell>
          <cell r="K47" t="str">
            <v/>
          </cell>
          <cell r="L47">
            <v>20.114253721236107</v>
          </cell>
          <cell r="M47">
            <v>19.675847875392556</v>
          </cell>
          <cell r="N47">
            <v>20.913146432441284</v>
          </cell>
          <cell r="O47">
            <v>20.080274201582768</v>
          </cell>
          <cell r="P47">
            <v>17.593165158199589</v>
          </cell>
          <cell r="Q47">
            <v>20.503784319056575</v>
          </cell>
        </row>
        <row r="48">
          <cell r="A48" t="str">
            <v>End OD ( x 26 )</v>
          </cell>
          <cell r="B48">
            <v>0.46</v>
          </cell>
          <cell r="D48">
            <v>0.39500000000000002</v>
          </cell>
        </row>
        <row r="49">
          <cell r="A49" t="str">
            <v>Sterilization (C,min)</v>
          </cell>
          <cell r="B49" t="str">
            <v>120 , 20</v>
          </cell>
          <cell r="D49" t="str">
            <v>120 , 20</v>
          </cell>
          <cell r="F49" t="str">
            <v>120 , 20</v>
          </cell>
          <cell r="I49" t="str">
            <v xml:space="preserve">T/K/CT                    </v>
          </cell>
          <cell r="K49" t="str">
            <v/>
          </cell>
          <cell r="L49">
            <v>0.45200570160081138</v>
          </cell>
          <cell r="M49">
            <v>0.44215388484028217</v>
          </cell>
          <cell r="N49">
            <v>0.46995834679643333</v>
          </cell>
          <cell r="O49">
            <v>0.45124211688950039</v>
          </cell>
          <cell r="P49">
            <v>0.39535202602695707</v>
          </cell>
          <cell r="Q49">
            <v>0.4607591981810466</v>
          </cell>
        </row>
        <row r="50">
          <cell r="A50" t="str">
            <v>Cultivation Temp.(C)</v>
          </cell>
          <cell r="B50">
            <v>37</v>
          </cell>
          <cell r="D50">
            <v>37</v>
          </cell>
          <cell r="F50">
            <v>37</v>
          </cell>
        </row>
        <row r="51">
          <cell r="A51" t="str">
            <v>Aeration (vvm)</v>
          </cell>
          <cell r="B51">
            <v>0.5</v>
          </cell>
          <cell r="D51">
            <v>0.5</v>
          </cell>
          <cell r="F51" t="str">
            <v>1/2 ----&gt; 1</v>
          </cell>
          <cell r="I51" t="str">
            <v xml:space="preserve">TS/CT                        </v>
          </cell>
          <cell r="K51" t="str">
            <v/>
          </cell>
          <cell r="L51">
            <v>3.1905617977528089</v>
          </cell>
          <cell r="M51">
            <v>3.1078651685393255</v>
          </cell>
          <cell r="N51">
            <v>3.3662921348314603</v>
          </cell>
          <cell r="O51">
            <v>3.464044943820225</v>
          </cell>
          <cell r="P51">
            <v>2.8249438202247195</v>
          </cell>
          <cell r="Q51">
            <v>3.1258426966292134</v>
          </cell>
        </row>
      </sheetData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_05"/>
      <sheetName val="May_05"/>
      <sheetName val="Jun_05"/>
      <sheetName val="Jul_05"/>
      <sheetName val="Aug_05"/>
      <sheetName val="QC_data"/>
      <sheetName val="01"/>
      <sheetName val="02"/>
      <sheetName val="03"/>
      <sheetName val="11"/>
      <sheetName val="12"/>
      <sheetName val="13"/>
      <sheetName val="T1"/>
      <sheetName val="T2"/>
      <sheetName val="T3"/>
      <sheetName val="T4"/>
      <sheetName val="T01"/>
      <sheetName val="T02"/>
      <sheetName val="T03"/>
      <sheetName val="T04"/>
      <sheetName val="T0"/>
      <sheetName val="before"/>
      <sheetName val="during"/>
      <sheetName val="D P"/>
      <sheetName val="RS_Ref."/>
      <sheetName val="LYS-025C"/>
      <sheetName val="Budget"/>
      <sheetName val="Data"/>
      <sheetName val="Repo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A1" t="str">
            <v>RecDate</v>
          </cell>
          <cell r="B1" t="str">
            <v>LotNo</v>
          </cell>
          <cell r="C1" t="str">
            <v>Vendor</v>
          </cell>
          <cell r="D1" t="str">
            <v>RunNo</v>
          </cell>
          <cell r="E1" t="str">
            <v>Total reducing sugar</v>
          </cell>
          <cell r="F1" t="str">
            <v>Loss on drying</v>
          </cell>
          <cell r="G1" t="str">
            <v>Wet starch</v>
          </cell>
          <cell r="H1" t="str">
            <v>Dry starch</v>
          </cell>
          <cell r="I1" t="str">
            <v>Ash</v>
          </cell>
          <cell r="J1" t="str">
            <v>TestResult</v>
          </cell>
          <cell r="K1" t="str">
            <v>Tremark</v>
          </cell>
          <cell r="L1" t="str">
            <v>Remark</v>
          </cell>
        </row>
        <row r="2">
          <cell r="E2" t="str">
            <v>mg</v>
          </cell>
          <cell r="F2" t="str">
            <v>(% w/w)</v>
          </cell>
          <cell r="G2" t="str">
            <v>(% w/w)</v>
          </cell>
          <cell r="H2" t="str">
            <v>(% w/w)</v>
          </cell>
          <cell r="I2" t="str">
            <v>(% w/w)</v>
          </cell>
        </row>
        <row r="3">
          <cell r="A3">
            <v>37681</v>
          </cell>
          <cell r="B3" t="str">
            <v>92</v>
          </cell>
          <cell r="C3" t="str">
            <v>AS</v>
          </cell>
          <cell r="D3" t="str">
            <v>6</v>
          </cell>
          <cell r="E3">
            <v>94.02</v>
          </cell>
          <cell r="F3">
            <v>10.93</v>
          </cell>
          <cell r="G3">
            <v>87.44</v>
          </cell>
          <cell r="H3">
            <v>98.17</v>
          </cell>
          <cell r="I3">
            <v>0.15</v>
          </cell>
          <cell r="J3" t="str">
            <v>A</v>
          </cell>
        </row>
        <row r="4">
          <cell r="A4">
            <v>37681</v>
          </cell>
          <cell r="B4" t="str">
            <v>93</v>
          </cell>
          <cell r="C4" t="str">
            <v>SMI</v>
          </cell>
          <cell r="D4" t="str">
            <v>28</v>
          </cell>
          <cell r="E4">
            <v>93.92</v>
          </cell>
          <cell r="F4">
            <v>11.21</v>
          </cell>
          <cell r="G4">
            <v>87.35</v>
          </cell>
          <cell r="H4">
            <v>98.37</v>
          </cell>
          <cell r="I4">
            <v>0.16</v>
          </cell>
          <cell r="J4" t="str">
            <v>A</v>
          </cell>
        </row>
        <row r="5">
          <cell r="A5">
            <v>37681</v>
          </cell>
          <cell r="B5" t="str">
            <v>94</v>
          </cell>
          <cell r="C5" t="str">
            <v>SMI</v>
          </cell>
          <cell r="D5" t="str">
            <v>29</v>
          </cell>
          <cell r="E5">
            <v>93.87</v>
          </cell>
          <cell r="F5">
            <v>11.28</v>
          </cell>
          <cell r="G5">
            <v>87.3</v>
          </cell>
          <cell r="H5">
            <v>98.4</v>
          </cell>
          <cell r="I5">
            <v>0.11</v>
          </cell>
          <cell r="J5" t="str">
            <v>A</v>
          </cell>
        </row>
        <row r="6">
          <cell r="A6">
            <v>37681</v>
          </cell>
          <cell r="B6" t="str">
            <v>95</v>
          </cell>
          <cell r="C6" t="str">
            <v>SMI</v>
          </cell>
          <cell r="D6" t="str">
            <v>30</v>
          </cell>
          <cell r="E6">
            <v>93.1</v>
          </cell>
          <cell r="F6">
            <v>11.54</v>
          </cell>
          <cell r="G6">
            <v>86.58</v>
          </cell>
          <cell r="H6">
            <v>97.88</v>
          </cell>
          <cell r="I6">
            <v>0.13</v>
          </cell>
          <cell r="J6" t="str">
            <v>A</v>
          </cell>
        </row>
        <row r="7">
          <cell r="A7">
            <v>37685</v>
          </cell>
          <cell r="B7" t="str">
            <v>101</v>
          </cell>
          <cell r="C7" t="str">
            <v>KLS</v>
          </cell>
          <cell r="D7" t="str">
            <v>9</v>
          </cell>
          <cell r="E7">
            <v>93.7</v>
          </cell>
          <cell r="F7">
            <v>10.32</v>
          </cell>
          <cell r="G7">
            <v>87.14</v>
          </cell>
          <cell r="H7">
            <v>97.17</v>
          </cell>
          <cell r="I7">
            <v>0.16</v>
          </cell>
          <cell r="J7" t="str">
            <v>A</v>
          </cell>
        </row>
        <row r="8">
          <cell r="A8">
            <v>37685</v>
          </cell>
          <cell r="B8" t="str">
            <v>96</v>
          </cell>
          <cell r="C8" t="str">
            <v>SMI</v>
          </cell>
          <cell r="D8" t="str">
            <v>31</v>
          </cell>
          <cell r="E8">
            <v>95.31</v>
          </cell>
          <cell r="F8">
            <v>10.29</v>
          </cell>
          <cell r="G8">
            <v>88.64</v>
          </cell>
          <cell r="H8">
            <v>98.81</v>
          </cell>
          <cell r="I8">
            <v>0.15</v>
          </cell>
          <cell r="J8" t="str">
            <v>A</v>
          </cell>
        </row>
        <row r="9">
          <cell r="A9">
            <v>37685</v>
          </cell>
          <cell r="B9" t="str">
            <v>97</v>
          </cell>
          <cell r="C9" t="str">
            <v>RE</v>
          </cell>
          <cell r="D9" t="str">
            <v>9</v>
          </cell>
          <cell r="E9">
            <v>95.25</v>
          </cell>
          <cell r="F9">
            <v>10.42</v>
          </cell>
          <cell r="G9">
            <v>88.58</v>
          </cell>
          <cell r="H9">
            <v>98.89</v>
          </cell>
          <cell r="I9">
            <v>0.15</v>
          </cell>
          <cell r="J9" t="str">
            <v>A</v>
          </cell>
        </row>
        <row r="10">
          <cell r="A10">
            <v>37686</v>
          </cell>
          <cell r="B10" t="str">
            <v>100</v>
          </cell>
          <cell r="C10" t="str">
            <v>RE</v>
          </cell>
          <cell r="D10" t="str">
            <v>10</v>
          </cell>
          <cell r="E10">
            <v>92.64</v>
          </cell>
          <cell r="F10">
            <v>11.13</v>
          </cell>
          <cell r="G10">
            <v>86.16</v>
          </cell>
          <cell r="H10">
            <v>96.95</v>
          </cell>
          <cell r="I10">
            <v>0.19</v>
          </cell>
          <cell r="J10" t="str">
            <v>A</v>
          </cell>
        </row>
        <row r="11">
          <cell r="A11">
            <v>37686</v>
          </cell>
          <cell r="B11" t="str">
            <v>103</v>
          </cell>
          <cell r="C11" t="str">
            <v>KLS</v>
          </cell>
          <cell r="D11" t="str">
            <v>10</v>
          </cell>
          <cell r="E11">
            <v>92.57</v>
          </cell>
          <cell r="F11">
            <v>11.23</v>
          </cell>
          <cell r="G11">
            <v>86.09</v>
          </cell>
          <cell r="H11">
            <v>96.98</v>
          </cell>
          <cell r="I11">
            <v>0.16</v>
          </cell>
          <cell r="J11" t="str">
            <v>A</v>
          </cell>
        </row>
        <row r="12">
          <cell r="A12">
            <v>37686</v>
          </cell>
          <cell r="B12" t="str">
            <v>104</v>
          </cell>
          <cell r="C12" t="str">
            <v>NE</v>
          </cell>
          <cell r="D12" t="str">
            <v>20</v>
          </cell>
          <cell r="E12">
            <v>92.55</v>
          </cell>
          <cell r="F12">
            <v>10.91</v>
          </cell>
          <cell r="G12">
            <v>86.07</v>
          </cell>
          <cell r="H12">
            <v>96.61</v>
          </cell>
          <cell r="I12">
            <v>0.16</v>
          </cell>
          <cell r="J12" t="str">
            <v>A</v>
          </cell>
        </row>
        <row r="13">
          <cell r="A13">
            <v>37686</v>
          </cell>
          <cell r="B13" t="str">
            <v>109</v>
          </cell>
          <cell r="C13" t="str">
            <v>SMI</v>
          </cell>
          <cell r="D13" t="str">
            <v>34</v>
          </cell>
          <cell r="E13">
            <v>94.28</v>
          </cell>
          <cell r="F13">
            <v>10.88</v>
          </cell>
          <cell r="G13">
            <v>87.68</v>
          </cell>
          <cell r="H13">
            <v>98.38</v>
          </cell>
          <cell r="I13">
            <v>0.11</v>
          </cell>
          <cell r="J13" t="str">
            <v>A</v>
          </cell>
        </row>
        <row r="14">
          <cell r="A14">
            <v>37686</v>
          </cell>
          <cell r="B14" t="str">
            <v>110</v>
          </cell>
          <cell r="C14" t="str">
            <v>SMI</v>
          </cell>
          <cell r="D14" t="str">
            <v>35</v>
          </cell>
          <cell r="E14">
            <v>92.56</v>
          </cell>
          <cell r="F14">
            <v>11.62</v>
          </cell>
          <cell r="G14">
            <v>86.08</v>
          </cell>
          <cell r="H14">
            <v>97.4</v>
          </cell>
          <cell r="I14">
            <v>0.18</v>
          </cell>
          <cell r="J14" t="str">
            <v>A</v>
          </cell>
        </row>
        <row r="15">
          <cell r="A15">
            <v>37687</v>
          </cell>
          <cell r="B15" t="str">
            <v>105</v>
          </cell>
          <cell r="C15" t="str">
            <v>SMI</v>
          </cell>
          <cell r="D15" t="str">
            <v>32</v>
          </cell>
          <cell r="E15">
            <v>94.22</v>
          </cell>
          <cell r="F15">
            <v>12.14</v>
          </cell>
          <cell r="G15">
            <v>87.62</v>
          </cell>
          <cell r="H15">
            <v>99.73</v>
          </cell>
          <cell r="I15">
            <v>0.19</v>
          </cell>
          <cell r="J15" t="str">
            <v>A</v>
          </cell>
        </row>
        <row r="16">
          <cell r="A16">
            <v>37687</v>
          </cell>
          <cell r="B16" t="str">
            <v>106</v>
          </cell>
          <cell r="C16" t="str">
            <v>AS</v>
          </cell>
          <cell r="D16" t="str">
            <v>8</v>
          </cell>
          <cell r="E16">
            <v>94.32</v>
          </cell>
          <cell r="F16">
            <v>11.78</v>
          </cell>
          <cell r="G16">
            <v>87.72</v>
          </cell>
          <cell r="H16">
            <v>99.43</v>
          </cell>
          <cell r="I16">
            <v>0.15</v>
          </cell>
          <cell r="J16" t="str">
            <v>A</v>
          </cell>
        </row>
        <row r="17">
          <cell r="A17">
            <v>37687</v>
          </cell>
          <cell r="B17" t="str">
            <v>107</v>
          </cell>
          <cell r="C17" t="str">
            <v>SMI</v>
          </cell>
          <cell r="D17" t="str">
            <v>33</v>
          </cell>
          <cell r="E17">
            <v>94.24</v>
          </cell>
          <cell r="F17">
            <v>12.1</v>
          </cell>
          <cell r="G17">
            <v>87.64</v>
          </cell>
          <cell r="H17">
            <v>99.71</v>
          </cell>
          <cell r="I17">
            <v>0.18</v>
          </cell>
          <cell r="J17" t="str">
            <v>A</v>
          </cell>
        </row>
        <row r="18">
          <cell r="A18">
            <v>37687</v>
          </cell>
          <cell r="B18" t="str">
            <v>108</v>
          </cell>
          <cell r="C18" t="str">
            <v>KR</v>
          </cell>
          <cell r="D18" t="str">
            <v>19</v>
          </cell>
          <cell r="E18">
            <v>94.27</v>
          </cell>
          <cell r="F18">
            <v>12.08</v>
          </cell>
          <cell r="G18">
            <v>87.67</v>
          </cell>
          <cell r="H18">
            <v>99.72</v>
          </cell>
          <cell r="I18">
            <v>0.18</v>
          </cell>
          <cell r="J18" t="str">
            <v>A</v>
          </cell>
        </row>
        <row r="19">
          <cell r="A19">
            <v>37687</v>
          </cell>
          <cell r="B19" t="str">
            <v>99</v>
          </cell>
          <cell r="C19" t="str">
            <v>NE</v>
          </cell>
          <cell r="D19" t="str">
            <v>19</v>
          </cell>
          <cell r="E19">
            <v>93.41</v>
          </cell>
          <cell r="F19">
            <v>12.45</v>
          </cell>
          <cell r="G19">
            <v>86.87</v>
          </cell>
          <cell r="H19">
            <v>99.22</v>
          </cell>
          <cell r="I19">
            <v>0.17</v>
          </cell>
          <cell r="J19" t="str">
            <v>A</v>
          </cell>
        </row>
        <row r="20">
          <cell r="A20">
            <v>37690</v>
          </cell>
          <cell r="B20" t="str">
            <v>102</v>
          </cell>
          <cell r="C20" t="str">
            <v>KR</v>
          </cell>
          <cell r="D20" t="str">
            <v>18</v>
          </cell>
          <cell r="E20">
            <v>92.58</v>
          </cell>
          <cell r="F20">
            <v>11.09</v>
          </cell>
          <cell r="G20">
            <v>86.1</v>
          </cell>
          <cell r="H20">
            <v>96.84</v>
          </cell>
          <cell r="I20">
            <v>0.12</v>
          </cell>
          <cell r="J20" t="str">
            <v>A</v>
          </cell>
        </row>
        <row r="21">
          <cell r="A21">
            <v>37690</v>
          </cell>
          <cell r="B21" t="str">
            <v>111</v>
          </cell>
          <cell r="C21" t="str">
            <v>KR</v>
          </cell>
          <cell r="D21" t="str">
            <v>20</v>
          </cell>
          <cell r="E21">
            <v>93.08</v>
          </cell>
          <cell r="F21">
            <v>11.76</v>
          </cell>
          <cell r="G21">
            <v>86.56</v>
          </cell>
          <cell r="H21">
            <v>98.1</v>
          </cell>
          <cell r="I21">
            <v>0.1</v>
          </cell>
          <cell r="J21" t="str">
            <v>A</v>
          </cell>
        </row>
        <row r="22">
          <cell r="A22">
            <v>37690</v>
          </cell>
          <cell r="B22" t="str">
            <v>112</v>
          </cell>
          <cell r="C22" t="str">
            <v>SMI</v>
          </cell>
          <cell r="D22" t="str">
            <v>36</v>
          </cell>
          <cell r="E22">
            <v>94.26</v>
          </cell>
          <cell r="F22">
            <v>10.65</v>
          </cell>
          <cell r="G22">
            <v>87.66</v>
          </cell>
          <cell r="H22">
            <v>98.11</v>
          </cell>
          <cell r="I22">
            <v>0.1</v>
          </cell>
          <cell r="J22" t="str">
            <v>A</v>
          </cell>
        </row>
        <row r="23">
          <cell r="A23">
            <v>37690</v>
          </cell>
          <cell r="B23" t="str">
            <v>113</v>
          </cell>
          <cell r="C23" t="str">
            <v>NE</v>
          </cell>
          <cell r="D23" t="str">
            <v>21</v>
          </cell>
          <cell r="E23">
            <v>92.63</v>
          </cell>
          <cell r="F23">
            <v>11.16</v>
          </cell>
          <cell r="G23">
            <v>86.15</v>
          </cell>
          <cell r="H23">
            <v>96.97</v>
          </cell>
          <cell r="I23">
            <v>0.15</v>
          </cell>
          <cell r="J23" t="str">
            <v>A</v>
          </cell>
        </row>
        <row r="24">
          <cell r="A24">
            <v>37690</v>
          </cell>
          <cell r="B24" t="str">
            <v>114</v>
          </cell>
          <cell r="C24" t="str">
            <v>RE</v>
          </cell>
          <cell r="D24" t="str">
            <v>11</v>
          </cell>
          <cell r="E24">
            <v>92.67</v>
          </cell>
          <cell r="F24">
            <v>11.93</v>
          </cell>
          <cell r="G24">
            <v>86.18</v>
          </cell>
          <cell r="H24">
            <v>97.86</v>
          </cell>
          <cell r="I24">
            <v>0.13</v>
          </cell>
          <cell r="J24" t="str">
            <v>A</v>
          </cell>
        </row>
        <row r="25">
          <cell r="A25">
            <v>37690</v>
          </cell>
          <cell r="B25" t="str">
            <v>117</v>
          </cell>
          <cell r="C25" t="str">
            <v>SMI</v>
          </cell>
          <cell r="D25" t="str">
            <v>38</v>
          </cell>
          <cell r="E25">
            <v>92.59</v>
          </cell>
          <cell r="F25">
            <v>11.02</v>
          </cell>
          <cell r="G25">
            <v>86.11</v>
          </cell>
          <cell r="H25">
            <v>96.77</v>
          </cell>
          <cell r="I25">
            <v>0.12</v>
          </cell>
          <cell r="J25" t="str">
            <v>A</v>
          </cell>
        </row>
        <row r="26">
          <cell r="A26">
            <v>37690</v>
          </cell>
          <cell r="B26" t="str">
            <v>98</v>
          </cell>
          <cell r="C26" t="str">
            <v>AS</v>
          </cell>
          <cell r="D26" t="str">
            <v>7</v>
          </cell>
          <cell r="E26">
            <v>92.59</v>
          </cell>
          <cell r="F26">
            <v>10.76</v>
          </cell>
          <cell r="G26">
            <v>86.11</v>
          </cell>
          <cell r="H26">
            <v>96.49</v>
          </cell>
          <cell r="I26">
            <v>0.13</v>
          </cell>
          <cell r="J26" t="str">
            <v>A</v>
          </cell>
        </row>
        <row r="27">
          <cell r="A27">
            <v>37693</v>
          </cell>
          <cell r="B27" t="str">
            <v>115</v>
          </cell>
          <cell r="C27" t="str">
            <v>SMI</v>
          </cell>
          <cell r="D27" t="str">
            <v>37</v>
          </cell>
          <cell r="E27">
            <v>92.64</v>
          </cell>
          <cell r="F27">
            <v>12.39</v>
          </cell>
          <cell r="G27">
            <v>86.16</v>
          </cell>
          <cell r="H27">
            <v>98.34</v>
          </cell>
          <cell r="I27">
            <v>0.14000000000000001</v>
          </cell>
          <cell r="J27" t="str">
            <v>A</v>
          </cell>
        </row>
        <row r="28">
          <cell r="A28">
            <v>37693</v>
          </cell>
          <cell r="B28" t="str">
            <v>116</v>
          </cell>
          <cell r="C28" t="str">
            <v>AS</v>
          </cell>
          <cell r="D28" t="str">
            <v>9</v>
          </cell>
          <cell r="E28">
            <v>92.6</v>
          </cell>
          <cell r="F28">
            <v>11.24</v>
          </cell>
          <cell r="G28">
            <v>86.12</v>
          </cell>
          <cell r="H28">
            <v>97.02</v>
          </cell>
          <cell r="I28">
            <v>0.18</v>
          </cell>
          <cell r="J28" t="str">
            <v>A</v>
          </cell>
        </row>
        <row r="29">
          <cell r="A29">
            <v>37693</v>
          </cell>
          <cell r="B29" t="str">
            <v>120</v>
          </cell>
          <cell r="C29" t="str">
            <v>RE</v>
          </cell>
          <cell r="D29" t="str">
            <v>12</v>
          </cell>
          <cell r="E29">
            <v>92.58</v>
          </cell>
          <cell r="F29">
            <v>11.32</v>
          </cell>
          <cell r="G29">
            <v>86.1</v>
          </cell>
          <cell r="H29">
            <v>97.09</v>
          </cell>
          <cell r="I29">
            <v>0.16</v>
          </cell>
          <cell r="J29" t="str">
            <v>A</v>
          </cell>
        </row>
        <row r="30">
          <cell r="A30">
            <v>37697</v>
          </cell>
          <cell r="B30" t="str">
            <v>118</v>
          </cell>
          <cell r="C30" t="str">
            <v>NE</v>
          </cell>
          <cell r="D30" t="str">
            <v>22</v>
          </cell>
          <cell r="E30">
            <v>93.45</v>
          </cell>
          <cell r="F30">
            <v>10.76</v>
          </cell>
          <cell r="G30">
            <v>86.91</v>
          </cell>
          <cell r="H30">
            <v>97.39</v>
          </cell>
          <cell r="I30">
            <v>0.18</v>
          </cell>
          <cell r="J30" t="str">
            <v>A</v>
          </cell>
        </row>
        <row r="31">
          <cell r="A31">
            <v>37697</v>
          </cell>
          <cell r="B31" t="str">
            <v>119</v>
          </cell>
          <cell r="C31" t="str">
            <v>AS</v>
          </cell>
          <cell r="D31" t="str">
            <v>10</v>
          </cell>
          <cell r="E31">
            <v>92.57</v>
          </cell>
          <cell r="F31">
            <v>12.18</v>
          </cell>
          <cell r="G31">
            <v>86.09</v>
          </cell>
          <cell r="H31">
            <v>98.03</v>
          </cell>
          <cell r="I31">
            <v>0.13</v>
          </cell>
          <cell r="J31" t="str">
            <v>A</v>
          </cell>
        </row>
        <row r="32">
          <cell r="A32">
            <v>37697</v>
          </cell>
          <cell r="B32" t="str">
            <v>121</v>
          </cell>
          <cell r="C32" t="str">
            <v>RE</v>
          </cell>
          <cell r="D32" t="str">
            <v>13</v>
          </cell>
          <cell r="E32">
            <v>94.2</v>
          </cell>
          <cell r="F32">
            <v>9.7899999999999991</v>
          </cell>
          <cell r="G32">
            <v>87.61</v>
          </cell>
          <cell r="H32">
            <v>97.11</v>
          </cell>
          <cell r="I32">
            <v>0.16</v>
          </cell>
          <cell r="J32" t="str">
            <v>A</v>
          </cell>
        </row>
        <row r="33">
          <cell r="A33">
            <v>37697</v>
          </cell>
          <cell r="B33" t="str">
            <v>123</v>
          </cell>
          <cell r="C33" t="str">
            <v>THW</v>
          </cell>
          <cell r="D33" t="str">
            <v>3</v>
          </cell>
          <cell r="E33">
            <v>94.22</v>
          </cell>
          <cell r="F33">
            <v>9.67</v>
          </cell>
          <cell r="G33">
            <v>87.62</v>
          </cell>
          <cell r="H33">
            <v>97</v>
          </cell>
          <cell r="I33">
            <v>0.15</v>
          </cell>
          <cell r="J33" t="str">
            <v>A</v>
          </cell>
        </row>
        <row r="34">
          <cell r="A34">
            <v>37697</v>
          </cell>
          <cell r="B34" t="str">
            <v>124</v>
          </cell>
          <cell r="C34" t="str">
            <v>SMI</v>
          </cell>
          <cell r="D34" t="str">
            <v>40</v>
          </cell>
          <cell r="E34">
            <v>94.21</v>
          </cell>
          <cell r="F34">
            <v>9.84</v>
          </cell>
          <cell r="G34">
            <v>87.62</v>
          </cell>
          <cell r="H34">
            <v>97.18</v>
          </cell>
          <cell r="I34">
            <v>0.2</v>
          </cell>
          <cell r="J34" t="str">
            <v>A</v>
          </cell>
        </row>
        <row r="35">
          <cell r="A35">
            <v>37697</v>
          </cell>
          <cell r="B35" t="str">
            <v>125</v>
          </cell>
          <cell r="C35" t="str">
            <v>AS</v>
          </cell>
          <cell r="D35" t="str">
            <v>11</v>
          </cell>
          <cell r="E35">
            <v>94.23</v>
          </cell>
          <cell r="F35">
            <v>10.74</v>
          </cell>
          <cell r="G35">
            <v>87.63</v>
          </cell>
          <cell r="H35">
            <v>98.18</v>
          </cell>
          <cell r="I35">
            <v>0.09</v>
          </cell>
          <cell r="J35" t="str">
            <v>A</v>
          </cell>
        </row>
        <row r="36">
          <cell r="A36">
            <v>37698</v>
          </cell>
          <cell r="B36" t="str">
            <v>122</v>
          </cell>
          <cell r="C36" t="str">
            <v>SMI</v>
          </cell>
          <cell r="D36" t="str">
            <v>39</v>
          </cell>
          <cell r="E36">
            <v>92.63</v>
          </cell>
          <cell r="F36">
            <v>11.73</v>
          </cell>
          <cell r="G36">
            <v>86.15</v>
          </cell>
          <cell r="H36">
            <v>97.59</v>
          </cell>
          <cell r="I36">
            <v>0.06</v>
          </cell>
          <cell r="J36" t="str">
            <v>A</v>
          </cell>
        </row>
        <row r="37">
          <cell r="A37">
            <v>37698</v>
          </cell>
          <cell r="B37" t="str">
            <v>128</v>
          </cell>
          <cell r="C37" t="str">
            <v>SMI</v>
          </cell>
          <cell r="D37" t="str">
            <v>41</v>
          </cell>
          <cell r="E37">
            <v>95.84</v>
          </cell>
          <cell r="F37">
            <v>8.52</v>
          </cell>
          <cell r="G37">
            <v>89.13</v>
          </cell>
          <cell r="H37">
            <v>97.43</v>
          </cell>
          <cell r="I37">
            <v>0.19</v>
          </cell>
          <cell r="J37" t="str">
            <v>A</v>
          </cell>
        </row>
        <row r="38">
          <cell r="A38">
            <v>37698</v>
          </cell>
          <cell r="B38" t="str">
            <v>129</v>
          </cell>
          <cell r="C38" t="str">
            <v>SMI</v>
          </cell>
          <cell r="D38" t="str">
            <v>42</v>
          </cell>
          <cell r="E38">
            <v>95.88</v>
          </cell>
          <cell r="F38">
            <v>8.5399999999999991</v>
          </cell>
          <cell r="G38">
            <v>89.17</v>
          </cell>
          <cell r="H38">
            <v>97.49</v>
          </cell>
          <cell r="I38">
            <v>0.15</v>
          </cell>
          <cell r="J38" t="str">
            <v>A</v>
          </cell>
        </row>
        <row r="39">
          <cell r="A39">
            <v>37698</v>
          </cell>
          <cell r="B39" t="str">
            <v>131</v>
          </cell>
          <cell r="C39" t="str">
            <v>THW</v>
          </cell>
          <cell r="D39" t="str">
            <v>4</v>
          </cell>
          <cell r="E39">
            <v>95.81</v>
          </cell>
          <cell r="F39">
            <v>8.7100000000000009</v>
          </cell>
          <cell r="G39">
            <v>89.1</v>
          </cell>
          <cell r="H39">
            <v>97.6</v>
          </cell>
          <cell r="I39">
            <v>0.15</v>
          </cell>
          <cell r="J39" t="str">
            <v>A</v>
          </cell>
        </row>
        <row r="40">
          <cell r="A40">
            <v>37700</v>
          </cell>
          <cell r="B40" t="str">
            <v>126</v>
          </cell>
          <cell r="C40" t="str">
            <v>KR</v>
          </cell>
          <cell r="D40" t="str">
            <v>21</v>
          </cell>
          <cell r="E40">
            <v>93.42</v>
          </cell>
          <cell r="F40">
            <v>10.64</v>
          </cell>
          <cell r="G40">
            <v>86.88</v>
          </cell>
          <cell r="H40">
            <v>97.23</v>
          </cell>
          <cell r="I40">
            <v>0.16</v>
          </cell>
          <cell r="J40" t="str">
            <v>A</v>
          </cell>
        </row>
        <row r="41">
          <cell r="A41">
            <v>37700</v>
          </cell>
          <cell r="B41" t="str">
            <v>127</v>
          </cell>
          <cell r="C41" t="str">
            <v>AS</v>
          </cell>
          <cell r="D41" t="str">
            <v>12</v>
          </cell>
          <cell r="E41">
            <v>93.34</v>
          </cell>
          <cell r="F41">
            <v>12.42</v>
          </cell>
          <cell r="G41">
            <v>86.81</v>
          </cell>
          <cell r="H41">
            <v>99.12</v>
          </cell>
          <cell r="I41">
            <v>0.15</v>
          </cell>
          <cell r="J41" t="str">
            <v>A</v>
          </cell>
        </row>
        <row r="42">
          <cell r="A42">
            <v>37700</v>
          </cell>
          <cell r="B42" t="str">
            <v>130</v>
          </cell>
          <cell r="C42" t="str">
            <v>AS</v>
          </cell>
          <cell r="D42" t="str">
            <v>13</v>
          </cell>
          <cell r="E42">
            <v>94.16</v>
          </cell>
          <cell r="F42">
            <v>10.83</v>
          </cell>
          <cell r="G42">
            <v>87.57</v>
          </cell>
          <cell r="H42">
            <v>98.2</v>
          </cell>
          <cell r="I42">
            <v>0.15</v>
          </cell>
          <cell r="J42" t="str">
            <v>A</v>
          </cell>
        </row>
        <row r="43">
          <cell r="A43">
            <v>37700</v>
          </cell>
          <cell r="B43" t="str">
            <v>132</v>
          </cell>
          <cell r="C43" t="str">
            <v>SMI</v>
          </cell>
          <cell r="D43" t="str">
            <v>43</v>
          </cell>
          <cell r="E43">
            <v>94.23</v>
          </cell>
          <cell r="F43">
            <v>12.28</v>
          </cell>
          <cell r="G43">
            <v>87.63</v>
          </cell>
          <cell r="H43">
            <v>99.9</v>
          </cell>
          <cell r="I43">
            <v>0.15</v>
          </cell>
          <cell r="J43" t="str">
            <v>A</v>
          </cell>
        </row>
        <row r="44">
          <cell r="A44">
            <v>37700</v>
          </cell>
          <cell r="B44" t="str">
            <v>133</v>
          </cell>
          <cell r="C44" t="str">
            <v>THW</v>
          </cell>
          <cell r="D44" t="str">
            <v>5</v>
          </cell>
          <cell r="E44">
            <v>94.26</v>
          </cell>
          <cell r="F44">
            <v>10.7</v>
          </cell>
          <cell r="G44">
            <v>87.66</v>
          </cell>
          <cell r="H44">
            <v>98.17</v>
          </cell>
          <cell r="I44">
            <v>0.16</v>
          </cell>
          <cell r="J44" t="str">
            <v>A</v>
          </cell>
        </row>
        <row r="45">
          <cell r="A45">
            <v>37700</v>
          </cell>
          <cell r="B45" t="str">
            <v>134</v>
          </cell>
          <cell r="C45" t="str">
            <v>SMI</v>
          </cell>
          <cell r="D45" t="str">
            <v>44</v>
          </cell>
          <cell r="E45">
            <v>95.87</v>
          </cell>
          <cell r="F45">
            <v>9.51</v>
          </cell>
          <cell r="G45">
            <v>89.16</v>
          </cell>
          <cell r="H45">
            <v>98.53</v>
          </cell>
          <cell r="I45">
            <v>0.16</v>
          </cell>
          <cell r="J45" t="str">
            <v>A</v>
          </cell>
        </row>
        <row r="46">
          <cell r="A46">
            <v>37704</v>
          </cell>
          <cell r="B46" t="str">
            <v>135</v>
          </cell>
          <cell r="C46" t="str">
            <v>SMI</v>
          </cell>
          <cell r="D46" t="str">
            <v>45</v>
          </cell>
          <cell r="E46">
            <v>95.33</v>
          </cell>
          <cell r="F46">
            <v>9.73</v>
          </cell>
          <cell r="G46">
            <v>88.66</v>
          </cell>
          <cell r="H46">
            <v>98.21</v>
          </cell>
          <cell r="I46">
            <v>0.16</v>
          </cell>
          <cell r="J46" t="str">
            <v>A</v>
          </cell>
        </row>
        <row r="47">
          <cell r="A47">
            <v>37704</v>
          </cell>
          <cell r="B47" t="str">
            <v>136</v>
          </cell>
          <cell r="C47" t="str">
            <v>THW</v>
          </cell>
          <cell r="D47" t="str">
            <v>6</v>
          </cell>
          <cell r="E47">
            <v>95.3</v>
          </cell>
          <cell r="F47">
            <v>9.65</v>
          </cell>
          <cell r="G47">
            <v>88.63</v>
          </cell>
          <cell r="H47">
            <v>98.1</v>
          </cell>
          <cell r="I47">
            <v>0.15</v>
          </cell>
          <cell r="J47" t="str">
            <v>A</v>
          </cell>
        </row>
        <row r="48">
          <cell r="A48">
            <v>37704</v>
          </cell>
          <cell r="B48" t="str">
            <v>137</v>
          </cell>
          <cell r="C48" t="str">
            <v>AS</v>
          </cell>
          <cell r="D48" t="str">
            <v>14</v>
          </cell>
          <cell r="E48">
            <v>96.01</v>
          </cell>
          <cell r="F48">
            <v>9.36</v>
          </cell>
          <cell r="G48">
            <v>89.29</v>
          </cell>
          <cell r="H48">
            <v>98.51</v>
          </cell>
          <cell r="I48">
            <v>0.15</v>
          </cell>
          <cell r="J48" t="str">
            <v>A</v>
          </cell>
        </row>
        <row r="49">
          <cell r="A49">
            <v>37704</v>
          </cell>
          <cell r="B49" t="str">
            <v>138</v>
          </cell>
          <cell r="C49" t="str">
            <v>SMI</v>
          </cell>
          <cell r="D49" t="str">
            <v>46</v>
          </cell>
          <cell r="E49">
            <v>96.1</v>
          </cell>
          <cell r="F49">
            <v>9.2100000000000009</v>
          </cell>
          <cell r="G49">
            <v>89.37</v>
          </cell>
          <cell r="H49">
            <v>98.44</v>
          </cell>
          <cell r="I49">
            <v>0.15</v>
          </cell>
          <cell r="J49" t="str">
            <v>A</v>
          </cell>
        </row>
        <row r="50">
          <cell r="A50">
            <v>37704</v>
          </cell>
          <cell r="B50" t="str">
            <v>139</v>
          </cell>
          <cell r="C50" t="str">
            <v>SMI</v>
          </cell>
          <cell r="D50" t="str">
            <v>47</v>
          </cell>
          <cell r="E50">
            <v>95.96</v>
          </cell>
          <cell r="F50">
            <v>9.59</v>
          </cell>
          <cell r="G50">
            <v>89.24</v>
          </cell>
          <cell r="H50">
            <v>98.71</v>
          </cell>
          <cell r="I50">
            <v>0.16</v>
          </cell>
          <cell r="J50" t="str">
            <v>A</v>
          </cell>
        </row>
        <row r="51">
          <cell r="A51">
            <v>37705</v>
          </cell>
          <cell r="B51" t="str">
            <v>140</v>
          </cell>
          <cell r="C51" t="str">
            <v>THW</v>
          </cell>
          <cell r="D51" t="str">
            <v>7</v>
          </cell>
          <cell r="E51">
            <v>93.58</v>
          </cell>
          <cell r="F51">
            <v>11.08</v>
          </cell>
          <cell r="G51">
            <v>87.03</v>
          </cell>
          <cell r="H51">
            <v>97.87</v>
          </cell>
          <cell r="I51">
            <v>0.19</v>
          </cell>
          <cell r="J51" t="str">
            <v>A</v>
          </cell>
        </row>
        <row r="52">
          <cell r="A52">
            <v>37706</v>
          </cell>
          <cell r="B52" t="str">
            <v>141</v>
          </cell>
          <cell r="C52" t="str">
            <v>SMI</v>
          </cell>
          <cell r="D52" t="str">
            <v>48</v>
          </cell>
          <cell r="E52">
            <v>92.92</v>
          </cell>
          <cell r="F52">
            <v>12.36</v>
          </cell>
          <cell r="G52">
            <v>86.42</v>
          </cell>
          <cell r="H52">
            <v>98.6</v>
          </cell>
          <cell r="I52">
            <v>0.15</v>
          </cell>
          <cell r="J52" t="str">
            <v>A</v>
          </cell>
        </row>
        <row r="53">
          <cell r="A53">
            <v>37708</v>
          </cell>
          <cell r="B53" t="str">
            <v>143</v>
          </cell>
          <cell r="C53" t="str">
            <v>SMI</v>
          </cell>
          <cell r="D53" t="str">
            <v>49</v>
          </cell>
          <cell r="E53">
            <v>93.56</v>
          </cell>
          <cell r="F53">
            <v>10.89</v>
          </cell>
          <cell r="G53">
            <v>87.01</v>
          </cell>
          <cell r="H53">
            <v>97.64</v>
          </cell>
          <cell r="I53">
            <v>0.19</v>
          </cell>
          <cell r="J53" t="str">
            <v>A</v>
          </cell>
        </row>
        <row r="54">
          <cell r="A54">
            <v>37711</v>
          </cell>
          <cell r="B54" t="str">
            <v>142</v>
          </cell>
          <cell r="C54" t="str">
            <v>AS</v>
          </cell>
          <cell r="D54" t="str">
            <v>15</v>
          </cell>
          <cell r="E54">
            <v>92.81</v>
          </cell>
          <cell r="F54">
            <v>12.31</v>
          </cell>
          <cell r="G54">
            <v>86.31</v>
          </cell>
          <cell r="H54">
            <v>98.43</v>
          </cell>
          <cell r="I54">
            <v>0.19</v>
          </cell>
          <cell r="J54" t="str">
            <v>A</v>
          </cell>
        </row>
        <row r="55">
          <cell r="A55">
            <v>37711</v>
          </cell>
          <cell r="B55" t="str">
            <v>144</v>
          </cell>
          <cell r="C55" t="str">
            <v>THW</v>
          </cell>
          <cell r="D55" t="str">
            <v>8</v>
          </cell>
          <cell r="E55">
            <v>95.25</v>
          </cell>
          <cell r="F55">
            <v>8.61</v>
          </cell>
          <cell r="G55">
            <v>88.58</v>
          </cell>
          <cell r="H55">
            <v>96.93</v>
          </cell>
          <cell r="I55">
            <v>0.18</v>
          </cell>
          <cell r="J55" t="str">
            <v>A</v>
          </cell>
        </row>
        <row r="56">
          <cell r="A56">
            <v>37711</v>
          </cell>
          <cell r="B56" t="str">
            <v>145</v>
          </cell>
          <cell r="C56" t="str">
            <v>SMI</v>
          </cell>
          <cell r="D56" t="str">
            <v>50</v>
          </cell>
          <cell r="E56">
            <v>93.7</v>
          </cell>
          <cell r="F56">
            <v>11.4</v>
          </cell>
          <cell r="G56">
            <v>87.14</v>
          </cell>
          <cell r="H56">
            <v>98.35</v>
          </cell>
          <cell r="I56">
            <v>0.2</v>
          </cell>
          <cell r="J56" t="str">
            <v>A</v>
          </cell>
        </row>
        <row r="57">
          <cell r="A57">
            <v>37711</v>
          </cell>
          <cell r="B57" t="str">
            <v>146</v>
          </cell>
          <cell r="C57" t="str">
            <v>SMI</v>
          </cell>
          <cell r="D57" t="str">
            <v>51</v>
          </cell>
          <cell r="E57">
            <v>93.58</v>
          </cell>
          <cell r="F57">
            <v>10.01</v>
          </cell>
          <cell r="G57">
            <v>87.03</v>
          </cell>
          <cell r="H57">
            <v>96.71</v>
          </cell>
          <cell r="I57">
            <v>0.16</v>
          </cell>
          <cell r="J57" t="str">
            <v>A</v>
          </cell>
        </row>
        <row r="58">
          <cell r="A58">
            <v>37711</v>
          </cell>
          <cell r="B58" t="str">
            <v>147</v>
          </cell>
          <cell r="C58" t="str">
            <v>THW</v>
          </cell>
          <cell r="D58" t="str">
            <v>9</v>
          </cell>
          <cell r="E58">
            <v>93.58</v>
          </cell>
          <cell r="F58">
            <v>10.050000000000001</v>
          </cell>
          <cell r="G58">
            <v>87.03</v>
          </cell>
          <cell r="H58">
            <v>96.75</v>
          </cell>
          <cell r="I58">
            <v>0.14000000000000001</v>
          </cell>
          <cell r="J58" t="str">
            <v>A</v>
          </cell>
        </row>
        <row r="59">
          <cell r="A59">
            <v>37714</v>
          </cell>
          <cell r="B59" t="str">
            <v>148</v>
          </cell>
          <cell r="C59" t="str">
            <v>THW</v>
          </cell>
          <cell r="D59" t="str">
            <v>10</v>
          </cell>
          <cell r="E59">
            <v>93.61</v>
          </cell>
          <cell r="F59">
            <v>10.08</v>
          </cell>
          <cell r="G59">
            <v>87.06</v>
          </cell>
          <cell r="H59">
            <v>96.82</v>
          </cell>
          <cell r="I59">
            <v>0.16</v>
          </cell>
          <cell r="J59" t="str">
            <v>A</v>
          </cell>
        </row>
        <row r="60">
          <cell r="A60">
            <v>37714</v>
          </cell>
          <cell r="B60" t="str">
            <v>149</v>
          </cell>
          <cell r="C60" t="str">
            <v>SMI</v>
          </cell>
          <cell r="D60" t="str">
            <v>52</v>
          </cell>
          <cell r="E60">
            <v>93.61</v>
          </cell>
          <cell r="F60">
            <v>10.91</v>
          </cell>
          <cell r="G60">
            <v>87.06</v>
          </cell>
          <cell r="H60">
            <v>97.72</v>
          </cell>
          <cell r="I60">
            <v>0.18</v>
          </cell>
          <cell r="J60" t="str">
            <v>A</v>
          </cell>
        </row>
        <row r="61">
          <cell r="A61">
            <v>37719</v>
          </cell>
          <cell r="B61" t="str">
            <v>150</v>
          </cell>
          <cell r="C61" t="str">
            <v>THW</v>
          </cell>
          <cell r="D61" t="str">
            <v>11</v>
          </cell>
          <cell r="E61">
            <v>95.33</v>
          </cell>
          <cell r="F61">
            <v>8.8800000000000008</v>
          </cell>
          <cell r="G61">
            <v>88.66</v>
          </cell>
          <cell r="H61">
            <v>97.3</v>
          </cell>
          <cell r="I61">
            <v>0.17</v>
          </cell>
          <cell r="J61" t="str">
            <v>A</v>
          </cell>
        </row>
        <row r="62">
          <cell r="A62">
            <v>37719</v>
          </cell>
          <cell r="B62" t="str">
            <v>151</v>
          </cell>
          <cell r="C62" t="str">
            <v>SMI</v>
          </cell>
          <cell r="D62" t="str">
            <v>53</v>
          </cell>
          <cell r="E62">
            <v>93.72</v>
          </cell>
          <cell r="F62">
            <v>9.8000000000000007</v>
          </cell>
          <cell r="G62">
            <v>87.16</v>
          </cell>
          <cell r="H62">
            <v>96.63</v>
          </cell>
          <cell r="I62">
            <v>0.17</v>
          </cell>
          <cell r="J62" t="str">
            <v>A</v>
          </cell>
        </row>
        <row r="63">
          <cell r="A63">
            <v>37719</v>
          </cell>
          <cell r="B63" t="str">
            <v>152</v>
          </cell>
          <cell r="C63" t="str">
            <v>THW</v>
          </cell>
          <cell r="D63" t="str">
            <v>12</v>
          </cell>
          <cell r="E63">
            <v>93.7</v>
          </cell>
          <cell r="F63">
            <v>11.24</v>
          </cell>
          <cell r="G63">
            <v>87.14</v>
          </cell>
          <cell r="H63">
            <v>98.18</v>
          </cell>
          <cell r="I63">
            <v>0.15</v>
          </cell>
          <cell r="J63" t="str">
            <v>A</v>
          </cell>
        </row>
        <row r="64">
          <cell r="A64">
            <v>37719</v>
          </cell>
          <cell r="B64" t="str">
            <v>153</v>
          </cell>
          <cell r="C64" t="str">
            <v>SMI</v>
          </cell>
          <cell r="D64" t="str">
            <v>54</v>
          </cell>
          <cell r="E64">
            <v>93.61</v>
          </cell>
          <cell r="F64">
            <v>9.34</v>
          </cell>
          <cell r="G64">
            <v>87.06</v>
          </cell>
          <cell r="H64">
            <v>96.03</v>
          </cell>
          <cell r="I64">
            <v>0.14000000000000001</v>
          </cell>
          <cell r="J64" t="str">
            <v>A</v>
          </cell>
        </row>
        <row r="65">
          <cell r="A65">
            <v>37726</v>
          </cell>
          <cell r="B65" t="str">
            <v>155</v>
          </cell>
          <cell r="C65" t="str">
            <v>THW</v>
          </cell>
          <cell r="D65" t="str">
            <v>13</v>
          </cell>
          <cell r="E65">
            <v>95.36</v>
          </cell>
          <cell r="F65">
            <v>9.41</v>
          </cell>
          <cell r="G65">
            <v>88.68</v>
          </cell>
          <cell r="H65">
            <v>97.9</v>
          </cell>
          <cell r="I65">
            <v>0.15</v>
          </cell>
          <cell r="J65" t="str">
            <v>A</v>
          </cell>
        </row>
        <row r="66">
          <cell r="A66">
            <v>37729</v>
          </cell>
          <cell r="B66" t="str">
            <v>156</v>
          </cell>
          <cell r="C66" t="str">
            <v>THW</v>
          </cell>
          <cell r="D66" t="str">
            <v>14</v>
          </cell>
          <cell r="E66">
            <v>95.23</v>
          </cell>
          <cell r="F66">
            <v>10.039999999999999</v>
          </cell>
          <cell r="G66">
            <v>88.56</v>
          </cell>
          <cell r="H66">
            <v>98.45</v>
          </cell>
          <cell r="I66">
            <v>0.1</v>
          </cell>
          <cell r="J66" t="str">
            <v>A</v>
          </cell>
        </row>
        <row r="67">
          <cell r="A67">
            <v>37729</v>
          </cell>
          <cell r="B67" t="str">
            <v>157</v>
          </cell>
          <cell r="C67" t="str">
            <v>THW</v>
          </cell>
          <cell r="D67" t="str">
            <v>15</v>
          </cell>
          <cell r="E67">
            <v>95.26</v>
          </cell>
          <cell r="F67">
            <v>9.7799999999999994</v>
          </cell>
          <cell r="G67">
            <v>88.59</v>
          </cell>
          <cell r="H67">
            <v>98.2</v>
          </cell>
          <cell r="I67">
            <v>0.11</v>
          </cell>
          <cell r="J67" t="str">
            <v>A</v>
          </cell>
        </row>
        <row r="68">
          <cell r="A68">
            <v>37732</v>
          </cell>
          <cell r="B68" t="str">
            <v>154</v>
          </cell>
          <cell r="C68" t="str">
            <v>SMI</v>
          </cell>
          <cell r="D68" t="str">
            <v>55</v>
          </cell>
          <cell r="E68">
            <v>95.34</v>
          </cell>
          <cell r="F68">
            <v>10.7</v>
          </cell>
          <cell r="G68">
            <v>88.67</v>
          </cell>
          <cell r="H68">
            <v>99.29</v>
          </cell>
          <cell r="I68">
            <v>0.13</v>
          </cell>
          <cell r="J68" t="str">
            <v>A</v>
          </cell>
        </row>
        <row r="69">
          <cell r="A69">
            <v>37732</v>
          </cell>
          <cell r="B69" t="str">
            <v>158</v>
          </cell>
          <cell r="C69" t="str">
            <v>THW</v>
          </cell>
          <cell r="D69" t="str">
            <v>16</v>
          </cell>
          <cell r="E69">
            <v>95.96</v>
          </cell>
          <cell r="F69">
            <v>9.25</v>
          </cell>
          <cell r="G69">
            <v>89.24</v>
          </cell>
          <cell r="H69">
            <v>98.34</v>
          </cell>
          <cell r="I69">
            <v>0.14000000000000001</v>
          </cell>
          <cell r="J69" t="str">
            <v>A</v>
          </cell>
        </row>
        <row r="70">
          <cell r="A70">
            <v>37736</v>
          </cell>
          <cell r="B70" t="str">
            <v>159</v>
          </cell>
          <cell r="C70" t="str">
            <v>SMI</v>
          </cell>
          <cell r="D70" t="str">
            <v>56</v>
          </cell>
          <cell r="E70">
            <v>93.64</v>
          </cell>
          <cell r="F70">
            <v>10.39</v>
          </cell>
          <cell r="G70">
            <v>87.09</v>
          </cell>
          <cell r="H70">
            <v>97.18</v>
          </cell>
          <cell r="I70">
            <v>0.12</v>
          </cell>
          <cell r="J70" t="str">
            <v>A</v>
          </cell>
        </row>
        <row r="71">
          <cell r="A71">
            <v>37736</v>
          </cell>
          <cell r="B71" t="str">
            <v>160</v>
          </cell>
          <cell r="C71" t="str">
            <v>THW</v>
          </cell>
          <cell r="D71" t="str">
            <v>17</v>
          </cell>
          <cell r="E71">
            <v>93.68</v>
          </cell>
          <cell r="F71">
            <v>10.6</v>
          </cell>
          <cell r="G71">
            <v>87.12</v>
          </cell>
          <cell r="H71">
            <v>97.45</v>
          </cell>
          <cell r="I71">
            <v>0.13</v>
          </cell>
          <cell r="J71" t="str">
            <v>A</v>
          </cell>
        </row>
        <row r="72">
          <cell r="A72">
            <v>37736</v>
          </cell>
          <cell r="B72" t="str">
            <v>161</v>
          </cell>
          <cell r="C72" t="str">
            <v>SMI</v>
          </cell>
          <cell r="D72" t="str">
            <v>57</v>
          </cell>
          <cell r="E72">
            <v>92.78</v>
          </cell>
          <cell r="F72">
            <v>11.24</v>
          </cell>
          <cell r="G72">
            <v>86.29</v>
          </cell>
          <cell r="H72">
            <v>97.21</v>
          </cell>
          <cell r="I72">
            <v>0.11</v>
          </cell>
          <cell r="J72" t="str">
            <v>A</v>
          </cell>
        </row>
        <row r="73">
          <cell r="A73">
            <v>37744</v>
          </cell>
          <cell r="B73" t="str">
            <v>162</v>
          </cell>
          <cell r="C73" t="str">
            <v>SMI</v>
          </cell>
          <cell r="D73" t="str">
            <v>58</v>
          </cell>
          <cell r="E73">
            <v>95.34</v>
          </cell>
          <cell r="F73">
            <v>10.15</v>
          </cell>
          <cell r="G73">
            <v>88.67</v>
          </cell>
          <cell r="H73">
            <v>98.68</v>
          </cell>
          <cell r="I73">
            <v>0.19</v>
          </cell>
          <cell r="J73" t="str">
            <v>A</v>
          </cell>
        </row>
        <row r="74">
          <cell r="A74">
            <v>37744</v>
          </cell>
          <cell r="B74" t="str">
            <v>163</v>
          </cell>
          <cell r="C74" t="str">
            <v>THW</v>
          </cell>
          <cell r="D74" t="str">
            <v>18</v>
          </cell>
          <cell r="E74">
            <v>93.62</v>
          </cell>
          <cell r="F74">
            <v>12.69</v>
          </cell>
          <cell r="G74">
            <v>87.07</v>
          </cell>
          <cell r="H74">
            <v>99.72</v>
          </cell>
          <cell r="I74">
            <v>0.13</v>
          </cell>
          <cell r="J74" t="str">
            <v>A</v>
          </cell>
        </row>
        <row r="75">
          <cell r="A75">
            <v>37744</v>
          </cell>
          <cell r="B75" t="str">
            <v>164</v>
          </cell>
          <cell r="C75" t="str">
            <v>SMI</v>
          </cell>
          <cell r="D75" t="str">
            <v>59</v>
          </cell>
          <cell r="E75">
            <v>95.29</v>
          </cell>
          <cell r="F75">
            <v>10.210000000000001</v>
          </cell>
          <cell r="G75">
            <v>88.62</v>
          </cell>
          <cell r="H75">
            <v>98.7</v>
          </cell>
          <cell r="I75">
            <v>0.15</v>
          </cell>
          <cell r="J75" t="str">
            <v>A</v>
          </cell>
        </row>
        <row r="76">
          <cell r="A76">
            <v>37744</v>
          </cell>
          <cell r="B76" t="str">
            <v>165</v>
          </cell>
          <cell r="C76" t="str">
            <v>SMI</v>
          </cell>
          <cell r="D76" t="str">
            <v>60</v>
          </cell>
          <cell r="E76">
            <v>95.3</v>
          </cell>
          <cell r="F76">
            <v>10.18</v>
          </cell>
          <cell r="G76">
            <v>88.63</v>
          </cell>
          <cell r="H76">
            <v>98.67</v>
          </cell>
          <cell r="I76">
            <v>0.17</v>
          </cell>
          <cell r="J76" t="str">
            <v>A</v>
          </cell>
        </row>
        <row r="77">
          <cell r="A77">
            <v>37744</v>
          </cell>
          <cell r="B77" t="str">
            <v>166</v>
          </cell>
          <cell r="C77" t="str">
            <v>SMI</v>
          </cell>
          <cell r="D77" t="str">
            <v>61</v>
          </cell>
          <cell r="E77">
            <v>95.23</v>
          </cell>
          <cell r="F77">
            <v>10.18</v>
          </cell>
          <cell r="G77">
            <v>88.56</v>
          </cell>
          <cell r="H77">
            <v>98.6</v>
          </cell>
          <cell r="I77">
            <v>0.15</v>
          </cell>
          <cell r="J77" t="str">
            <v>A</v>
          </cell>
        </row>
        <row r="78">
          <cell r="A78">
            <v>37748</v>
          </cell>
          <cell r="B78" t="str">
            <v>167</v>
          </cell>
          <cell r="C78" t="str">
            <v>SMI</v>
          </cell>
          <cell r="D78" t="str">
            <v>62</v>
          </cell>
          <cell r="E78">
            <v>95.34</v>
          </cell>
          <cell r="F78">
            <v>9.8699999999999992</v>
          </cell>
          <cell r="G78">
            <v>88.67</v>
          </cell>
          <cell r="H78">
            <v>98.38</v>
          </cell>
          <cell r="I78">
            <v>0.13</v>
          </cell>
          <cell r="J78" t="str">
            <v>A</v>
          </cell>
        </row>
        <row r="79">
          <cell r="A79">
            <v>37748</v>
          </cell>
          <cell r="B79" t="str">
            <v>168</v>
          </cell>
          <cell r="C79" t="str">
            <v>SM2</v>
          </cell>
          <cell r="D79" t="str">
            <v>1</v>
          </cell>
          <cell r="E79">
            <v>95.39</v>
          </cell>
          <cell r="F79">
            <v>9.56</v>
          </cell>
          <cell r="G79">
            <v>88.71</v>
          </cell>
          <cell r="H79">
            <v>98.09</v>
          </cell>
          <cell r="I79">
            <v>0.13</v>
          </cell>
          <cell r="J79" t="str">
            <v>A</v>
          </cell>
        </row>
        <row r="80">
          <cell r="A80">
            <v>37749</v>
          </cell>
          <cell r="B80" t="str">
            <v>169</v>
          </cell>
          <cell r="C80" t="str">
            <v>SM2</v>
          </cell>
          <cell r="D80" t="str">
            <v>2</v>
          </cell>
          <cell r="E80">
            <v>95.22</v>
          </cell>
          <cell r="F80">
            <v>9.1999999999999993</v>
          </cell>
          <cell r="G80">
            <v>88.55</v>
          </cell>
          <cell r="H80">
            <v>97.53</v>
          </cell>
          <cell r="I80">
            <v>0.19</v>
          </cell>
          <cell r="J80" t="str">
            <v>A</v>
          </cell>
        </row>
        <row r="81">
          <cell r="A81">
            <v>37754</v>
          </cell>
          <cell r="B81" t="str">
            <v>170</v>
          </cell>
          <cell r="C81" t="str">
            <v>SM2</v>
          </cell>
          <cell r="D81" t="str">
            <v>3</v>
          </cell>
          <cell r="E81">
            <v>93.62</v>
          </cell>
          <cell r="F81">
            <v>9.98</v>
          </cell>
          <cell r="G81">
            <v>87.07</v>
          </cell>
          <cell r="H81">
            <v>96.72</v>
          </cell>
          <cell r="I81">
            <v>0.19</v>
          </cell>
          <cell r="J81" t="str">
            <v>A</v>
          </cell>
        </row>
        <row r="82">
          <cell r="A82">
            <v>37757</v>
          </cell>
          <cell r="B82" t="str">
            <v>171</v>
          </cell>
          <cell r="C82" t="str">
            <v>SM2</v>
          </cell>
          <cell r="D82" t="str">
            <v>4</v>
          </cell>
          <cell r="E82">
            <v>95.22</v>
          </cell>
          <cell r="F82">
            <v>10.8</v>
          </cell>
          <cell r="G82">
            <v>88.55</v>
          </cell>
          <cell r="H82">
            <v>99.28</v>
          </cell>
          <cell r="I82">
            <v>0.17</v>
          </cell>
          <cell r="J82" t="str">
            <v>A</v>
          </cell>
        </row>
        <row r="83">
          <cell r="A83">
            <v>37763</v>
          </cell>
          <cell r="B83" t="str">
            <v>172</v>
          </cell>
          <cell r="C83" t="str">
            <v>AS</v>
          </cell>
          <cell r="D83" t="str">
            <v>16</v>
          </cell>
          <cell r="E83">
            <v>95.26</v>
          </cell>
          <cell r="F83">
            <v>9.65</v>
          </cell>
          <cell r="G83">
            <v>88.59</v>
          </cell>
          <cell r="H83">
            <v>98.05</v>
          </cell>
          <cell r="I83">
            <v>0.15</v>
          </cell>
          <cell r="J83" t="str">
            <v>A</v>
          </cell>
        </row>
        <row r="84">
          <cell r="A84">
            <v>37763</v>
          </cell>
          <cell r="B84" t="str">
            <v>173</v>
          </cell>
          <cell r="C84" t="str">
            <v>SM2</v>
          </cell>
          <cell r="D84" t="str">
            <v>5</v>
          </cell>
          <cell r="E84">
            <v>93.61</v>
          </cell>
          <cell r="F84">
            <v>10.44</v>
          </cell>
          <cell r="G84">
            <v>87.06</v>
          </cell>
          <cell r="H84">
            <v>97.21</v>
          </cell>
          <cell r="I84">
            <v>0.16</v>
          </cell>
          <cell r="J84" t="str">
            <v>A</v>
          </cell>
        </row>
        <row r="85">
          <cell r="A85">
            <v>37768</v>
          </cell>
          <cell r="B85" t="str">
            <v>174</v>
          </cell>
          <cell r="C85" t="str">
            <v>SM2</v>
          </cell>
          <cell r="D85" t="str">
            <v>6</v>
          </cell>
          <cell r="E85">
            <v>93.58</v>
          </cell>
          <cell r="F85">
            <v>9.43</v>
          </cell>
          <cell r="G85">
            <v>87.03</v>
          </cell>
          <cell r="H85">
            <v>96.09</v>
          </cell>
          <cell r="I85">
            <v>0.17</v>
          </cell>
          <cell r="J85" t="str">
            <v>A</v>
          </cell>
        </row>
        <row r="86">
          <cell r="A86">
            <v>37770</v>
          </cell>
          <cell r="B86" t="str">
            <v>175</v>
          </cell>
          <cell r="C86" t="str">
            <v>AS</v>
          </cell>
          <cell r="D86" t="str">
            <v>17</v>
          </cell>
          <cell r="E86">
            <v>93.57</v>
          </cell>
          <cell r="F86">
            <v>10.220000000000001</v>
          </cell>
          <cell r="G86">
            <v>87.02</v>
          </cell>
          <cell r="H86">
            <v>96.93</v>
          </cell>
          <cell r="I86">
            <v>0.15</v>
          </cell>
          <cell r="J86" t="str">
            <v>A</v>
          </cell>
        </row>
        <row r="87">
          <cell r="A87">
            <v>37774</v>
          </cell>
          <cell r="B87" t="str">
            <v>176</v>
          </cell>
          <cell r="C87" t="str">
            <v>SM2</v>
          </cell>
          <cell r="D87" t="str">
            <v>7</v>
          </cell>
          <cell r="E87">
            <v>93.56</v>
          </cell>
          <cell r="F87">
            <v>11.06</v>
          </cell>
          <cell r="G87">
            <v>87.01</v>
          </cell>
          <cell r="H87">
            <v>97.83</v>
          </cell>
          <cell r="I87">
            <v>0.16</v>
          </cell>
          <cell r="J87" t="str">
            <v>A</v>
          </cell>
        </row>
        <row r="88">
          <cell r="A88">
            <v>37774</v>
          </cell>
          <cell r="B88" t="str">
            <v>178</v>
          </cell>
          <cell r="C88" t="str">
            <v>SM2</v>
          </cell>
          <cell r="D88" t="str">
            <v>8</v>
          </cell>
          <cell r="E88">
            <v>93.68</v>
          </cell>
          <cell r="F88">
            <v>11.1</v>
          </cell>
          <cell r="G88">
            <v>87.12</v>
          </cell>
          <cell r="H88">
            <v>98</v>
          </cell>
          <cell r="I88">
            <v>0.15</v>
          </cell>
          <cell r="J88" t="str">
            <v>A</v>
          </cell>
        </row>
        <row r="89">
          <cell r="A89">
            <v>37776</v>
          </cell>
          <cell r="B89" t="str">
            <v>177</v>
          </cell>
          <cell r="C89" t="str">
            <v>AS</v>
          </cell>
          <cell r="D89" t="str">
            <v>18</v>
          </cell>
          <cell r="E89">
            <v>93.58</v>
          </cell>
          <cell r="F89">
            <v>10.77</v>
          </cell>
          <cell r="G89">
            <v>87.03</v>
          </cell>
          <cell r="H89">
            <v>97.53</v>
          </cell>
          <cell r="I89">
            <v>0.18</v>
          </cell>
          <cell r="J89" t="str">
            <v>A</v>
          </cell>
        </row>
        <row r="90">
          <cell r="A90">
            <v>37777</v>
          </cell>
          <cell r="B90" t="str">
            <v>179</v>
          </cell>
          <cell r="C90" t="str">
            <v>AS</v>
          </cell>
          <cell r="D90" t="str">
            <v>19</v>
          </cell>
          <cell r="E90">
            <v>93.58</v>
          </cell>
          <cell r="F90">
            <v>10.84</v>
          </cell>
          <cell r="G90">
            <v>87.03</v>
          </cell>
          <cell r="H90">
            <v>97.61</v>
          </cell>
          <cell r="I90">
            <v>0.17</v>
          </cell>
          <cell r="J90" t="str">
            <v>A</v>
          </cell>
        </row>
        <row r="91">
          <cell r="A91">
            <v>37778</v>
          </cell>
          <cell r="B91" t="str">
            <v>180</v>
          </cell>
          <cell r="C91" t="str">
            <v>RE</v>
          </cell>
          <cell r="D91" t="str">
            <v>14</v>
          </cell>
          <cell r="E91">
            <v>93.65</v>
          </cell>
          <cell r="F91">
            <v>10.029999999999999</v>
          </cell>
          <cell r="G91">
            <v>87.09</v>
          </cell>
          <cell r="H91">
            <v>96.8</v>
          </cell>
          <cell r="I91">
            <v>0.19</v>
          </cell>
          <cell r="J91" t="str">
            <v>A</v>
          </cell>
        </row>
        <row r="92">
          <cell r="A92">
            <v>37778</v>
          </cell>
          <cell r="B92" t="str">
            <v>181</v>
          </cell>
          <cell r="C92" t="str">
            <v>PVD</v>
          </cell>
          <cell r="D92" t="str">
            <v>6</v>
          </cell>
          <cell r="E92">
            <v>93.57</v>
          </cell>
          <cell r="F92">
            <v>11.59</v>
          </cell>
          <cell r="G92">
            <v>87.02</v>
          </cell>
          <cell r="H92">
            <v>98.43</v>
          </cell>
          <cell r="I92">
            <v>0.14000000000000001</v>
          </cell>
          <cell r="J92" t="str">
            <v>A</v>
          </cell>
        </row>
        <row r="93">
          <cell r="A93">
            <v>37783</v>
          </cell>
          <cell r="B93" t="str">
            <v>182</v>
          </cell>
          <cell r="C93" t="str">
            <v>RE</v>
          </cell>
          <cell r="D93" t="str">
            <v>15</v>
          </cell>
          <cell r="E93">
            <v>93.65</v>
          </cell>
          <cell r="F93">
            <v>10.59</v>
          </cell>
          <cell r="G93">
            <v>87.09</v>
          </cell>
          <cell r="H93">
            <v>97.41</v>
          </cell>
          <cell r="I93">
            <v>0.13</v>
          </cell>
          <cell r="J93" t="str">
            <v>A</v>
          </cell>
        </row>
        <row r="94">
          <cell r="A94">
            <v>37784</v>
          </cell>
          <cell r="B94" t="str">
            <v>183</v>
          </cell>
          <cell r="C94" t="str">
            <v>PVD</v>
          </cell>
          <cell r="D94" t="str">
            <v>7</v>
          </cell>
          <cell r="E94">
            <v>95.24</v>
          </cell>
          <cell r="F94">
            <v>9.9700000000000006</v>
          </cell>
          <cell r="G94">
            <v>88.57</v>
          </cell>
          <cell r="H94">
            <v>98.38</v>
          </cell>
          <cell r="I94">
            <v>0.13</v>
          </cell>
          <cell r="J94" t="str">
            <v>A</v>
          </cell>
        </row>
        <row r="95">
          <cell r="A95">
            <v>37784</v>
          </cell>
          <cell r="B95" t="str">
            <v>184</v>
          </cell>
          <cell r="C95" t="str">
            <v>RE</v>
          </cell>
          <cell r="D95" t="str">
            <v>16</v>
          </cell>
          <cell r="E95">
            <v>95.28</v>
          </cell>
          <cell r="F95">
            <v>10.16</v>
          </cell>
          <cell r="G95">
            <v>88.61</v>
          </cell>
          <cell r="H95">
            <v>98.63</v>
          </cell>
          <cell r="I95">
            <v>0.16</v>
          </cell>
          <cell r="J95" t="str">
            <v>A</v>
          </cell>
        </row>
        <row r="96">
          <cell r="A96">
            <v>37790</v>
          </cell>
          <cell r="B96" t="str">
            <v>185</v>
          </cell>
          <cell r="C96" t="str">
            <v>PVD</v>
          </cell>
          <cell r="D96" t="str">
            <v>8</v>
          </cell>
          <cell r="E96">
            <v>94.44</v>
          </cell>
          <cell r="F96">
            <v>10.15</v>
          </cell>
          <cell r="G96">
            <v>87.83</v>
          </cell>
          <cell r="H96">
            <v>97.75</v>
          </cell>
          <cell r="I96">
            <v>0.13</v>
          </cell>
          <cell r="J96" t="str">
            <v>A</v>
          </cell>
        </row>
        <row r="97">
          <cell r="A97">
            <v>37790</v>
          </cell>
          <cell r="B97" t="str">
            <v>186</v>
          </cell>
          <cell r="C97" t="str">
            <v>RE</v>
          </cell>
          <cell r="D97" t="str">
            <v>17</v>
          </cell>
          <cell r="E97">
            <v>94.4</v>
          </cell>
          <cell r="F97">
            <v>10.51</v>
          </cell>
          <cell r="G97">
            <v>87.79</v>
          </cell>
          <cell r="H97">
            <v>98.1</v>
          </cell>
          <cell r="I97">
            <v>0.12</v>
          </cell>
          <cell r="J97" t="str">
            <v>A</v>
          </cell>
        </row>
        <row r="98">
          <cell r="A98">
            <v>37796</v>
          </cell>
          <cell r="B98" t="str">
            <v>187</v>
          </cell>
          <cell r="C98" t="str">
            <v>PVD</v>
          </cell>
          <cell r="D98" t="str">
            <v>9</v>
          </cell>
          <cell r="E98">
            <v>93.56</v>
          </cell>
          <cell r="F98">
            <v>11.01</v>
          </cell>
          <cell r="G98">
            <v>87.01</v>
          </cell>
          <cell r="H98">
            <v>97.78</v>
          </cell>
          <cell r="I98">
            <v>0.13</v>
          </cell>
          <cell r="J98" t="str">
            <v>A</v>
          </cell>
        </row>
        <row r="99">
          <cell r="A99">
            <v>37796</v>
          </cell>
          <cell r="B99" t="str">
            <v>188</v>
          </cell>
          <cell r="C99" t="str">
            <v>RE</v>
          </cell>
          <cell r="D99" t="str">
            <v>18</v>
          </cell>
          <cell r="E99">
            <v>94.37</v>
          </cell>
          <cell r="F99">
            <v>10.130000000000001</v>
          </cell>
          <cell r="G99">
            <v>87.76</v>
          </cell>
          <cell r="H99">
            <v>97.66</v>
          </cell>
          <cell r="I99">
            <v>0.13</v>
          </cell>
          <cell r="J99" t="str">
            <v>A</v>
          </cell>
        </row>
        <row r="100">
          <cell r="A100">
            <v>37803</v>
          </cell>
          <cell r="B100" t="str">
            <v>189</v>
          </cell>
          <cell r="C100" t="str">
            <v>PVD</v>
          </cell>
          <cell r="D100" t="str">
            <v>10</v>
          </cell>
          <cell r="E100">
            <v>94.73</v>
          </cell>
          <cell r="F100">
            <v>8.69</v>
          </cell>
          <cell r="G100">
            <v>88.1</v>
          </cell>
          <cell r="H100">
            <v>96.48</v>
          </cell>
          <cell r="I100">
            <v>0.15</v>
          </cell>
          <cell r="J100" t="str">
            <v>A</v>
          </cell>
        </row>
        <row r="101">
          <cell r="A101">
            <v>37803</v>
          </cell>
          <cell r="B101" t="str">
            <v>190</v>
          </cell>
          <cell r="C101" t="str">
            <v>RE</v>
          </cell>
          <cell r="D101" t="str">
            <v>19</v>
          </cell>
          <cell r="E101">
            <v>93.94</v>
          </cell>
          <cell r="F101">
            <v>10.16</v>
          </cell>
          <cell r="G101">
            <v>87.36</v>
          </cell>
          <cell r="H101">
            <v>97.24</v>
          </cell>
          <cell r="I101">
            <v>0.13</v>
          </cell>
          <cell r="J101" t="str">
            <v>A</v>
          </cell>
        </row>
        <row r="102">
          <cell r="A102">
            <v>37803</v>
          </cell>
          <cell r="B102" t="str">
            <v>192</v>
          </cell>
          <cell r="C102" t="str">
            <v>SP</v>
          </cell>
          <cell r="D102" t="str">
            <v>2</v>
          </cell>
          <cell r="E102">
            <v>94.79</v>
          </cell>
          <cell r="F102">
            <v>9.56</v>
          </cell>
          <cell r="G102">
            <v>88.15</v>
          </cell>
          <cell r="H102">
            <v>97.47</v>
          </cell>
          <cell r="I102">
            <v>0.14000000000000001</v>
          </cell>
          <cell r="J102" t="str">
            <v>A</v>
          </cell>
        </row>
        <row r="103">
          <cell r="A103">
            <v>37805</v>
          </cell>
          <cell r="B103" t="str">
            <v>193</v>
          </cell>
          <cell r="C103" t="str">
            <v>RE</v>
          </cell>
          <cell r="D103" t="str">
            <v>21</v>
          </cell>
          <cell r="E103">
            <v>94.71</v>
          </cell>
          <cell r="F103">
            <v>10.98</v>
          </cell>
          <cell r="G103">
            <v>88.08</v>
          </cell>
          <cell r="H103">
            <v>98.94</v>
          </cell>
          <cell r="I103">
            <v>0.14000000000000001</v>
          </cell>
          <cell r="J103" t="str">
            <v>A</v>
          </cell>
        </row>
        <row r="104">
          <cell r="A104">
            <v>37806</v>
          </cell>
          <cell r="B104" t="str">
            <v>191</v>
          </cell>
          <cell r="C104" t="str">
            <v>RE</v>
          </cell>
          <cell r="D104" t="str">
            <v>20</v>
          </cell>
          <cell r="E104">
            <v>94.7</v>
          </cell>
          <cell r="F104">
            <v>10.96</v>
          </cell>
          <cell r="G104">
            <v>88.07</v>
          </cell>
          <cell r="H104">
            <v>98.91</v>
          </cell>
          <cell r="I104">
            <v>0.2</v>
          </cell>
          <cell r="J104" t="str">
            <v>A</v>
          </cell>
        </row>
        <row r="105">
          <cell r="A105">
            <v>37824</v>
          </cell>
          <cell r="B105" t="str">
            <v>194</v>
          </cell>
          <cell r="C105" t="str">
            <v>RE</v>
          </cell>
          <cell r="D105" t="str">
            <v>22</v>
          </cell>
          <cell r="E105">
            <v>92.74</v>
          </cell>
          <cell r="F105">
            <v>11.96</v>
          </cell>
          <cell r="G105">
            <v>86.25</v>
          </cell>
          <cell r="H105">
            <v>97.96</v>
          </cell>
          <cell r="I105">
            <v>0.12</v>
          </cell>
          <cell r="J105" t="str">
            <v>A</v>
          </cell>
        </row>
        <row r="106">
          <cell r="A106">
            <v>37824</v>
          </cell>
          <cell r="B106" t="str">
            <v>195</v>
          </cell>
          <cell r="C106" t="str">
            <v>SP</v>
          </cell>
          <cell r="D106" t="str">
            <v>3</v>
          </cell>
          <cell r="E106">
            <v>93.04</v>
          </cell>
          <cell r="F106">
            <v>10.8</v>
          </cell>
          <cell r="G106">
            <v>86.53</v>
          </cell>
          <cell r="H106">
            <v>97</v>
          </cell>
          <cell r="I106">
            <v>0.1</v>
          </cell>
          <cell r="J106" t="str">
            <v>A</v>
          </cell>
        </row>
        <row r="107">
          <cell r="A107">
            <v>37824</v>
          </cell>
          <cell r="B107" t="str">
            <v>196</v>
          </cell>
          <cell r="C107" t="str">
            <v>SMI</v>
          </cell>
          <cell r="D107" t="str">
            <v>63</v>
          </cell>
          <cell r="E107">
            <v>93.09</v>
          </cell>
          <cell r="F107">
            <v>11.2</v>
          </cell>
          <cell r="G107">
            <v>86.57</v>
          </cell>
          <cell r="H107">
            <v>97.49</v>
          </cell>
          <cell r="I107">
            <v>0.09</v>
          </cell>
          <cell r="J107" t="str">
            <v>A</v>
          </cell>
        </row>
        <row r="108">
          <cell r="A108">
            <v>37834</v>
          </cell>
          <cell r="B108" t="str">
            <v>198</v>
          </cell>
          <cell r="C108" t="str">
            <v>RE</v>
          </cell>
          <cell r="D108" t="str">
            <v>23</v>
          </cell>
          <cell r="E108">
            <v>93.61</v>
          </cell>
          <cell r="F108">
            <v>11.56</v>
          </cell>
          <cell r="G108">
            <v>87.06</v>
          </cell>
          <cell r="H108">
            <v>98.44</v>
          </cell>
          <cell r="I108">
            <v>0.11</v>
          </cell>
          <cell r="J108" t="str">
            <v>A</v>
          </cell>
        </row>
        <row r="109">
          <cell r="A109">
            <v>37834</v>
          </cell>
          <cell r="B109" t="str">
            <v>199</v>
          </cell>
          <cell r="C109" t="str">
            <v>SMI</v>
          </cell>
          <cell r="D109" t="str">
            <v>64</v>
          </cell>
          <cell r="E109">
            <v>93.64</v>
          </cell>
          <cell r="F109">
            <v>11.63</v>
          </cell>
          <cell r="G109">
            <v>87.09</v>
          </cell>
          <cell r="H109">
            <v>98.55</v>
          </cell>
          <cell r="I109">
            <v>0.1</v>
          </cell>
          <cell r="J109" t="str">
            <v>A</v>
          </cell>
        </row>
        <row r="110">
          <cell r="A110">
            <v>37838</v>
          </cell>
          <cell r="B110" t="str">
            <v>200</v>
          </cell>
          <cell r="C110" t="str">
            <v>AS</v>
          </cell>
          <cell r="D110" t="str">
            <v>20</v>
          </cell>
          <cell r="E110">
            <v>93.11</v>
          </cell>
          <cell r="F110">
            <v>11.01</v>
          </cell>
          <cell r="G110">
            <v>86.59</v>
          </cell>
          <cell r="H110">
            <v>97.31</v>
          </cell>
          <cell r="I110">
            <v>0.22</v>
          </cell>
          <cell r="J110" t="str">
            <v>O</v>
          </cell>
          <cell r="K110" t="str">
            <v>Claim</v>
          </cell>
          <cell r="L110" t="str">
            <v>NCR No.  RM-03/054</v>
          </cell>
        </row>
        <row r="111">
          <cell r="A111">
            <v>37839</v>
          </cell>
          <cell r="B111" t="str">
            <v>201</v>
          </cell>
          <cell r="C111" t="str">
            <v>RE</v>
          </cell>
          <cell r="D111" t="str">
            <v>24</v>
          </cell>
          <cell r="E111">
            <v>93.11</v>
          </cell>
          <cell r="F111">
            <v>11.71</v>
          </cell>
          <cell r="G111">
            <v>86.59</v>
          </cell>
          <cell r="H111">
            <v>98.08</v>
          </cell>
          <cell r="I111">
            <v>0.08</v>
          </cell>
          <cell r="J111" t="str">
            <v>A</v>
          </cell>
        </row>
        <row r="112">
          <cell r="A112">
            <v>37839</v>
          </cell>
          <cell r="B112" t="str">
            <v>203</v>
          </cell>
          <cell r="C112" t="str">
            <v>SP</v>
          </cell>
          <cell r="D112" t="str">
            <v>4</v>
          </cell>
          <cell r="E112">
            <v>93.12</v>
          </cell>
          <cell r="F112">
            <v>11.44</v>
          </cell>
          <cell r="G112">
            <v>86.6</v>
          </cell>
          <cell r="H112">
            <v>97.79</v>
          </cell>
          <cell r="I112">
            <v>0.1</v>
          </cell>
          <cell r="J112" t="str">
            <v>A</v>
          </cell>
        </row>
        <row r="113">
          <cell r="A113">
            <v>37840</v>
          </cell>
          <cell r="B113" t="str">
            <v>202</v>
          </cell>
          <cell r="C113" t="str">
            <v>SMI</v>
          </cell>
          <cell r="D113" t="str">
            <v>65</v>
          </cell>
          <cell r="E113">
            <v>93.07</v>
          </cell>
          <cell r="F113">
            <v>10.7</v>
          </cell>
          <cell r="G113">
            <v>86.56</v>
          </cell>
          <cell r="H113">
            <v>96.93</v>
          </cell>
          <cell r="I113">
            <v>0.1</v>
          </cell>
          <cell r="J113" t="str">
            <v>A</v>
          </cell>
        </row>
        <row r="114">
          <cell r="A114">
            <v>37840</v>
          </cell>
          <cell r="B114" t="str">
            <v>205</v>
          </cell>
          <cell r="C114" t="str">
            <v>AS</v>
          </cell>
          <cell r="D114" t="str">
            <v>21</v>
          </cell>
          <cell r="E114">
            <v>93.13</v>
          </cell>
          <cell r="F114">
            <v>11.08</v>
          </cell>
          <cell r="G114">
            <v>86.61</v>
          </cell>
          <cell r="H114">
            <v>97.4</v>
          </cell>
          <cell r="I114">
            <v>0.19</v>
          </cell>
          <cell r="J114" t="str">
            <v>A</v>
          </cell>
        </row>
        <row r="115">
          <cell r="A115">
            <v>37841</v>
          </cell>
          <cell r="B115" t="str">
            <v>206</v>
          </cell>
          <cell r="C115" t="str">
            <v>SP</v>
          </cell>
          <cell r="D115" t="str">
            <v>5</v>
          </cell>
          <cell r="E115">
            <v>93.15</v>
          </cell>
          <cell r="F115">
            <v>11.57</v>
          </cell>
          <cell r="G115">
            <v>86.63</v>
          </cell>
          <cell r="H115">
            <v>97.96</v>
          </cell>
          <cell r="I115">
            <v>0.11</v>
          </cell>
          <cell r="J115" t="str">
            <v>A</v>
          </cell>
        </row>
        <row r="116">
          <cell r="A116">
            <v>37844</v>
          </cell>
          <cell r="B116" t="str">
            <v>207</v>
          </cell>
          <cell r="C116" t="str">
            <v>RE</v>
          </cell>
          <cell r="D116" t="str">
            <v>25</v>
          </cell>
          <cell r="E116">
            <v>93.19</v>
          </cell>
          <cell r="F116">
            <v>10.91</v>
          </cell>
          <cell r="G116">
            <v>86.67</v>
          </cell>
          <cell r="H116">
            <v>97.28</v>
          </cell>
          <cell r="I116">
            <v>0.12</v>
          </cell>
          <cell r="J116" t="str">
            <v>A</v>
          </cell>
        </row>
        <row r="117">
          <cell r="A117">
            <v>37844</v>
          </cell>
          <cell r="B117" t="str">
            <v>208</v>
          </cell>
          <cell r="C117" t="str">
            <v>AS</v>
          </cell>
          <cell r="D117" t="str">
            <v>22</v>
          </cell>
          <cell r="E117">
            <v>93.13</v>
          </cell>
          <cell r="F117">
            <v>10.69</v>
          </cell>
          <cell r="G117">
            <v>86.61</v>
          </cell>
          <cell r="H117">
            <v>96.98</v>
          </cell>
          <cell r="I117">
            <v>0.19</v>
          </cell>
          <cell r="J117" t="str">
            <v>A</v>
          </cell>
        </row>
        <row r="118">
          <cell r="A118">
            <v>37847</v>
          </cell>
          <cell r="B118" t="str">
            <v>20.9</v>
          </cell>
          <cell r="C118" t="str">
            <v>SP</v>
          </cell>
          <cell r="D118" t="str">
            <v>6</v>
          </cell>
          <cell r="E118">
            <v>93.61</v>
          </cell>
          <cell r="F118">
            <v>9.49</v>
          </cell>
          <cell r="G118">
            <v>87.06</v>
          </cell>
          <cell r="H118">
            <v>96.19</v>
          </cell>
          <cell r="I118">
            <v>0.15</v>
          </cell>
          <cell r="J118" t="str">
            <v>A</v>
          </cell>
        </row>
        <row r="119">
          <cell r="A119">
            <v>37847</v>
          </cell>
          <cell r="B119" t="str">
            <v>204</v>
          </cell>
          <cell r="C119" t="str">
            <v>KLS</v>
          </cell>
          <cell r="D119" t="str">
            <v>11</v>
          </cell>
          <cell r="E119">
            <v>93.57</v>
          </cell>
          <cell r="F119">
            <v>10.94</v>
          </cell>
          <cell r="G119">
            <v>87.02</v>
          </cell>
          <cell r="H119">
            <v>97.71</v>
          </cell>
          <cell r="I119">
            <v>0.18</v>
          </cell>
          <cell r="J119" t="str">
            <v>A</v>
          </cell>
        </row>
        <row r="120">
          <cell r="A120">
            <v>37847</v>
          </cell>
          <cell r="B120" t="str">
            <v>210</v>
          </cell>
          <cell r="C120" t="str">
            <v>SMI</v>
          </cell>
          <cell r="D120" t="str">
            <v>66</v>
          </cell>
          <cell r="E120">
            <v>95.28</v>
          </cell>
          <cell r="F120">
            <v>6.67</v>
          </cell>
          <cell r="G120">
            <v>88.61</v>
          </cell>
          <cell r="H120">
            <v>94.94</v>
          </cell>
          <cell r="I120">
            <v>0.14000000000000001</v>
          </cell>
          <cell r="J120" t="str">
            <v>A</v>
          </cell>
        </row>
        <row r="121">
          <cell r="A121">
            <v>37847</v>
          </cell>
          <cell r="B121" t="str">
            <v>211</v>
          </cell>
          <cell r="C121" t="str">
            <v>AS</v>
          </cell>
          <cell r="D121" t="str">
            <v>23</v>
          </cell>
          <cell r="E121">
            <v>93.64</v>
          </cell>
          <cell r="F121">
            <v>10.78</v>
          </cell>
          <cell r="G121">
            <v>87.09</v>
          </cell>
          <cell r="H121">
            <v>97.61</v>
          </cell>
          <cell r="I121">
            <v>0.15</v>
          </cell>
          <cell r="J121" t="str">
            <v>A</v>
          </cell>
        </row>
        <row r="122">
          <cell r="A122">
            <v>37847</v>
          </cell>
          <cell r="B122" t="str">
            <v>214</v>
          </cell>
          <cell r="C122" t="str">
            <v>SP</v>
          </cell>
          <cell r="D122" t="str">
            <v>7</v>
          </cell>
          <cell r="E122">
            <v>95.31</v>
          </cell>
          <cell r="F122">
            <v>9.67</v>
          </cell>
          <cell r="G122">
            <v>88.64</v>
          </cell>
          <cell r="H122">
            <v>98.13</v>
          </cell>
          <cell r="I122">
            <v>0.11</v>
          </cell>
          <cell r="J122" t="str">
            <v>A</v>
          </cell>
        </row>
        <row r="123">
          <cell r="A123">
            <v>37848</v>
          </cell>
          <cell r="B123" t="str">
            <v>213</v>
          </cell>
          <cell r="C123" t="str">
            <v>KLS</v>
          </cell>
          <cell r="D123" t="str">
            <v>12</v>
          </cell>
          <cell r="E123">
            <v>93.6</v>
          </cell>
          <cell r="F123">
            <v>10.47</v>
          </cell>
          <cell r="G123">
            <v>87.05</v>
          </cell>
          <cell r="H123">
            <v>97.23</v>
          </cell>
          <cell r="I123">
            <v>0.14000000000000001</v>
          </cell>
          <cell r="J123" t="str">
            <v>A</v>
          </cell>
        </row>
        <row r="124">
          <cell r="A124">
            <v>37851</v>
          </cell>
          <cell r="B124" t="str">
            <v>212</v>
          </cell>
          <cell r="C124" t="str">
            <v>RE</v>
          </cell>
          <cell r="D124" t="str">
            <v>26</v>
          </cell>
          <cell r="E124">
            <v>93.62</v>
          </cell>
          <cell r="F124">
            <v>11.46</v>
          </cell>
          <cell r="G124">
            <v>87.07</v>
          </cell>
          <cell r="H124">
            <v>98.34</v>
          </cell>
          <cell r="I124">
            <v>0.09</v>
          </cell>
          <cell r="J124" t="str">
            <v>A</v>
          </cell>
        </row>
        <row r="125">
          <cell r="A125">
            <v>37851</v>
          </cell>
          <cell r="B125" t="str">
            <v>215</v>
          </cell>
          <cell r="C125" t="str">
            <v>SP</v>
          </cell>
          <cell r="D125" t="str">
            <v>8</v>
          </cell>
          <cell r="E125">
            <v>95.3</v>
          </cell>
          <cell r="F125">
            <v>9.36</v>
          </cell>
          <cell r="G125">
            <v>88.63</v>
          </cell>
          <cell r="H125">
            <v>97.78</v>
          </cell>
          <cell r="I125">
            <v>0.09</v>
          </cell>
          <cell r="J125" t="str">
            <v>A</v>
          </cell>
        </row>
        <row r="126">
          <cell r="A126">
            <v>37852</v>
          </cell>
          <cell r="B126" t="str">
            <v>216</v>
          </cell>
          <cell r="C126" t="str">
            <v>KLS</v>
          </cell>
          <cell r="D126" t="str">
            <v>13</v>
          </cell>
          <cell r="E126">
            <v>93.61</v>
          </cell>
          <cell r="F126">
            <v>10.44</v>
          </cell>
          <cell r="G126">
            <v>87.06</v>
          </cell>
          <cell r="H126">
            <v>97.21</v>
          </cell>
          <cell r="I126">
            <v>0.17</v>
          </cell>
          <cell r="J126" t="str">
            <v>A</v>
          </cell>
        </row>
        <row r="127">
          <cell r="A127">
            <v>37854</v>
          </cell>
          <cell r="B127" t="str">
            <v>220</v>
          </cell>
          <cell r="C127" t="str">
            <v>KLS</v>
          </cell>
          <cell r="D127" t="str">
            <v>14</v>
          </cell>
          <cell r="E127">
            <v>94.79</v>
          </cell>
          <cell r="F127">
            <v>10.41</v>
          </cell>
          <cell r="G127">
            <v>88.15</v>
          </cell>
          <cell r="H127">
            <v>98.4</v>
          </cell>
          <cell r="I127">
            <v>0.13</v>
          </cell>
          <cell r="J127" t="str">
            <v>A</v>
          </cell>
        </row>
        <row r="128">
          <cell r="A128">
            <v>37855</v>
          </cell>
          <cell r="B128" t="str">
            <v>217</v>
          </cell>
          <cell r="C128" t="str">
            <v>SMI</v>
          </cell>
          <cell r="D128" t="str">
            <v>67</v>
          </cell>
          <cell r="E128">
            <v>96.33</v>
          </cell>
          <cell r="F128">
            <v>6.84</v>
          </cell>
          <cell r="G128">
            <v>89.59</v>
          </cell>
          <cell r="H128">
            <v>96.16</v>
          </cell>
          <cell r="I128">
            <v>0.1</v>
          </cell>
          <cell r="J128" t="str">
            <v>A</v>
          </cell>
        </row>
        <row r="129">
          <cell r="A129">
            <v>37855</v>
          </cell>
          <cell r="B129" t="str">
            <v>218</v>
          </cell>
          <cell r="C129" t="str">
            <v>SP</v>
          </cell>
          <cell r="D129" t="str">
            <v>9</v>
          </cell>
          <cell r="E129">
            <v>94.67</v>
          </cell>
          <cell r="F129">
            <v>11.09</v>
          </cell>
          <cell r="G129">
            <v>88.04</v>
          </cell>
          <cell r="H129">
            <v>99.02</v>
          </cell>
          <cell r="I129">
            <v>0.08</v>
          </cell>
          <cell r="J129" t="str">
            <v>A</v>
          </cell>
        </row>
        <row r="130">
          <cell r="A130">
            <v>37858</v>
          </cell>
          <cell r="B130" t="str">
            <v>219</v>
          </cell>
          <cell r="C130" t="str">
            <v>RE</v>
          </cell>
          <cell r="D130" t="str">
            <v>27</v>
          </cell>
          <cell r="E130">
            <v>93.04</v>
          </cell>
          <cell r="F130">
            <v>10.69</v>
          </cell>
          <cell r="G130">
            <v>86.53</v>
          </cell>
          <cell r="H130">
            <v>96.88</v>
          </cell>
          <cell r="I130">
            <v>0.09</v>
          </cell>
          <cell r="J130" t="str">
            <v>A</v>
          </cell>
        </row>
        <row r="131">
          <cell r="A131">
            <v>37858</v>
          </cell>
          <cell r="B131" t="str">
            <v>223</v>
          </cell>
          <cell r="C131" t="str">
            <v>SMI</v>
          </cell>
          <cell r="D131" t="str">
            <v>68</v>
          </cell>
          <cell r="E131">
            <v>93.13</v>
          </cell>
          <cell r="F131">
            <v>10.98</v>
          </cell>
          <cell r="G131">
            <v>86.61</v>
          </cell>
          <cell r="H131">
            <v>97.29</v>
          </cell>
          <cell r="I131">
            <v>0.11</v>
          </cell>
          <cell r="J131" t="str">
            <v>A</v>
          </cell>
        </row>
        <row r="132">
          <cell r="A132">
            <v>37860</v>
          </cell>
          <cell r="B132" t="str">
            <v>221</v>
          </cell>
          <cell r="C132" t="str">
            <v>KLS</v>
          </cell>
          <cell r="D132" t="str">
            <v>15</v>
          </cell>
          <cell r="E132">
            <v>94.3</v>
          </cell>
          <cell r="F132">
            <v>8.92</v>
          </cell>
          <cell r="G132">
            <v>87.7</v>
          </cell>
          <cell r="H132">
            <v>96.29</v>
          </cell>
          <cell r="I132">
            <v>0.13</v>
          </cell>
          <cell r="J132" t="str">
            <v>A</v>
          </cell>
        </row>
        <row r="133">
          <cell r="A133">
            <v>37860</v>
          </cell>
          <cell r="B133" t="str">
            <v>222</v>
          </cell>
          <cell r="C133" t="str">
            <v>SP</v>
          </cell>
          <cell r="D133" t="str">
            <v>10</v>
          </cell>
          <cell r="E133">
            <v>95.85</v>
          </cell>
          <cell r="F133">
            <v>9.7799999999999994</v>
          </cell>
          <cell r="G133">
            <v>89.14</v>
          </cell>
          <cell r="H133">
            <v>98.8</v>
          </cell>
          <cell r="I133">
            <v>0.08</v>
          </cell>
          <cell r="J133" t="str">
            <v>A</v>
          </cell>
        </row>
        <row r="134">
          <cell r="A134">
            <v>37861</v>
          </cell>
          <cell r="B134" t="str">
            <v>224</v>
          </cell>
          <cell r="C134" t="str">
            <v>SMI</v>
          </cell>
          <cell r="D134" t="str">
            <v>69</v>
          </cell>
          <cell r="E134">
            <v>94.22</v>
          </cell>
          <cell r="F134">
            <v>10.1</v>
          </cell>
          <cell r="G134">
            <v>87.62</v>
          </cell>
          <cell r="H134">
            <v>97.47</v>
          </cell>
          <cell r="I134">
            <v>0.14000000000000001</v>
          </cell>
          <cell r="J134" t="str">
            <v>A</v>
          </cell>
        </row>
        <row r="135">
          <cell r="A135">
            <v>37863</v>
          </cell>
          <cell r="B135" t="str">
            <v>225</v>
          </cell>
          <cell r="C135" t="str">
            <v>RE</v>
          </cell>
          <cell r="D135" t="str">
            <v>28</v>
          </cell>
          <cell r="E135">
            <v>92.6</v>
          </cell>
          <cell r="F135">
            <v>11.05</v>
          </cell>
          <cell r="G135">
            <v>86.12</v>
          </cell>
          <cell r="H135">
            <v>96.82</v>
          </cell>
          <cell r="I135">
            <v>0.11</v>
          </cell>
          <cell r="J135" t="str">
            <v>A</v>
          </cell>
        </row>
        <row r="136">
          <cell r="A136">
            <v>37863</v>
          </cell>
          <cell r="B136" t="str">
            <v>226</v>
          </cell>
          <cell r="C136" t="str">
            <v>SP</v>
          </cell>
          <cell r="D136" t="str">
            <v>11</v>
          </cell>
          <cell r="E136">
            <v>94.24</v>
          </cell>
          <cell r="F136">
            <v>10.130000000000001</v>
          </cell>
          <cell r="G136">
            <v>87.64</v>
          </cell>
          <cell r="H136">
            <v>97.52</v>
          </cell>
          <cell r="I136">
            <v>7.0000000000000007E-2</v>
          </cell>
          <cell r="J136" t="str">
            <v>A</v>
          </cell>
        </row>
        <row r="137">
          <cell r="A137">
            <v>37863</v>
          </cell>
          <cell r="B137" t="str">
            <v>227</v>
          </cell>
          <cell r="C137" t="str">
            <v>SMI</v>
          </cell>
          <cell r="D137" t="str">
            <v>70</v>
          </cell>
          <cell r="E137">
            <v>94.29</v>
          </cell>
          <cell r="F137">
            <v>10.66</v>
          </cell>
          <cell r="G137">
            <v>87.69</v>
          </cell>
          <cell r="H137">
            <v>98.15</v>
          </cell>
          <cell r="I137">
            <v>0.13</v>
          </cell>
          <cell r="J137" t="str">
            <v>A</v>
          </cell>
        </row>
        <row r="138">
          <cell r="A138">
            <v>37863</v>
          </cell>
          <cell r="B138" t="str">
            <v>228</v>
          </cell>
          <cell r="C138" t="str">
            <v>KLS</v>
          </cell>
          <cell r="D138" t="str">
            <v>16</v>
          </cell>
          <cell r="E138">
            <v>94.25</v>
          </cell>
          <cell r="F138">
            <v>9.36</v>
          </cell>
          <cell r="G138">
            <v>87.65</v>
          </cell>
          <cell r="H138">
            <v>96.7</v>
          </cell>
          <cell r="I138">
            <v>0.14000000000000001</v>
          </cell>
          <cell r="J138" t="str">
            <v>A</v>
          </cell>
        </row>
        <row r="139">
          <cell r="A139">
            <v>37866</v>
          </cell>
          <cell r="B139" t="str">
            <v>229</v>
          </cell>
          <cell r="C139" t="str">
            <v>RE</v>
          </cell>
          <cell r="D139" t="str">
            <v>29</v>
          </cell>
          <cell r="E139">
            <v>94.17</v>
          </cell>
          <cell r="F139">
            <v>11.88</v>
          </cell>
          <cell r="G139">
            <v>87.58</v>
          </cell>
          <cell r="H139">
            <v>99.39</v>
          </cell>
          <cell r="I139">
            <v>0.11</v>
          </cell>
          <cell r="J139" t="str">
            <v>A</v>
          </cell>
        </row>
        <row r="140">
          <cell r="A140">
            <v>37866</v>
          </cell>
          <cell r="B140" t="str">
            <v>230</v>
          </cell>
          <cell r="C140" t="str">
            <v>SMI</v>
          </cell>
          <cell r="D140" t="str">
            <v>71</v>
          </cell>
          <cell r="E140">
            <v>94.27</v>
          </cell>
          <cell r="F140">
            <v>10.95</v>
          </cell>
          <cell r="G140">
            <v>87.67</v>
          </cell>
          <cell r="H140">
            <v>98.45</v>
          </cell>
          <cell r="I140">
            <v>0.13</v>
          </cell>
          <cell r="J140" t="str">
            <v>A</v>
          </cell>
        </row>
        <row r="141">
          <cell r="A141">
            <v>37868</v>
          </cell>
          <cell r="B141" t="str">
            <v>232</v>
          </cell>
          <cell r="C141" t="str">
            <v>SMI</v>
          </cell>
          <cell r="D141" t="str">
            <v>72</v>
          </cell>
          <cell r="E141">
            <v>94.27</v>
          </cell>
          <cell r="F141">
            <v>10.92</v>
          </cell>
          <cell r="G141">
            <v>87.67</v>
          </cell>
          <cell r="H141">
            <v>98.42</v>
          </cell>
          <cell r="I141">
            <v>0.13</v>
          </cell>
          <cell r="J141" t="str">
            <v>A</v>
          </cell>
        </row>
        <row r="142">
          <cell r="A142">
            <v>37869</v>
          </cell>
          <cell r="B142" t="str">
            <v>233</v>
          </cell>
          <cell r="C142" t="str">
            <v>SP</v>
          </cell>
          <cell r="D142" t="str">
            <v>12</v>
          </cell>
          <cell r="E142">
            <v>94.22</v>
          </cell>
          <cell r="F142">
            <v>9.92</v>
          </cell>
          <cell r="G142">
            <v>87.62</v>
          </cell>
          <cell r="H142">
            <v>97.27</v>
          </cell>
          <cell r="I142">
            <v>0.09</v>
          </cell>
          <cell r="J142" t="str">
            <v>A</v>
          </cell>
        </row>
        <row r="143">
          <cell r="A143">
            <v>37869</v>
          </cell>
          <cell r="B143" t="str">
            <v>234</v>
          </cell>
          <cell r="C143" t="str">
            <v>KLS</v>
          </cell>
          <cell r="D143" t="str">
            <v>17</v>
          </cell>
          <cell r="E143">
            <v>94.19</v>
          </cell>
          <cell r="F143">
            <v>9.68</v>
          </cell>
          <cell r="G143">
            <v>87.6</v>
          </cell>
          <cell r="H143">
            <v>96.98</v>
          </cell>
          <cell r="I143">
            <v>0.15</v>
          </cell>
          <cell r="J143" t="str">
            <v>A</v>
          </cell>
        </row>
        <row r="144">
          <cell r="A144">
            <v>37869</v>
          </cell>
          <cell r="B144" t="str">
            <v>235</v>
          </cell>
          <cell r="C144" t="str">
            <v>SMI</v>
          </cell>
          <cell r="D144" t="str">
            <v>73</v>
          </cell>
          <cell r="E144">
            <v>93.4</v>
          </cell>
          <cell r="F144">
            <v>10.48</v>
          </cell>
          <cell r="G144">
            <v>86.86</v>
          </cell>
          <cell r="H144">
            <v>97.03</v>
          </cell>
          <cell r="I144">
            <v>0.15</v>
          </cell>
          <cell r="J144" t="str">
            <v>A</v>
          </cell>
        </row>
        <row r="145">
          <cell r="A145">
            <v>37872</v>
          </cell>
          <cell r="B145" t="str">
            <v>236</v>
          </cell>
          <cell r="C145" t="str">
            <v>KLS</v>
          </cell>
          <cell r="D145" t="str">
            <v>18</v>
          </cell>
          <cell r="E145">
            <v>94.91</v>
          </cell>
          <cell r="F145">
            <v>8.5500000000000007</v>
          </cell>
          <cell r="G145">
            <v>88.27</v>
          </cell>
          <cell r="H145">
            <v>96.52</v>
          </cell>
          <cell r="I145">
            <v>0.15</v>
          </cell>
          <cell r="J145" t="str">
            <v>A</v>
          </cell>
        </row>
        <row r="146">
          <cell r="A146">
            <v>37873</v>
          </cell>
          <cell r="B146" t="str">
            <v>237</v>
          </cell>
          <cell r="C146" t="str">
            <v>SP</v>
          </cell>
          <cell r="D146" t="str">
            <v>13</v>
          </cell>
          <cell r="E146">
            <v>94.89</v>
          </cell>
          <cell r="F146">
            <v>8.9499999999999993</v>
          </cell>
          <cell r="G146">
            <v>88.25</v>
          </cell>
          <cell r="H146">
            <v>96.92</v>
          </cell>
          <cell r="I146">
            <v>0.11</v>
          </cell>
          <cell r="J146" t="str">
            <v>A</v>
          </cell>
        </row>
        <row r="147">
          <cell r="A147">
            <v>37873</v>
          </cell>
          <cell r="B147" t="str">
            <v>238</v>
          </cell>
          <cell r="C147" t="str">
            <v>SMI</v>
          </cell>
          <cell r="D147" t="str">
            <v>74</v>
          </cell>
          <cell r="E147">
            <v>94.87</v>
          </cell>
          <cell r="F147">
            <v>9.3800000000000008</v>
          </cell>
          <cell r="G147">
            <v>88.23</v>
          </cell>
          <cell r="H147">
            <v>97.36</v>
          </cell>
          <cell r="I147">
            <v>0.12</v>
          </cell>
          <cell r="J147" t="str">
            <v>A</v>
          </cell>
        </row>
        <row r="148">
          <cell r="A148">
            <v>37874</v>
          </cell>
          <cell r="B148" t="str">
            <v>231</v>
          </cell>
          <cell r="C148" t="str">
            <v>RE</v>
          </cell>
          <cell r="D148" t="str">
            <v>30</v>
          </cell>
          <cell r="E148">
            <v>93.23</v>
          </cell>
          <cell r="F148">
            <v>10.97</v>
          </cell>
          <cell r="G148">
            <v>86.7</v>
          </cell>
          <cell r="H148">
            <v>97.39</v>
          </cell>
          <cell r="I148">
            <v>0.12</v>
          </cell>
          <cell r="J148" t="str">
            <v>A</v>
          </cell>
        </row>
        <row r="149">
          <cell r="A149">
            <v>37876</v>
          </cell>
          <cell r="B149" t="str">
            <v>240</v>
          </cell>
          <cell r="C149" t="str">
            <v>SMI</v>
          </cell>
          <cell r="D149" t="str">
            <v>75</v>
          </cell>
          <cell r="E149">
            <v>93.24</v>
          </cell>
          <cell r="F149">
            <v>10.78</v>
          </cell>
          <cell r="G149">
            <v>86.71</v>
          </cell>
          <cell r="H149">
            <v>97.19</v>
          </cell>
          <cell r="I149">
            <v>0.13</v>
          </cell>
          <cell r="J149" t="str">
            <v>A</v>
          </cell>
        </row>
        <row r="150">
          <cell r="A150">
            <v>37879</v>
          </cell>
          <cell r="B150" t="str">
            <v>241</v>
          </cell>
          <cell r="C150" t="str">
            <v>SP</v>
          </cell>
          <cell r="D150" t="str">
            <v>14</v>
          </cell>
          <cell r="E150">
            <v>93.2</v>
          </cell>
          <cell r="F150">
            <v>10.95</v>
          </cell>
          <cell r="G150">
            <v>86.68</v>
          </cell>
          <cell r="H150">
            <v>97.33</v>
          </cell>
          <cell r="I150">
            <v>0.1</v>
          </cell>
          <cell r="J150" t="str">
            <v>A</v>
          </cell>
        </row>
        <row r="151">
          <cell r="A151">
            <v>37879</v>
          </cell>
          <cell r="B151" t="str">
            <v>242</v>
          </cell>
          <cell r="C151" t="str">
            <v>RE</v>
          </cell>
          <cell r="D151" t="str">
            <v>31</v>
          </cell>
          <cell r="E151">
            <v>93.24</v>
          </cell>
          <cell r="F151">
            <v>11.45</v>
          </cell>
          <cell r="G151">
            <v>86.71</v>
          </cell>
          <cell r="H151">
            <v>97.93</v>
          </cell>
          <cell r="I151">
            <v>0.09</v>
          </cell>
          <cell r="J151" t="str">
            <v>A</v>
          </cell>
        </row>
        <row r="152">
          <cell r="A152">
            <v>37879</v>
          </cell>
          <cell r="B152" t="str">
            <v>243</v>
          </cell>
          <cell r="C152" t="str">
            <v>SMI</v>
          </cell>
          <cell r="D152" t="str">
            <v>76</v>
          </cell>
          <cell r="E152">
            <v>93.25</v>
          </cell>
          <cell r="F152">
            <v>10.93</v>
          </cell>
          <cell r="G152">
            <v>86.72</v>
          </cell>
          <cell r="H152">
            <v>97.36</v>
          </cell>
          <cell r="I152">
            <v>0.13</v>
          </cell>
          <cell r="J152" t="str">
            <v>A</v>
          </cell>
        </row>
        <row r="153">
          <cell r="A153">
            <v>37880</v>
          </cell>
          <cell r="B153" t="str">
            <v>239</v>
          </cell>
          <cell r="C153" t="str">
            <v>KLS</v>
          </cell>
          <cell r="D153" t="str">
            <v>19</v>
          </cell>
          <cell r="E153">
            <v>94.86</v>
          </cell>
          <cell r="F153">
            <v>8.32</v>
          </cell>
          <cell r="G153">
            <v>88.22</v>
          </cell>
          <cell r="H153">
            <v>96.23</v>
          </cell>
          <cell r="I153">
            <v>0.17</v>
          </cell>
          <cell r="J153" t="str">
            <v>A</v>
          </cell>
        </row>
        <row r="154">
          <cell r="A154">
            <v>37881</v>
          </cell>
          <cell r="B154" t="str">
            <v>244</v>
          </cell>
          <cell r="C154" t="str">
            <v>SMI</v>
          </cell>
          <cell r="D154" t="str">
            <v>77</v>
          </cell>
          <cell r="E154">
            <v>93.25</v>
          </cell>
          <cell r="F154">
            <v>9.93</v>
          </cell>
          <cell r="G154">
            <v>86.72</v>
          </cell>
          <cell r="H154">
            <v>96.28</v>
          </cell>
          <cell r="I154">
            <v>0.15</v>
          </cell>
          <cell r="J154" t="str">
            <v>A</v>
          </cell>
        </row>
        <row r="155">
          <cell r="A155">
            <v>37883</v>
          </cell>
          <cell r="B155" t="str">
            <v>245</v>
          </cell>
          <cell r="C155" t="str">
            <v>RE</v>
          </cell>
          <cell r="D155" t="str">
            <v>32</v>
          </cell>
          <cell r="E155">
            <v>94.13</v>
          </cell>
          <cell r="F155">
            <v>10.42</v>
          </cell>
          <cell r="G155">
            <v>87.54</v>
          </cell>
          <cell r="H155">
            <v>97.72</v>
          </cell>
          <cell r="I155">
            <v>0.16</v>
          </cell>
          <cell r="J155" t="str">
            <v>A</v>
          </cell>
        </row>
        <row r="156">
          <cell r="A156">
            <v>37883</v>
          </cell>
          <cell r="B156" t="str">
            <v>247</v>
          </cell>
          <cell r="C156" t="str">
            <v>SMI</v>
          </cell>
          <cell r="D156" t="str">
            <v>78</v>
          </cell>
          <cell r="E156">
            <v>93.23</v>
          </cell>
          <cell r="F156">
            <v>10.68</v>
          </cell>
          <cell r="G156">
            <v>86.7</v>
          </cell>
          <cell r="H156">
            <v>97.07</v>
          </cell>
          <cell r="I156">
            <v>0.13</v>
          </cell>
          <cell r="J156" t="str">
            <v>A</v>
          </cell>
        </row>
        <row r="157">
          <cell r="A157">
            <v>37886</v>
          </cell>
          <cell r="B157" t="str">
            <v>246</v>
          </cell>
          <cell r="C157" t="str">
            <v>KLS</v>
          </cell>
          <cell r="D157" t="str">
            <v>20</v>
          </cell>
          <cell r="E157">
            <v>93.02</v>
          </cell>
          <cell r="F157">
            <v>12.4</v>
          </cell>
          <cell r="G157">
            <v>86.51</v>
          </cell>
          <cell r="H157">
            <v>98.75</v>
          </cell>
          <cell r="I157">
            <v>0.12</v>
          </cell>
          <cell r="J157" t="str">
            <v>A</v>
          </cell>
        </row>
        <row r="158">
          <cell r="A158">
            <v>37886</v>
          </cell>
          <cell r="B158" t="str">
            <v>248</v>
          </cell>
          <cell r="C158" t="str">
            <v>SMI</v>
          </cell>
          <cell r="D158" t="str">
            <v>79</v>
          </cell>
          <cell r="E158">
            <v>93.08</v>
          </cell>
          <cell r="F158">
            <v>10.81</v>
          </cell>
          <cell r="G158">
            <v>86.56</v>
          </cell>
          <cell r="H158">
            <v>97.06</v>
          </cell>
          <cell r="I158">
            <v>0.11</v>
          </cell>
          <cell r="J158" t="str">
            <v>A</v>
          </cell>
        </row>
        <row r="159">
          <cell r="A159">
            <v>37886</v>
          </cell>
          <cell r="B159" t="str">
            <v>250</v>
          </cell>
          <cell r="C159" t="str">
            <v>SMI</v>
          </cell>
          <cell r="D159" t="str">
            <v>80</v>
          </cell>
          <cell r="E159">
            <v>93.08</v>
          </cell>
          <cell r="F159">
            <v>10.77</v>
          </cell>
          <cell r="G159">
            <v>86.56</v>
          </cell>
          <cell r="H159">
            <v>97.01</v>
          </cell>
          <cell r="I159">
            <v>0.12</v>
          </cell>
          <cell r="J159" t="str">
            <v>A</v>
          </cell>
        </row>
        <row r="160">
          <cell r="A160">
            <v>37887</v>
          </cell>
          <cell r="B160" t="str">
            <v>252</v>
          </cell>
          <cell r="C160" t="str">
            <v>SMI</v>
          </cell>
          <cell r="D160" t="str">
            <v>81</v>
          </cell>
          <cell r="E160">
            <v>94.69</v>
          </cell>
          <cell r="F160">
            <v>8.33</v>
          </cell>
          <cell r="G160">
            <v>88.06</v>
          </cell>
          <cell r="H160">
            <v>96.06</v>
          </cell>
          <cell r="I160">
            <v>0.12</v>
          </cell>
          <cell r="J160" t="str">
            <v>A</v>
          </cell>
        </row>
        <row r="161">
          <cell r="A161">
            <v>37889</v>
          </cell>
          <cell r="B161" t="str">
            <v>249</v>
          </cell>
          <cell r="C161" t="str">
            <v>RE</v>
          </cell>
          <cell r="D161" t="str">
            <v>33</v>
          </cell>
          <cell r="E161">
            <v>93.11</v>
          </cell>
          <cell r="F161">
            <v>10.43</v>
          </cell>
          <cell r="G161">
            <v>86.59</v>
          </cell>
          <cell r="H161">
            <v>96.68</v>
          </cell>
          <cell r="I161">
            <v>0.16</v>
          </cell>
          <cell r="J161" t="str">
            <v>A</v>
          </cell>
        </row>
        <row r="162">
          <cell r="A162">
            <v>37889</v>
          </cell>
          <cell r="B162" t="str">
            <v>251</v>
          </cell>
          <cell r="C162" t="str">
            <v>KLS</v>
          </cell>
          <cell r="D162" t="str">
            <v>21</v>
          </cell>
          <cell r="E162">
            <v>93.02</v>
          </cell>
          <cell r="F162">
            <v>12.16</v>
          </cell>
          <cell r="G162">
            <v>86.51</v>
          </cell>
          <cell r="H162">
            <v>98.48</v>
          </cell>
          <cell r="I162">
            <v>0.13</v>
          </cell>
          <cell r="J162" t="str">
            <v>A</v>
          </cell>
        </row>
        <row r="163">
          <cell r="A163">
            <v>37889</v>
          </cell>
          <cell r="B163" t="str">
            <v>253</v>
          </cell>
          <cell r="C163" t="str">
            <v>SMI</v>
          </cell>
          <cell r="D163" t="str">
            <v>82</v>
          </cell>
          <cell r="E163">
            <v>93.11</v>
          </cell>
          <cell r="F163">
            <v>10.82</v>
          </cell>
          <cell r="G163">
            <v>86.59</v>
          </cell>
          <cell r="H163">
            <v>97.1</v>
          </cell>
          <cell r="I163">
            <v>0.15</v>
          </cell>
          <cell r="J163" t="str">
            <v>A</v>
          </cell>
        </row>
        <row r="164">
          <cell r="A164">
            <v>37893</v>
          </cell>
          <cell r="B164" t="str">
            <v>254</v>
          </cell>
          <cell r="C164" t="str">
            <v>KLS</v>
          </cell>
          <cell r="D164" t="str">
            <v>22</v>
          </cell>
          <cell r="E164">
            <v>93.07</v>
          </cell>
          <cell r="F164">
            <v>12.1</v>
          </cell>
          <cell r="G164">
            <v>86.56</v>
          </cell>
          <cell r="H164">
            <v>98.47</v>
          </cell>
          <cell r="I164">
            <v>0.1</v>
          </cell>
          <cell r="J164" t="str">
            <v>A</v>
          </cell>
        </row>
        <row r="165">
          <cell r="A165">
            <v>37893</v>
          </cell>
          <cell r="B165" t="str">
            <v>255</v>
          </cell>
          <cell r="C165" t="str">
            <v>SMI</v>
          </cell>
          <cell r="D165" t="str">
            <v>83</v>
          </cell>
          <cell r="E165">
            <v>94.77</v>
          </cell>
          <cell r="F165">
            <v>10.88</v>
          </cell>
          <cell r="G165">
            <v>88.14</v>
          </cell>
          <cell r="H165">
            <v>98.9</v>
          </cell>
          <cell r="I165">
            <v>0.17</v>
          </cell>
          <cell r="J165" t="str">
            <v>A</v>
          </cell>
        </row>
        <row r="166">
          <cell r="A166">
            <v>37893</v>
          </cell>
          <cell r="B166" t="str">
            <v>256</v>
          </cell>
          <cell r="C166" t="str">
            <v>RE</v>
          </cell>
          <cell r="D166" t="str">
            <v>34</v>
          </cell>
          <cell r="E166">
            <v>94.67</v>
          </cell>
          <cell r="F166">
            <v>11.43</v>
          </cell>
          <cell r="G166">
            <v>88.04</v>
          </cell>
          <cell r="H166">
            <v>99.41</v>
          </cell>
          <cell r="I166">
            <v>0.1</v>
          </cell>
          <cell r="J166" t="str">
            <v>A</v>
          </cell>
        </row>
        <row r="167">
          <cell r="A167">
            <v>37894</v>
          </cell>
          <cell r="B167" t="str">
            <v>257</v>
          </cell>
          <cell r="C167" t="str">
            <v>RE</v>
          </cell>
          <cell r="D167" t="str">
            <v>35</v>
          </cell>
          <cell r="E167">
            <v>94.38</v>
          </cell>
          <cell r="F167">
            <v>10.72</v>
          </cell>
          <cell r="G167">
            <v>87.77</v>
          </cell>
          <cell r="H167">
            <v>98.31</v>
          </cell>
          <cell r="I167">
            <v>0.12</v>
          </cell>
          <cell r="J167" t="str">
            <v>A</v>
          </cell>
        </row>
        <row r="168">
          <cell r="A168">
            <v>37895</v>
          </cell>
          <cell r="B168" t="str">
            <v>258</v>
          </cell>
          <cell r="C168" t="str">
            <v>KLS</v>
          </cell>
          <cell r="D168" t="str">
            <v>23</v>
          </cell>
          <cell r="E168">
            <v>93.09</v>
          </cell>
          <cell r="F168">
            <v>12.19</v>
          </cell>
          <cell r="G168">
            <v>86.57</v>
          </cell>
          <cell r="H168">
            <v>98.59</v>
          </cell>
          <cell r="I168">
            <v>0.12</v>
          </cell>
          <cell r="J168" t="str">
            <v>A</v>
          </cell>
        </row>
        <row r="169">
          <cell r="A169">
            <v>37895</v>
          </cell>
          <cell r="B169" t="str">
            <v>259</v>
          </cell>
          <cell r="C169" t="str">
            <v>RE</v>
          </cell>
          <cell r="D169" t="str">
            <v>36</v>
          </cell>
          <cell r="E169">
            <v>93.09</v>
          </cell>
          <cell r="F169">
            <v>11.3</v>
          </cell>
          <cell r="G169">
            <v>86.57</v>
          </cell>
          <cell r="H169">
            <v>97.6</v>
          </cell>
          <cell r="I169">
            <v>0.12</v>
          </cell>
          <cell r="J169" t="str">
            <v>A</v>
          </cell>
        </row>
        <row r="170">
          <cell r="A170">
            <v>37895</v>
          </cell>
          <cell r="B170" t="str">
            <v>260</v>
          </cell>
          <cell r="C170" t="str">
            <v>RE</v>
          </cell>
          <cell r="D170" t="str">
            <v>37</v>
          </cell>
          <cell r="E170">
            <v>94.72</v>
          </cell>
          <cell r="F170">
            <v>11.11</v>
          </cell>
          <cell r="G170">
            <v>88.09</v>
          </cell>
          <cell r="H170">
            <v>99.1</v>
          </cell>
          <cell r="I170">
            <v>0.16</v>
          </cell>
          <cell r="J170" t="str">
            <v>A</v>
          </cell>
        </row>
        <row r="171">
          <cell r="A171">
            <v>37900</v>
          </cell>
          <cell r="B171" t="str">
            <v>261</v>
          </cell>
          <cell r="C171" t="str">
            <v>RE</v>
          </cell>
          <cell r="D171" t="str">
            <v>38</v>
          </cell>
          <cell r="E171">
            <v>93.07</v>
          </cell>
          <cell r="F171">
            <v>11.16</v>
          </cell>
          <cell r="G171">
            <v>86.56</v>
          </cell>
          <cell r="H171">
            <v>97.43</v>
          </cell>
          <cell r="I171">
            <v>0.14000000000000001</v>
          </cell>
          <cell r="J171" t="str">
            <v>A</v>
          </cell>
        </row>
        <row r="172">
          <cell r="A172">
            <v>37900</v>
          </cell>
          <cell r="B172" t="str">
            <v>262</v>
          </cell>
          <cell r="C172" t="str">
            <v>KLS</v>
          </cell>
          <cell r="D172" t="str">
            <v>24</v>
          </cell>
          <cell r="E172">
            <v>93.11</v>
          </cell>
          <cell r="F172">
            <v>12.04</v>
          </cell>
          <cell r="G172">
            <v>86.59</v>
          </cell>
          <cell r="H172">
            <v>98.45</v>
          </cell>
          <cell r="I172">
            <v>0.11</v>
          </cell>
          <cell r="J172" t="str">
            <v>A</v>
          </cell>
        </row>
        <row r="173">
          <cell r="A173">
            <v>37903</v>
          </cell>
          <cell r="B173" t="str">
            <v>263</v>
          </cell>
          <cell r="C173" t="str">
            <v>RE</v>
          </cell>
          <cell r="D173" t="str">
            <v>39</v>
          </cell>
          <cell r="E173">
            <v>93.13</v>
          </cell>
          <cell r="F173">
            <v>10.039999999999999</v>
          </cell>
          <cell r="G173">
            <v>86.61</v>
          </cell>
          <cell r="H173">
            <v>96.28</v>
          </cell>
          <cell r="I173">
            <v>0.13</v>
          </cell>
          <cell r="J173" t="str">
            <v>A</v>
          </cell>
        </row>
        <row r="174">
          <cell r="A174">
            <v>37904</v>
          </cell>
          <cell r="B174" t="str">
            <v>264</v>
          </cell>
          <cell r="C174" t="str">
            <v>RE</v>
          </cell>
          <cell r="D174" t="str">
            <v>40</v>
          </cell>
          <cell r="E174">
            <v>93.12</v>
          </cell>
          <cell r="F174">
            <v>12</v>
          </cell>
          <cell r="G174">
            <v>86.6</v>
          </cell>
          <cell r="H174">
            <v>98.41</v>
          </cell>
          <cell r="I174">
            <v>0.12</v>
          </cell>
          <cell r="J174" t="str">
            <v>A</v>
          </cell>
        </row>
        <row r="175">
          <cell r="A175">
            <v>37904</v>
          </cell>
          <cell r="B175" t="str">
            <v>265</v>
          </cell>
          <cell r="C175" t="str">
            <v>SMI</v>
          </cell>
          <cell r="D175" t="str">
            <v>84</v>
          </cell>
          <cell r="E175">
            <v>93.94</v>
          </cell>
          <cell r="F175">
            <v>11.12</v>
          </cell>
          <cell r="G175">
            <v>87.36</v>
          </cell>
          <cell r="H175">
            <v>98.29</v>
          </cell>
          <cell r="I175">
            <v>0.15</v>
          </cell>
          <cell r="J175" t="str">
            <v>A</v>
          </cell>
        </row>
        <row r="176">
          <cell r="A176">
            <v>37904</v>
          </cell>
          <cell r="B176" t="str">
            <v>266</v>
          </cell>
          <cell r="C176" t="str">
            <v>KLS</v>
          </cell>
          <cell r="D176" t="str">
            <v>25</v>
          </cell>
          <cell r="E176">
            <v>93.95</v>
          </cell>
          <cell r="F176">
            <v>10.88</v>
          </cell>
          <cell r="G176">
            <v>87.37</v>
          </cell>
          <cell r="H176">
            <v>98.04</v>
          </cell>
          <cell r="I176">
            <v>0.14000000000000001</v>
          </cell>
          <cell r="J176" t="str">
            <v>A</v>
          </cell>
        </row>
        <row r="177">
          <cell r="A177">
            <v>37908</v>
          </cell>
          <cell r="B177" t="str">
            <v>267</v>
          </cell>
          <cell r="C177" t="str">
            <v>SMI</v>
          </cell>
          <cell r="D177" t="str">
            <v>85</v>
          </cell>
          <cell r="E177">
            <v>93.05</v>
          </cell>
          <cell r="F177">
            <v>10.78</v>
          </cell>
          <cell r="G177">
            <v>86.54</v>
          </cell>
          <cell r="H177">
            <v>96.99</v>
          </cell>
          <cell r="I177">
            <v>0.14000000000000001</v>
          </cell>
          <cell r="J177" t="str">
            <v>A</v>
          </cell>
        </row>
        <row r="178">
          <cell r="A178">
            <v>37908</v>
          </cell>
          <cell r="B178" t="str">
            <v>268</v>
          </cell>
          <cell r="C178" t="str">
            <v>KLS</v>
          </cell>
          <cell r="D178" t="str">
            <v>26</v>
          </cell>
          <cell r="E178">
            <v>94.79</v>
          </cell>
          <cell r="F178">
            <v>10.35</v>
          </cell>
          <cell r="G178">
            <v>88.15</v>
          </cell>
          <cell r="H178">
            <v>98.33</v>
          </cell>
          <cell r="I178">
            <v>0.15</v>
          </cell>
          <cell r="J178" t="str">
            <v>A</v>
          </cell>
        </row>
        <row r="179">
          <cell r="A179">
            <v>37908</v>
          </cell>
          <cell r="B179" t="str">
            <v>269</v>
          </cell>
          <cell r="C179" t="str">
            <v>RE</v>
          </cell>
          <cell r="D179" t="str">
            <v>41</v>
          </cell>
          <cell r="E179">
            <v>93.09</v>
          </cell>
          <cell r="F179">
            <v>11.92</v>
          </cell>
          <cell r="G179">
            <v>86.57</v>
          </cell>
          <cell r="H179">
            <v>98.29</v>
          </cell>
          <cell r="I179">
            <v>0.11</v>
          </cell>
          <cell r="J179" t="str">
            <v>A</v>
          </cell>
        </row>
        <row r="180">
          <cell r="A180">
            <v>37908</v>
          </cell>
          <cell r="B180" t="str">
            <v>270</v>
          </cell>
          <cell r="C180" t="str">
            <v>SMI</v>
          </cell>
          <cell r="D180" t="str">
            <v>86</v>
          </cell>
          <cell r="E180">
            <v>93.11</v>
          </cell>
          <cell r="F180">
            <v>10.84</v>
          </cell>
          <cell r="G180">
            <v>86.59</v>
          </cell>
          <cell r="H180">
            <v>97.12</v>
          </cell>
          <cell r="I180">
            <v>0.12</v>
          </cell>
          <cell r="J180" t="str">
            <v>A</v>
          </cell>
        </row>
        <row r="181">
          <cell r="A181">
            <v>37908</v>
          </cell>
          <cell r="B181" t="str">
            <v>271</v>
          </cell>
          <cell r="C181" t="str">
            <v>KLS</v>
          </cell>
          <cell r="D181" t="str">
            <v>27</v>
          </cell>
          <cell r="E181">
            <v>93.09</v>
          </cell>
          <cell r="F181">
            <v>10.33</v>
          </cell>
          <cell r="G181">
            <v>86.57</v>
          </cell>
          <cell r="H181">
            <v>96.55</v>
          </cell>
          <cell r="I181">
            <v>0.14000000000000001</v>
          </cell>
          <cell r="J181" t="str">
            <v>A</v>
          </cell>
        </row>
        <row r="182">
          <cell r="A182">
            <v>37914</v>
          </cell>
          <cell r="B182" t="str">
            <v>272</v>
          </cell>
          <cell r="C182" t="str">
            <v>KLS</v>
          </cell>
          <cell r="D182" t="str">
            <v>28</v>
          </cell>
          <cell r="E182">
            <v>93.06</v>
          </cell>
          <cell r="F182">
            <v>9.9700000000000006</v>
          </cell>
          <cell r="G182">
            <v>86.55</v>
          </cell>
          <cell r="H182">
            <v>96.13</v>
          </cell>
          <cell r="I182">
            <v>0.15</v>
          </cell>
          <cell r="J182" t="str">
            <v>A</v>
          </cell>
        </row>
        <row r="183">
          <cell r="A183">
            <v>37914</v>
          </cell>
          <cell r="B183" t="str">
            <v>273</v>
          </cell>
          <cell r="C183" t="str">
            <v>SMI</v>
          </cell>
          <cell r="D183" t="str">
            <v>87</v>
          </cell>
          <cell r="E183">
            <v>93.05</v>
          </cell>
          <cell r="F183">
            <v>9.9</v>
          </cell>
          <cell r="G183">
            <v>86.54</v>
          </cell>
          <cell r="H183">
            <v>96.04</v>
          </cell>
          <cell r="I183">
            <v>0.11</v>
          </cell>
          <cell r="J183" t="str">
            <v>A</v>
          </cell>
        </row>
        <row r="184">
          <cell r="A184">
            <v>37914</v>
          </cell>
          <cell r="B184" t="str">
            <v>274</v>
          </cell>
          <cell r="C184" t="str">
            <v>SMI</v>
          </cell>
          <cell r="D184" t="str">
            <v>88</v>
          </cell>
          <cell r="E184">
            <v>93.13</v>
          </cell>
          <cell r="F184">
            <v>9.8000000000000007</v>
          </cell>
          <cell r="G184">
            <v>86.61</v>
          </cell>
          <cell r="H184">
            <v>96.02</v>
          </cell>
          <cell r="I184">
            <v>0.12</v>
          </cell>
          <cell r="J184" t="str">
            <v>A</v>
          </cell>
        </row>
        <row r="185">
          <cell r="A185">
            <v>37916</v>
          </cell>
          <cell r="B185" t="str">
            <v>275</v>
          </cell>
          <cell r="C185" t="str">
            <v>KLS</v>
          </cell>
          <cell r="D185" t="str">
            <v>29</v>
          </cell>
          <cell r="E185">
            <v>93.95</v>
          </cell>
          <cell r="F185">
            <v>9.52</v>
          </cell>
          <cell r="G185">
            <v>87.37</v>
          </cell>
          <cell r="H185">
            <v>96.57</v>
          </cell>
          <cell r="I185">
            <v>0.14000000000000001</v>
          </cell>
          <cell r="J185" t="str">
            <v>A</v>
          </cell>
        </row>
        <row r="186">
          <cell r="A186">
            <v>37916</v>
          </cell>
          <cell r="B186" t="str">
            <v>276</v>
          </cell>
          <cell r="C186" t="str">
            <v>RE</v>
          </cell>
          <cell r="D186" t="str">
            <v>42</v>
          </cell>
          <cell r="E186">
            <v>93.08</v>
          </cell>
          <cell r="F186">
            <v>10.199999999999999</v>
          </cell>
          <cell r="G186">
            <v>86.56</v>
          </cell>
          <cell r="H186">
            <v>96.4</v>
          </cell>
          <cell r="I186">
            <v>0.11</v>
          </cell>
          <cell r="J186" t="str">
            <v>A</v>
          </cell>
        </row>
        <row r="187">
          <cell r="A187">
            <v>37916</v>
          </cell>
          <cell r="B187" t="str">
            <v>277</v>
          </cell>
          <cell r="C187" t="str">
            <v>SMI</v>
          </cell>
          <cell r="D187" t="str">
            <v>89</v>
          </cell>
          <cell r="E187">
            <v>93.1</v>
          </cell>
          <cell r="F187">
            <v>10.14</v>
          </cell>
          <cell r="G187">
            <v>86.58</v>
          </cell>
          <cell r="H187">
            <v>96.35</v>
          </cell>
          <cell r="I187">
            <v>0.11</v>
          </cell>
          <cell r="J187" t="str">
            <v>A</v>
          </cell>
        </row>
        <row r="188">
          <cell r="A188">
            <v>37916</v>
          </cell>
          <cell r="B188" t="str">
            <v>279</v>
          </cell>
          <cell r="C188" t="str">
            <v>KLS</v>
          </cell>
          <cell r="D188" t="str">
            <v>30</v>
          </cell>
          <cell r="E188">
            <v>93.96</v>
          </cell>
          <cell r="F188">
            <v>9.57</v>
          </cell>
          <cell r="G188">
            <v>87.38</v>
          </cell>
          <cell r="H188">
            <v>96.63</v>
          </cell>
          <cell r="I188">
            <v>0.15</v>
          </cell>
          <cell r="J188" t="str">
            <v>A</v>
          </cell>
        </row>
        <row r="189">
          <cell r="A189">
            <v>37923</v>
          </cell>
          <cell r="B189" t="str">
            <v>278</v>
          </cell>
          <cell r="C189" t="str">
            <v>SMI</v>
          </cell>
          <cell r="D189" t="str">
            <v>90</v>
          </cell>
          <cell r="E189">
            <v>95.26</v>
          </cell>
          <cell r="F189">
            <v>10.31</v>
          </cell>
          <cell r="G189">
            <v>88.59</v>
          </cell>
          <cell r="H189">
            <v>98.78</v>
          </cell>
          <cell r="I189">
            <v>0.16</v>
          </cell>
          <cell r="J189" t="str">
            <v>A</v>
          </cell>
        </row>
        <row r="190">
          <cell r="A190">
            <v>37923</v>
          </cell>
          <cell r="B190" t="str">
            <v>281</v>
          </cell>
          <cell r="C190" t="str">
            <v>SMI</v>
          </cell>
          <cell r="D190" t="str">
            <v>91</v>
          </cell>
          <cell r="E190">
            <v>95.32</v>
          </cell>
          <cell r="F190">
            <v>10.36</v>
          </cell>
          <cell r="G190">
            <v>88.65</v>
          </cell>
          <cell r="H190">
            <v>98.89</v>
          </cell>
          <cell r="I190">
            <v>0.19</v>
          </cell>
          <cell r="J190" t="str">
            <v>A</v>
          </cell>
        </row>
        <row r="191">
          <cell r="A191">
            <v>37923</v>
          </cell>
          <cell r="B191" t="str">
            <v>283</v>
          </cell>
          <cell r="C191" t="str">
            <v>SMI</v>
          </cell>
          <cell r="D191" t="str">
            <v>92</v>
          </cell>
          <cell r="E191">
            <v>96.01</v>
          </cell>
          <cell r="F191">
            <v>8.61</v>
          </cell>
          <cell r="G191">
            <v>89.29</v>
          </cell>
          <cell r="H191">
            <v>97.7</v>
          </cell>
          <cell r="I191">
            <v>0.11</v>
          </cell>
          <cell r="J191" t="str">
            <v>A</v>
          </cell>
        </row>
        <row r="192">
          <cell r="A192">
            <v>37924</v>
          </cell>
          <cell r="B192" t="str">
            <v>280</v>
          </cell>
          <cell r="C192" t="str">
            <v>RE</v>
          </cell>
          <cell r="D192" t="str">
            <v>43</v>
          </cell>
          <cell r="E192">
            <v>95.24</v>
          </cell>
          <cell r="F192">
            <v>11.32</v>
          </cell>
          <cell r="G192">
            <v>88.57</v>
          </cell>
          <cell r="H192">
            <v>99.88</v>
          </cell>
          <cell r="I192">
            <v>0.13</v>
          </cell>
          <cell r="J192" t="str">
            <v>A</v>
          </cell>
        </row>
        <row r="193">
          <cell r="A193">
            <v>37924</v>
          </cell>
          <cell r="B193" t="str">
            <v>282</v>
          </cell>
          <cell r="C193" t="str">
            <v>KLS</v>
          </cell>
          <cell r="D193" t="str">
            <v>31</v>
          </cell>
          <cell r="E193">
            <v>95.25</v>
          </cell>
          <cell r="F193">
            <v>10.63</v>
          </cell>
          <cell r="G193">
            <v>88.58</v>
          </cell>
          <cell r="H193">
            <v>99.12</v>
          </cell>
          <cell r="I193">
            <v>0.14000000000000001</v>
          </cell>
          <cell r="J193" t="str">
            <v>A</v>
          </cell>
        </row>
        <row r="194">
          <cell r="A194">
            <v>37924</v>
          </cell>
          <cell r="B194" t="str">
            <v>284</v>
          </cell>
          <cell r="C194" t="str">
            <v>SMI</v>
          </cell>
          <cell r="D194" t="str">
            <v>93</v>
          </cell>
          <cell r="E194">
            <v>95.3</v>
          </cell>
          <cell r="F194">
            <v>9.43</v>
          </cell>
          <cell r="G194">
            <v>88.63</v>
          </cell>
          <cell r="H194">
            <v>97.86</v>
          </cell>
          <cell r="I194">
            <v>0.19</v>
          </cell>
          <cell r="J194" t="str">
            <v>A</v>
          </cell>
        </row>
        <row r="195">
          <cell r="A195">
            <v>37925</v>
          </cell>
          <cell r="B195" t="str">
            <v>285</v>
          </cell>
          <cell r="C195" t="str">
            <v>KLS</v>
          </cell>
          <cell r="D195" t="str">
            <v>32</v>
          </cell>
          <cell r="E195">
            <v>95.33</v>
          </cell>
          <cell r="F195">
            <v>10.119999999999999</v>
          </cell>
          <cell r="G195">
            <v>88.66</v>
          </cell>
          <cell r="H195">
            <v>98.64</v>
          </cell>
          <cell r="I195">
            <v>0.15</v>
          </cell>
          <cell r="J195" t="str">
            <v>A</v>
          </cell>
        </row>
        <row r="196">
          <cell r="A196">
            <v>37925</v>
          </cell>
          <cell r="B196" t="str">
            <v>286</v>
          </cell>
          <cell r="C196" t="str">
            <v>RE</v>
          </cell>
          <cell r="D196" t="str">
            <v>44</v>
          </cell>
          <cell r="E196">
            <v>95.3</v>
          </cell>
          <cell r="F196">
            <v>10.29</v>
          </cell>
          <cell r="G196">
            <v>88.63</v>
          </cell>
          <cell r="H196">
            <v>98.8</v>
          </cell>
          <cell r="I196">
            <v>0.19</v>
          </cell>
          <cell r="J196" t="str">
            <v>A</v>
          </cell>
        </row>
        <row r="197">
          <cell r="A197">
            <v>37925</v>
          </cell>
          <cell r="B197" t="str">
            <v>287</v>
          </cell>
          <cell r="C197" t="str">
            <v>SMI</v>
          </cell>
          <cell r="D197" t="str">
            <v>94</v>
          </cell>
          <cell r="E197">
            <v>95.25</v>
          </cell>
          <cell r="F197">
            <v>10.53</v>
          </cell>
          <cell r="G197">
            <v>88.58</v>
          </cell>
          <cell r="H197">
            <v>99.01</v>
          </cell>
          <cell r="I197">
            <v>0.13</v>
          </cell>
          <cell r="J197" t="str">
            <v>A</v>
          </cell>
        </row>
        <row r="198">
          <cell r="A198">
            <v>37930</v>
          </cell>
          <cell r="B198" t="str">
            <v>288</v>
          </cell>
          <cell r="C198" t="str">
            <v>KLS</v>
          </cell>
          <cell r="D198" t="str">
            <v>33</v>
          </cell>
          <cell r="E198">
            <v>93.61</v>
          </cell>
          <cell r="F198">
            <v>10.42</v>
          </cell>
          <cell r="G198">
            <v>87.06</v>
          </cell>
          <cell r="H198">
            <v>97.18</v>
          </cell>
          <cell r="I198">
            <v>0.17</v>
          </cell>
          <cell r="J198" t="str">
            <v>A</v>
          </cell>
        </row>
        <row r="199">
          <cell r="A199">
            <v>37932</v>
          </cell>
          <cell r="B199" t="str">
            <v>289</v>
          </cell>
          <cell r="C199" t="str">
            <v>SMI</v>
          </cell>
          <cell r="D199" t="str">
            <v>95</v>
          </cell>
          <cell r="E199">
            <v>93.63</v>
          </cell>
          <cell r="F199">
            <v>10.66</v>
          </cell>
          <cell r="G199">
            <v>87.08</v>
          </cell>
          <cell r="H199">
            <v>97.47</v>
          </cell>
          <cell r="I199">
            <v>0.16</v>
          </cell>
          <cell r="J199" t="str">
            <v>A</v>
          </cell>
        </row>
        <row r="200">
          <cell r="A200">
            <v>37932</v>
          </cell>
          <cell r="B200" t="str">
            <v>291</v>
          </cell>
          <cell r="C200" t="str">
            <v>SMI</v>
          </cell>
          <cell r="D200" t="str">
            <v>96</v>
          </cell>
          <cell r="E200">
            <v>93.6</v>
          </cell>
          <cell r="F200">
            <v>10.53</v>
          </cell>
          <cell r="G200">
            <v>87.05</v>
          </cell>
          <cell r="H200">
            <v>97.29</v>
          </cell>
          <cell r="I200">
            <v>0.15</v>
          </cell>
          <cell r="J200" t="str">
            <v>A</v>
          </cell>
        </row>
        <row r="201">
          <cell r="A201">
            <v>37953</v>
          </cell>
          <cell r="B201" t="str">
            <v>290</v>
          </cell>
          <cell r="C201" t="str">
            <v>RE</v>
          </cell>
          <cell r="D201" t="str">
            <v>45</v>
          </cell>
          <cell r="E201">
            <v>93.67</v>
          </cell>
          <cell r="F201">
            <v>10.45</v>
          </cell>
          <cell r="G201">
            <v>87.11</v>
          </cell>
          <cell r="H201">
            <v>97.28</v>
          </cell>
          <cell r="I201">
            <v>0.14000000000000001</v>
          </cell>
          <cell r="J201" t="str">
            <v>A</v>
          </cell>
        </row>
        <row r="202">
          <cell r="A202">
            <v>37953</v>
          </cell>
          <cell r="B202" t="str">
            <v>292</v>
          </cell>
          <cell r="C202" t="str">
            <v>SMI</v>
          </cell>
          <cell r="D202" t="str">
            <v>97</v>
          </cell>
          <cell r="E202">
            <v>93.6</v>
          </cell>
          <cell r="F202">
            <v>11.38</v>
          </cell>
          <cell r="G202">
            <v>87.05</v>
          </cell>
          <cell r="H202">
            <v>98.23</v>
          </cell>
          <cell r="I202">
            <v>0.17</v>
          </cell>
          <cell r="J202" t="str">
            <v>A</v>
          </cell>
        </row>
        <row r="203">
          <cell r="A203">
            <v>37953</v>
          </cell>
          <cell r="B203" t="str">
            <v>293</v>
          </cell>
          <cell r="C203" t="str">
            <v>SMI</v>
          </cell>
          <cell r="D203" t="str">
            <v>98</v>
          </cell>
          <cell r="E203">
            <v>93.67</v>
          </cell>
          <cell r="F203">
            <v>11.31</v>
          </cell>
          <cell r="G203">
            <v>87.11</v>
          </cell>
          <cell r="H203">
            <v>98.22</v>
          </cell>
          <cell r="I203">
            <v>0.14000000000000001</v>
          </cell>
          <cell r="J203" t="str">
            <v>A</v>
          </cell>
        </row>
        <row r="204">
          <cell r="A204">
            <v>37953</v>
          </cell>
          <cell r="B204" t="str">
            <v>294</v>
          </cell>
          <cell r="C204" t="str">
            <v>SMI</v>
          </cell>
          <cell r="D204" t="str">
            <v>99</v>
          </cell>
          <cell r="E204">
            <v>93.61</v>
          </cell>
          <cell r="F204">
            <v>11.12</v>
          </cell>
          <cell r="G204">
            <v>87.06</v>
          </cell>
          <cell r="H204">
            <v>97.95</v>
          </cell>
          <cell r="I204">
            <v>0.16</v>
          </cell>
          <cell r="J204" t="str">
            <v>A</v>
          </cell>
        </row>
        <row r="205">
          <cell r="A205">
            <v>37956</v>
          </cell>
          <cell r="B205" t="str">
            <v>295</v>
          </cell>
          <cell r="C205" t="str">
            <v>SMI</v>
          </cell>
          <cell r="D205" t="str">
            <v>100</v>
          </cell>
          <cell r="E205">
            <v>93.68</v>
          </cell>
          <cell r="F205">
            <v>11.1</v>
          </cell>
          <cell r="G205">
            <v>87.12</v>
          </cell>
          <cell r="H205">
            <v>98</v>
          </cell>
          <cell r="I205">
            <v>0.15</v>
          </cell>
          <cell r="J205" t="str">
            <v>A</v>
          </cell>
        </row>
        <row r="206">
          <cell r="A206">
            <v>37956</v>
          </cell>
          <cell r="B206" t="str">
            <v>296</v>
          </cell>
          <cell r="C206" t="str">
            <v>SMI</v>
          </cell>
          <cell r="D206" t="str">
            <v>101</v>
          </cell>
          <cell r="E206">
            <v>93.64</v>
          </cell>
          <cell r="F206">
            <v>11.13</v>
          </cell>
          <cell r="G206">
            <v>87.09</v>
          </cell>
          <cell r="H206">
            <v>97.99</v>
          </cell>
          <cell r="I206">
            <v>0.17</v>
          </cell>
          <cell r="J206" t="str">
            <v>A</v>
          </cell>
        </row>
        <row r="207">
          <cell r="A207">
            <v>37956</v>
          </cell>
          <cell r="B207" t="str">
            <v>297</v>
          </cell>
          <cell r="C207" t="str">
            <v>SMI</v>
          </cell>
          <cell r="D207" t="str">
            <v>102</v>
          </cell>
          <cell r="E207">
            <v>93.62</v>
          </cell>
          <cell r="F207">
            <v>11.1</v>
          </cell>
          <cell r="G207">
            <v>87.07</v>
          </cell>
          <cell r="H207">
            <v>97.94</v>
          </cell>
          <cell r="I207">
            <v>0.17</v>
          </cell>
          <cell r="J207" t="str">
            <v>A</v>
          </cell>
        </row>
        <row r="208">
          <cell r="A208">
            <v>37958</v>
          </cell>
          <cell r="B208" t="str">
            <v>298</v>
          </cell>
          <cell r="C208" t="str">
            <v>SMI</v>
          </cell>
          <cell r="D208" t="str">
            <v>103</v>
          </cell>
          <cell r="E208">
            <v>93.67</v>
          </cell>
          <cell r="F208">
            <v>10.18</v>
          </cell>
          <cell r="G208">
            <v>87.11</v>
          </cell>
          <cell r="H208">
            <v>96.99</v>
          </cell>
          <cell r="I208">
            <v>0.08</v>
          </cell>
          <cell r="J208" t="str">
            <v>A</v>
          </cell>
        </row>
        <row r="209">
          <cell r="A209">
            <v>37958</v>
          </cell>
          <cell r="B209" t="str">
            <v>301</v>
          </cell>
          <cell r="C209" t="str">
            <v>SMI</v>
          </cell>
          <cell r="D209" t="str">
            <v>104</v>
          </cell>
          <cell r="E209">
            <v>93.67</v>
          </cell>
          <cell r="F209">
            <v>10.06</v>
          </cell>
          <cell r="G209">
            <v>87.11</v>
          </cell>
          <cell r="H209">
            <v>96.86</v>
          </cell>
          <cell r="I209">
            <v>0.11</v>
          </cell>
          <cell r="J209" t="str">
            <v>A</v>
          </cell>
        </row>
        <row r="210">
          <cell r="A210">
            <v>37963</v>
          </cell>
          <cell r="B210" t="str">
            <v>302</v>
          </cell>
          <cell r="C210" t="str">
            <v>SMI</v>
          </cell>
          <cell r="D210" t="str">
            <v>105</v>
          </cell>
          <cell r="E210">
            <v>93.58</v>
          </cell>
          <cell r="F210">
            <v>10.61</v>
          </cell>
          <cell r="G210">
            <v>87.03</v>
          </cell>
          <cell r="H210">
            <v>97.36</v>
          </cell>
          <cell r="I210">
            <v>0.15</v>
          </cell>
          <cell r="J210" t="str">
            <v>A</v>
          </cell>
        </row>
        <row r="211">
          <cell r="A211">
            <v>37964</v>
          </cell>
          <cell r="B211" t="str">
            <v>299</v>
          </cell>
          <cell r="C211" t="str">
            <v>KLS</v>
          </cell>
          <cell r="D211" t="str">
            <v>34</v>
          </cell>
          <cell r="E211">
            <v>93.62</v>
          </cell>
          <cell r="F211">
            <v>10.8</v>
          </cell>
          <cell r="G211">
            <v>87.07</v>
          </cell>
          <cell r="H211">
            <v>97.61</v>
          </cell>
          <cell r="I211">
            <v>0.17</v>
          </cell>
          <cell r="J211" t="str">
            <v>A</v>
          </cell>
        </row>
        <row r="212">
          <cell r="A212">
            <v>37964</v>
          </cell>
          <cell r="B212" t="str">
            <v>303</v>
          </cell>
          <cell r="C212" t="str">
            <v>SMI</v>
          </cell>
          <cell r="D212" t="str">
            <v>106</v>
          </cell>
          <cell r="E212">
            <v>92.69</v>
          </cell>
          <cell r="F212">
            <v>11.06</v>
          </cell>
          <cell r="G212">
            <v>86.2</v>
          </cell>
          <cell r="H212">
            <v>96.92</v>
          </cell>
          <cell r="I212">
            <v>0.13</v>
          </cell>
          <cell r="J212" t="str">
            <v>A</v>
          </cell>
        </row>
        <row r="213">
          <cell r="A213">
            <v>37966</v>
          </cell>
          <cell r="B213" t="str">
            <v>304</v>
          </cell>
          <cell r="C213" t="str">
            <v>SMI</v>
          </cell>
          <cell r="D213" t="str">
            <v>107</v>
          </cell>
          <cell r="E213">
            <v>93.63</v>
          </cell>
          <cell r="F213">
            <v>9.89</v>
          </cell>
          <cell r="G213">
            <v>87.08</v>
          </cell>
          <cell r="H213">
            <v>96.63</v>
          </cell>
          <cell r="I213">
            <v>0.14000000000000001</v>
          </cell>
          <cell r="J213" t="str">
            <v>A</v>
          </cell>
        </row>
        <row r="214">
          <cell r="A214">
            <v>37966</v>
          </cell>
          <cell r="B214" t="str">
            <v>305</v>
          </cell>
          <cell r="C214" t="str">
            <v>SMI</v>
          </cell>
          <cell r="D214" t="str">
            <v>108</v>
          </cell>
          <cell r="E214">
            <v>93.58</v>
          </cell>
          <cell r="F214">
            <v>9.92</v>
          </cell>
          <cell r="G214">
            <v>87.03</v>
          </cell>
          <cell r="H214">
            <v>96.61</v>
          </cell>
          <cell r="I214">
            <v>0.17</v>
          </cell>
          <cell r="J214" t="str">
            <v>A</v>
          </cell>
        </row>
        <row r="215">
          <cell r="A215">
            <v>37970</v>
          </cell>
          <cell r="B215" t="str">
            <v>306</v>
          </cell>
          <cell r="C215" t="str">
            <v>KLS</v>
          </cell>
          <cell r="D215" t="str">
            <v>35</v>
          </cell>
          <cell r="E215">
            <v>93.07</v>
          </cell>
          <cell r="F215">
            <v>11.14</v>
          </cell>
          <cell r="G215">
            <v>86.56</v>
          </cell>
          <cell r="H215">
            <v>97.41</v>
          </cell>
          <cell r="I215">
            <v>0.14000000000000001</v>
          </cell>
          <cell r="J215" t="str">
            <v>A</v>
          </cell>
        </row>
        <row r="216">
          <cell r="A216">
            <v>37970</v>
          </cell>
          <cell r="B216" t="str">
            <v>307</v>
          </cell>
          <cell r="C216" t="str">
            <v>SMI</v>
          </cell>
          <cell r="D216" t="str">
            <v>109</v>
          </cell>
          <cell r="E216">
            <v>93.08</v>
          </cell>
          <cell r="F216">
            <v>11.15</v>
          </cell>
          <cell r="G216">
            <v>86.56</v>
          </cell>
          <cell r="H216">
            <v>97.43</v>
          </cell>
          <cell r="I216">
            <v>0.12</v>
          </cell>
          <cell r="J216" t="str">
            <v>A</v>
          </cell>
        </row>
        <row r="217">
          <cell r="A217">
            <v>37970</v>
          </cell>
          <cell r="B217" t="str">
            <v>308</v>
          </cell>
          <cell r="C217" t="str">
            <v>SMI</v>
          </cell>
          <cell r="D217" t="str">
            <v>110</v>
          </cell>
          <cell r="E217">
            <v>94.8</v>
          </cell>
          <cell r="F217">
            <v>8.99</v>
          </cell>
          <cell r="G217">
            <v>88.16</v>
          </cell>
          <cell r="H217">
            <v>96.87</v>
          </cell>
          <cell r="I217">
            <v>0.09</v>
          </cell>
          <cell r="J217" t="str">
            <v>A</v>
          </cell>
        </row>
        <row r="218">
          <cell r="A218">
            <v>37970</v>
          </cell>
          <cell r="B218" t="str">
            <v>309</v>
          </cell>
          <cell r="C218" t="str">
            <v>SMI</v>
          </cell>
          <cell r="D218" t="str">
            <v>111</v>
          </cell>
          <cell r="E218">
            <v>94.73</v>
          </cell>
          <cell r="F218">
            <v>9.0500000000000007</v>
          </cell>
          <cell r="G218">
            <v>88.1</v>
          </cell>
          <cell r="H218">
            <v>96.87</v>
          </cell>
          <cell r="I218">
            <v>0.16</v>
          </cell>
          <cell r="J218" t="str">
            <v>A</v>
          </cell>
        </row>
        <row r="219">
          <cell r="A219">
            <v>37971</v>
          </cell>
          <cell r="B219" t="str">
            <v>300</v>
          </cell>
          <cell r="C219" t="str">
            <v>RE</v>
          </cell>
          <cell r="D219" t="str">
            <v>46</v>
          </cell>
          <cell r="E219">
            <v>93.04</v>
          </cell>
          <cell r="F219">
            <v>11.27</v>
          </cell>
          <cell r="G219">
            <v>86.53</v>
          </cell>
          <cell r="H219">
            <v>97.52</v>
          </cell>
          <cell r="I219">
            <v>0.15</v>
          </cell>
          <cell r="J219" t="str">
            <v>A</v>
          </cell>
        </row>
        <row r="220">
          <cell r="A220">
            <v>37972</v>
          </cell>
          <cell r="B220" t="str">
            <v>310</v>
          </cell>
          <cell r="C220" t="str">
            <v>SMI</v>
          </cell>
          <cell r="D220" t="str">
            <v>112</v>
          </cell>
          <cell r="E220">
            <v>93.12</v>
          </cell>
          <cell r="F220">
            <v>11.56</v>
          </cell>
          <cell r="G220">
            <v>86.6</v>
          </cell>
          <cell r="H220">
            <v>97.92</v>
          </cell>
          <cell r="I220">
            <v>0.15</v>
          </cell>
          <cell r="J220" t="str">
            <v>A</v>
          </cell>
        </row>
        <row r="221">
          <cell r="A221">
            <v>37973</v>
          </cell>
          <cell r="B221" t="str">
            <v>312</v>
          </cell>
          <cell r="C221" t="str">
            <v>RE</v>
          </cell>
          <cell r="D221" t="str">
            <v>47</v>
          </cell>
          <cell r="E221">
            <v>93.68</v>
          </cell>
          <cell r="F221">
            <v>11.17</v>
          </cell>
          <cell r="G221">
            <v>87.12</v>
          </cell>
          <cell r="H221">
            <v>98.08</v>
          </cell>
          <cell r="I221">
            <v>0.15</v>
          </cell>
          <cell r="J221" t="str">
            <v>A</v>
          </cell>
        </row>
        <row r="222">
          <cell r="A222">
            <v>37978</v>
          </cell>
          <cell r="B222" t="str">
            <v>311</v>
          </cell>
          <cell r="C222" t="str">
            <v>KLS</v>
          </cell>
          <cell r="D222" t="str">
            <v>36</v>
          </cell>
          <cell r="E222">
            <v>93.68</v>
          </cell>
          <cell r="F222">
            <v>10.11</v>
          </cell>
          <cell r="G222">
            <v>87.12</v>
          </cell>
          <cell r="H222">
            <v>96.92</v>
          </cell>
          <cell r="I222">
            <v>0.2</v>
          </cell>
          <cell r="J222" t="str">
            <v>A</v>
          </cell>
        </row>
        <row r="223">
          <cell r="A223">
            <v>37978</v>
          </cell>
          <cell r="B223" t="str">
            <v>313</v>
          </cell>
          <cell r="C223" t="str">
            <v>SMI</v>
          </cell>
          <cell r="D223" t="str">
            <v>113</v>
          </cell>
          <cell r="E223">
            <v>93.64</v>
          </cell>
          <cell r="F223">
            <v>10.34</v>
          </cell>
          <cell r="G223">
            <v>87.09</v>
          </cell>
          <cell r="H223">
            <v>97.13</v>
          </cell>
          <cell r="I223">
            <v>0.16</v>
          </cell>
          <cell r="J223" t="str">
            <v>A</v>
          </cell>
        </row>
        <row r="224">
          <cell r="A224">
            <v>37978</v>
          </cell>
          <cell r="B224" t="str">
            <v>315</v>
          </cell>
          <cell r="C224" t="str">
            <v>RE</v>
          </cell>
          <cell r="D224" t="str">
            <v>48</v>
          </cell>
          <cell r="E224">
            <v>93.62</v>
          </cell>
          <cell r="F224">
            <v>10.09</v>
          </cell>
          <cell r="G224">
            <v>87.07</v>
          </cell>
          <cell r="H224">
            <v>96.84</v>
          </cell>
          <cell r="I224">
            <v>0.11</v>
          </cell>
          <cell r="J224" t="str">
            <v>A</v>
          </cell>
        </row>
        <row r="225">
          <cell r="A225">
            <v>37978</v>
          </cell>
          <cell r="B225" t="str">
            <v>316</v>
          </cell>
          <cell r="C225" t="str">
            <v>SMI</v>
          </cell>
          <cell r="D225" t="str">
            <v>114</v>
          </cell>
          <cell r="E225">
            <v>93.61</v>
          </cell>
          <cell r="F225">
            <v>11.19</v>
          </cell>
          <cell r="G225">
            <v>87.06</v>
          </cell>
          <cell r="H225">
            <v>98.03</v>
          </cell>
          <cell r="I225">
            <v>0.14000000000000001</v>
          </cell>
          <cell r="J225" t="str">
            <v>A</v>
          </cell>
        </row>
        <row r="226">
          <cell r="A226">
            <v>37979</v>
          </cell>
          <cell r="B226" t="str">
            <v>314</v>
          </cell>
          <cell r="C226" t="str">
            <v>PVD</v>
          </cell>
          <cell r="D226" t="str">
            <v>11</v>
          </cell>
          <cell r="E226">
            <v>93.67</v>
          </cell>
          <cell r="F226">
            <v>10.14</v>
          </cell>
          <cell r="G226">
            <v>87.11</v>
          </cell>
          <cell r="H226">
            <v>96.94</v>
          </cell>
          <cell r="I226">
            <v>0.16</v>
          </cell>
          <cell r="J226" t="str">
            <v>A</v>
          </cell>
        </row>
        <row r="227">
          <cell r="A227">
            <v>37979</v>
          </cell>
          <cell r="B227" t="str">
            <v>317</v>
          </cell>
          <cell r="C227" t="str">
            <v>RE</v>
          </cell>
          <cell r="D227" t="str">
            <v>49</v>
          </cell>
          <cell r="E227">
            <v>93.63</v>
          </cell>
          <cell r="F227">
            <v>10.17</v>
          </cell>
          <cell r="G227">
            <v>87.08</v>
          </cell>
          <cell r="H227">
            <v>96.93</v>
          </cell>
          <cell r="I227">
            <v>0.15</v>
          </cell>
          <cell r="J227" t="str">
            <v>A</v>
          </cell>
        </row>
        <row r="228">
          <cell r="A228">
            <v>37979</v>
          </cell>
          <cell r="B228" t="str">
            <v>318</v>
          </cell>
          <cell r="C228" t="str">
            <v>KLS</v>
          </cell>
          <cell r="D228" t="str">
            <v>37</v>
          </cell>
          <cell r="E228">
            <v>94.37</v>
          </cell>
          <cell r="F228">
            <v>9.81</v>
          </cell>
          <cell r="G228">
            <v>87.76</v>
          </cell>
          <cell r="H228">
            <v>97.31</v>
          </cell>
          <cell r="I228">
            <v>0.14000000000000001</v>
          </cell>
          <cell r="J228" t="str">
            <v>A</v>
          </cell>
        </row>
        <row r="229">
          <cell r="A229">
            <v>37981</v>
          </cell>
          <cell r="B229" t="str">
            <v>319</v>
          </cell>
          <cell r="C229" t="str">
            <v>PVD</v>
          </cell>
          <cell r="D229" t="str">
            <v>12</v>
          </cell>
          <cell r="E229">
            <v>94.43</v>
          </cell>
          <cell r="F229">
            <v>9.9499999999999993</v>
          </cell>
          <cell r="G229">
            <v>87.82</v>
          </cell>
          <cell r="H229">
            <v>97.52</v>
          </cell>
          <cell r="I229">
            <v>0.14000000000000001</v>
          </cell>
          <cell r="J229" t="str">
            <v>A</v>
          </cell>
        </row>
        <row r="230">
          <cell r="A230">
            <v>37981</v>
          </cell>
          <cell r="B230" t="str">
            <v>320</v>
          </cell>
          <cell r="C230" t="str">
            <v>RE</v>
          </cell>
          <cell r="D230" t="str">
            <v>50</v>
          </cell>
          <cell r="E230">
            <v>94.43</v>
          </cell>
          <cell r="F230">
            <v>9.89</v>
          </cell>
          <cell r="G230">
            <v>87.82</v>
          </cell>
          <cell r="H230">
            <v>97.46</v>
          </cell>
          <cell r="I230">
            <v>0.14000000000000001</v>
          </cell>
          <cell r="J230" t="str">
            <v>A</v>
          </cell>
        </row>
        <row r="231">
          <cell r="A231">
            <v>37984</v>
          </cell>
          <cell r="B231" t="str">
            <v>321</v>
          </cell>
          <cell r="C231" t="str">
            <v>KLS</v>
          </cell>
          <cell r="D231" t="str">
            <v>38</v>
          </cell>
          <cell r="E231">
            <v>93.63</v>
          </cell>
          <cell r="F231">
            <v>9.93</v>
          </cell>
          <cell r="G231">
            <v>87.08</v>
          </cell>
          <cell r="H231">
            <v>96.68</v>
          </cell>
          <cell r="I231">
            <v>0.16</v>
          </cell>
          <cell r="J231" t="str">
            <v>A</v>
          </cell>
        </row>
        <row r="232">
          <cell r="A232">
            <v>37984</v>
          </cell>
          <cell r="B232" t="str">
            <v>322</v>
          </cell>
          <cell r="C232" t="str">
            <v>PVD</v>
          </cell>
          <cell r="D232" t="str">
            <v>13</v>
          </cell>
          <cell r="E232">
            <v>93.68</v>
          </cell>
          <cell r="F232">
            <v>9.98</v>
          </cell>
          <cell r="G232">
            <v>87.12</v>
          </cell>
          <cell r="H232">
            <v>96.78</v>
          </cell>
          <cell r="I232">
            <v>0.15</v>
          </cell>
          <cell r="J232" t="str">
            <v>A</v>
          </cell>
        </row>
        <row r="233">
          <cell r="A233">
            <v>37984</v>
          </cell>
          <cell r="B233" t="str">
            <v>323</v>
          </cell>
          <cell r="C233" t="str">
            <v>RE</v>
          </cell>
          <cell r="D233" t="str">
            <v>51</v>
          </cell>
          <cell r="E233">
            <v>94.42</v>
          </cell>
          <cell r="F233">
            <v>10.63</v>
          </cell>
          <cell r="G233">
            <v>87.81</v>
          </cell>
          <cell r="H233">
            <v>98.26</v>
          </cell>
          <cell r="I233">
            <v>0.12</v>
          </cell>
          <cell r="J233" t="str">
            <v>A</v>
          </cell>
        </row>
        <row r="234">
          <cell r="A234">
            <v>37984</v>
          </cell>
          <cell r="B234" t="str">
            <v>324</v>
          </cell>
          <cell r="C234" t="str">
            <v>RE</v>
          </cell>
          <cell r="D234" t="str">
            <v>52</v>
          </cell>
          <cell r="E234">
            <v>94.45</v>
          </cell>
          <cell r="F234">
            <v>10.48</v>
          </cell>
          <cell r="G234">
            <v>87.84</v>
          </cell>
          <cell r="H234">
            <v>98.12</v>
          </cell>
          <cell r="I234">
            <v>0.13</v>
          </cell>
          <cell r="J234" t="str">
            <v>A</v>
          </cell>
        </row>
        <row r="235">
          <cell r="A235">
            <v>37985</v>
          </cell>
          <cell r="B235" t="str">
            <v>325</v>
          </cell>
          <cell r="C235" t="str">
            <v>KLS</v>
          </cell>
          <cell r="D235" t="str">
            <v>39</v>
          </cell>
          <cell r="E235">
            <v>93.63</v>
          </cell>
          <cell r="F235">
            <v>10.52</v>
          </cell>
          <cell r="G235">
            <v>87.08</v>
          </cell>
          <cell r="H235">
            <v>97.31</v>
          </cell>
          <cell r="I235">
            <v>0.16</v>
          </cell>
          <cell r="J235" t="str">
            <v>A</v>
          </cell>
        </row>
        <row r="236">
          <cell r="A236">
            <v>37985</v>
          </cell>
          <cell r="B236" t="str">
            <v>326</v>
          </cell>
          <cell r="C236" t="str">
            <v>PVD</v>
          </cell>
          <cell r="D236" t="str">
            <v>14</v>
          </cell>
          <cell r="E236">
            <v>92.75</v>
          </cell>
          <cell r="F236">
            <v>11.41</v>
          </cell>
          <cell r="G236">
            <v>86.26</v>
          </cell>
          <cell r="H236">
            <v>97.37</v>
          </cell>
          <cell r="I236">
            <v>0.15</v>
          </cell>
          <cell r="J236" t="str">
            <v>A</v>
          </cell>
        </row>
        <row r="237">
          <cell r="A237">
            <v>37985</v>
          </cell>
          <cell r="B237" t="str">
            <v>327</v>
          </cell>
          <cell r="C237" t="str">
            <v>RE</v>
          </cell>
          <cell r="D237" t="str">
            <v>53</v>
          </cell>
          <cell r="E237">
            <v>92.75</v>
          </cell>
          <cell r="F237">
            <v>11.51</v>
          </cell>
          <cell r="G237">
            <v>86.26</v>
          </cell>
          <cell r="H237">
            <v>97.48</v>
          </cell>
          <cell r="I237">
            <v>0.16</v>
          </cell>
          <cell r="J237" t="str">
            <v>A</v>
          </cell>
        </row>
        <row r="238">
          <cell r="A238">
            <v>37985</v>
          </cell>
          <cell r="B238" t="str">
            <v>328</v>
          </cell>
          <cell r="C238" t="str">
            <v>PVD</v>
          </cell>
          <cell r="D238" t="str">
            <v>15</v>
          </cell>
          <cell r="E238">
            <v>92.67</v>
          </cell>
          <cell r="F238">
            <v>11.55</v>
          </cell>
          <cell r="G238">
            <v>86.18</v>
          </cell>
          <cell r="H238">
            <v>97.44</v>
          </cell>
          <cell r="I238">
            <v>0.16</v>
          </cell>
          <cell r="J238" t="str">
            <v>A</v>
          </cell>
        </row>
        <row r="239">
          <cell r="A239">
            <v>37995</v>
          </cell>
          <cell r="B239" t="str">
            <v>01</v>
          </cell>
          <cell r="C239" t="str">
            <v>PVD</v>
          </cell>
          <cell r="D239" t="str">
            <v>1</v>
          </cell>
          <cell r="E239">
            <v>93.58</v>
          </cell>
          <cell r="F239">
            <v>11.01</v>
          </cell>
          <cell r="G239">
            <v>87.03</v>
          </cell>
          <cell r="H239">
            <v>97.8</v>
          </cell>
          <cell r="I239">
            <v>7.0000000000000007E-2</v>
          </cell>
          <cell r="J239" t="str">
            <v>A</v>
          </cell>
        </row>
        <row r="240">
          <cell r="A240">
            <v>37995</v>
          </cell>
          <cell r="B240" t="str">
            <v>03</v>
          </cell>
          <cell r="C240" t="str">
            <v>RE</v>
          </cell>
          <cell r="D240" t="str">
            <v>1</v>
          </cell>
          <cell r="E240">
            <v>95.23</v>
          </cell>
          <cell r="F240">
            <v>8.67</v>
          </cell>
          <cell r="G240">
            <v>88.56</v>
          </cell>
          <cell r="H240">
            <v>96.97</v>
          </cell>
          <cell r="I240">
            <v>0.09</v>
          </cell>
          <cell r="J240" t="str">
            <v>A</v>
          </cell>
        </row>
        <row r="241">
          <cell r="A241">
            <v>37998</v>
          </cell>
          <cell r="B241" t="str">
            <v>02</v>
          </cell>
          <cell r="C241" t="str">
            <v>KLS</v>
          </cell>
          <cell r="D241" t="str">
            <v>1</v>
          </cell>
          <cell r="E241">
            <v>93.68</v>
          </cell>
          <cell r="F241">
            <v>11.01</v>
          </cell>
          <cell r="G241">
            <v>87.12</v>
          </cell>
          <cell r="H241">
            <v>97.9</v>
          </cell>
          <cell r="I241">
            <v>0.12</v>
          </cell>
          <cell r="J241" t="str">
            <v>A</v>
          </cell>
        </row>
        <row r="242">
          <cell r="A242">
            <v>37998</v>
          </cell>
          <cell r="B242" t="str">
            <v>05</v>
          </cell>
          <cell r="C242" t="str">
            <v>SM2</v>
          </cell>
          <cell r="D242" t="str">
            <v>1</v>
          </cell>
          <cell r="E242">
            <v>95.3</v>
          </cell>
          <cell r="F242">
            <v>9.58</v>
          </cell>
          <cell r="G242">
            <v>88.63</v>
          </cell>
          <cell r="H242">
            <v>98.02</v>
          </cell>
          <cell r="I242">
            <v>0.13</v>
          </cell>
          <cell r="J242" t="str">
            <v>A</v>
          </cell>
        </row>
        <row r="243">
          <cell r="A243">
            <v>37998</v>
          </cell>
          <cell r="B243" t="str">
            <v>09</v>
          </cell>
          <cell r="C243" t="str">
            <v>SM2</v>
          </cell>
          <cell r="D243" t="str">
            <v>2</v>
          </cell>
          <cell r="E243">
            <v>93.63</v>
          </cell>
          <cell r="F243">
            <v>11.59</v>
          </cell>
          <cell r="G243">
            <v>87.08</v>
          </cell>
          <cell r="H243">
            <v>98.49</v>
          </cell>
          <cell r="I243">
            <v>0.14000000000000001</v>
          </cell>
          <cell r="J243" t="str">
            <v>A</v>
          </cell>
        </row>
        <row r="244">
          <cell r="A244">
            <v>37998</v>
          </cell>
          <cell r="B244" t="str">
            <v>10</v>
          </cell>
          <cell r="C244" t="str">
            <v>SM2</v>
          </cell>
          <cell r="D244" t="str">
            <v>3</v>
          </cell>
          <cell r="E244">
            <v>95.31</v>
          </cell>
          <cell r="F244">
            <v>9.57</v>
          </cell>
          <cell r="G244">
            <v>88.64</v>
          </cell>
          <cell r="H244">
            <v>98.02</v>
          </cell>
          <cell r="I244">
            <v>0.16</v>
          </cell>
          <cell r="J244" t="str">
            <v>A</v>
          </cell>
        </row>
        <row r="245">
          <cell r="A245">
            <v>37998</v>
          </cell>
          <cell r="B245" t="str">
            <v>13</v>
          </cell>
          <cell r="C245" t="str">
            <v>SM2</v>
          </cell>
          <cell r="D245" t="str">
            <v>4</v>
          </cell>
          <cell r="E245">
            <v>92.71</v>
          </cell>
          <cell r="F245">
            <v>11.47</v>
          </cell>
          <cell r="G245">
            <v>86.22</v>
          </cell>
          <cell r="H245">
            <v>97.39</v>
          </cell>
          <cell r="I245">
            <v>0.14000000000000001</v>
          </cell>
          <cell r="J245" t="str">
            <v>A</v>
          </cell>
        </row>
        <row r="246">
          <cell r="A246">
            <v>38000</v>
          </cell>
          <cell r="B246" t="str">
            <v>04</v>
          </cell>
          <cell r="C246" t="str">
            <v>RSM</v>
          </cell>
          <cell r="D246" t="str">
            <v>1</v>
          </cell>
          <cell r="E246">
            <v>92.79</v>
          </cell>
          <cell r="F246">
            <v>11.74</v>
          </cell>
          <cell r="G246">
            <v>86.29</v>
          </cell>
          <cell r="H246">
            <v>97.77</v>
          </cell>
          <cell r="I246">
            <v>0.13</v>
          </cell>
          <cell r="J246" t="str">
            <v>A</v>
          </cell>
        </row>
        <row r="247">
          <cell r="A247">
            <v>38000</v>
          </cell>
          <cell r="B247" t="str">
            <v>11</v>
          </cell>
          <cell r="C247" t="str">
            <v>KLS</v>
          </cell>
          <cell r="D247" t="str">
            <v>2</v>
          </cell>
          <cell r="E247">
            <v>93.68</v>
          </cell>
          <cell r="F247">
            <v>10.8</v>
          </cell>
          <cell r="G247">
            <v>87.12</v>
          </cell>
          <cell r="H247">
            <v>97.67</v>
          </cell>
          <cell r="I247">
            <v>0.14000000000000001</v>
          </cell>
          <cell r="J247" t="str">
            <v>A</v>
          </cell>
        </row>
        <row r="248">
          <cell r="A248">
            <v>38000</v>
          </cell>
          <cell r="B248" t="str">
            <v>14</v>
          </cell>
          <cell r="C248" t="str">
            <v>SM2</v>
          </cell>
          <cell r="D248" t="str">
            <v>5</v>
          </cell>
          <cell r="E248">
            <v>93.66</v>
          </cell>
          <cell r="F248">
            <v>11.87</v>
          </cell>
          <cell r="G248">
            <v>87.1</v>
          </cell>
          <cell r="H248">
            <v>98.84</v>
          </cell>
          <cell r="I248">
            <v>0.13</v>
          </cell>
          <cell r="J248" t="str">
            <v>A</v>
          </cell>
        </row>
        <row r="249">
          <cell r="A249">
            <v>38000</v>
          </cell>
          <cell r="B249" t="str">
            <v>15</v>
          </cell>
          <cell r="C249" t="str">
            <v>SM2</v>
          </cell>
          <cell r="D249" t="str">
            <v>6</v>
          </cell>
          <cell r="E249">
            <v>93.7</v>
          </cell>
          <cell r="F249">
            <v>11.92</v>
          </cell>
          <cell r="G249">
            <v>87.14</v>
          </cell>
          <cell r="H249">
            <v>98.93</v>
          </cell>
          <cell r="I249">
            <v>0.12</v>
          </cell>
          <cell r="J249" t="str">
            <v>A</v>
          </cell>
        </row>
        <row r="250">
          <cell r="A250">
            <v>38001</v>
          </cell>
          <cell r="B250" t="str">
            <v>07</v>
          </cell>
          <cell r="C250" t="str">
            <v>RE</v>
          </cell>
          <cell r="D250" t="str">
            <v>3</v>
          </cell>
          <cell r="E250">
            <v>93.63</v>
          </cell>
          <cell r="F250">
            <v>10.62</v>
          </cell>
          <cell r="G250">
            <v>87.08</v>
          </cell>
          <cell r="H250">
            <v>97.42</v>
          </cell>
          <cell r="I250">
            <v>0.14000000000000001</v>
          </cell>
          <cell r="J250" t="str">
            <v>A</v>
          </cell>
        </row>
        <row r="251">
          <cell r="A251">
            <v>38002</v>
          </cell>
          <cell r="B251" t="str">
            <v>20</v>
          </cell>
          <cell r="C251" t="str">
            <v>SM2</v>
          </cell>
          <cell r="D251" t="str">
            <v>8</v>
          </cell>
          <cell r="E251">
            <v>93.11</v>
          </cell>
          <cell r="F251">
            <v>12.58</v>
          </cell>
          <cell r="G251">
            <v>86.59</v>
          </cell>
          <cell r="H251">
            <v>99.05</v>
          </cell>
          <cell r="I251">
            <v>0.15</v>
          </cell>
          <cell r="J251" t="str">
            <v>A</v>
          </cell>
        </row>
        <row r="252">
          <cell r="A252">
            <v>38002</v>
          </cell>
          <cell r="B252" t="str">
            <v>21</v>
          </cell>
          <cell r="C252" t="str">
            <v>SM2</v>
          </cell>
          <cell r="D252" t="str">
            <v>9</v>
          </cell>
          <cell r="E252">
            <v>93.08</v>
          </cell>
          <cell r="F252">
            <v>12.4</v>
          </cell>
          <cell r="G252">
            <v>86.56</v>
          </cell>
          <cell r="H252">
            <v>98.82</v>
          </cell>
          <cell r="I252">
            <v>0.19</v>
          </cell>
          <cell r="J252" t="str">
            <v>A</v>
          </cell>
        </row>
        <row r="253">
          <cell r="A253">
            <v>38005</v>
          </cell>
          <cell r="B253" t="str">
            <v>06</v>
          </cell>
          <cell r="C253" t="str">
            <v>RE</v>
          </cell>
          <cell r="D253" t="str">
            <v>2</v>
          </cell>
          <cell r="E253">
            <v>94.72</v>
          </cell>
          <cell r="F253">
            <v>9.92</v>
          </cell>
          <cell r="G253">
            <v>88.09</v>
          </cell>
          <cell r="H253">
            <v>97.79</v>
          </cell>
          <cell r="I253">
            <v>0.16</v>
          </cell>
          <cell r="J253" t="str">
            <v>A</v>
          </cell>
        </row>
        <row r="254">
          <cell r="A254">
            <v>38005</v>
          </cell>
          <cell r="B254" t="str">
            <v>17</v>
          </cell>
          <cell r="C254" t="str">
            <v>KLS</v>
          </cell>
          <cell r="D254" t="str">
            <v>3</v>
          </cell>
          <cell r="E254">
            <v>94.79</v>
          </cell>
          <cell r="F254">
            <v>9.19</v>
          </cell>
          <cell r="G254">
            <v>88.15</v>
          </cell>
          <cell r="H254">
            <v>97.08</v>
          </cell>
          <cell r="I254">
            <v>0.1</v>
          </cell>
          <cell r="J254" t="str">
            <v>A</v>
          </cell>
        </row>
        <row r="255">
          <cell r="A255">
            <v>38005</v>
          </cell>
          <cell r="B255" t="str">
            <v>22</v>
          </cell>
          <cell r="C255" t="str">
            <v>SM2</v>
          </cell>
          <cell r="D255" t="str">
            <v>10</v>
          </cell>
          <cell r="E255">
            <v>94.76</v>
          </cell>
          <cell r="F255">
            <v>8.99</v>
          </cell>
          <cell r="G255">
            <v>88.13</v>
          </cell>
          <cell r="H255">
            <v>96.83</v>
          </cell>
          <cell r="I255">
            <v>0.11</v>
          </cell>
          <cell r="J255" t="str">
            <v>A</v>
          </cell>
        </row>
        <row r="256">
          <cell r="A256">
            <v>38005</v>
          </cell>
          <cell r="B256" t="str">
            <v>24</v>
          </cell>
          <cell r="C256" t="str">
            <v>SM2</v>
          </cell>
          <cell r="D256" t="str">
            <v>11</v>
          </cell>
          <cell r="E256">
            <v>94.72</v>
          </cell>
          <cell r="F256">
            <v>8.8000000000000007</v>
          </cell>
          <cell r="G256">
            <v>88.09</v>
          </cell>
          <cell r="H256">
            <v>96.59</v>
          </cell>
          <cell r="I256">
            <v>0.11</v>
          </cell>
          <cell r="J256" t="str">
            <v>A</v>
          </cell>
        </row>
        <row r="257">
          <cell r="A257">
            <v>38007</v>
          </cell>
          <cell r="B257" t="str">
            <v>18</v>
          </cell>
          <cell r="C257" t="str">
            <v>RE</v>
          </cell>
          <cell r="D257" t="str">
            <v>4</v>
          </cell>
          <cell r="E257">
            <v>93.13</v>
          </cell>
          <cell r="F257">
            <v>12.12</v>
          </cell>
          <cell r="G257">
            <v>86.61</v>
          </cell>
          <cell r="H257">
            <v>98.56</v>
          </cell>
          <cell r="I257">
            <v>0.2</v>
          </cell>
          <cell r="J257" t="str">
            <v>A</v>
          </cell>
        </row>
        <row r="258">
          <cell r="A258">
            <v>38007</v>
          </cell>
          <cell r="B258" t="str">
            <v>19</v>
          </cell>
          <cell r="C258" t="str">
            <v>RSM</v>
          </cell>
          <cell r="D258" t="str">
            <v>2</v>
          </cell>
          <cell r="E258">
            <v>93.05</v>
          </cell>
          <cell r="F258">
            <v>11.87</v>
          </cell>
          <cell r="G258">
            <v>86.54</v>
          </cell>
          <cell r="H258">
            <v>98.19</v>
          </cell>
          <cell r="I258">
            <v>0.17</v>
          </cell>
          <cell r="J258" t="str">
            <v>A</v>
          </cell>
        </row>
        <row r="259">
          <cell r="A259">
            <v>38008</v>
          </cell>
          <cell r="B259" t="str">
            <v>12</v>
          </cell>
          <cell r="C259" t="str">
            <v>SMI</v>
          </cell>
          <cell r="D259" t="str">
            <v>1</v>
          </cell>
          <cell r="E259">
            <v>93.11</v>
          </cell>
          <cell r="F259">
            <v>12.54</v>
          </cell>
          <cell r="G259">
            <v>86.59</v>
          </cell>
          <cell r="H259">
            <v>99.01</v>
          </cell>
          <cell r="I259">
            <v>0.14000000000000001</v>
          </cell>
          <cell r="J259" t="str">
            <v>A</v>
          </cell>
        </row>
        <row r="260">
          <cell r="A260">
            <v>38008</v>
          </cell>
          <cell r="B260" t="str">
            <v>16</v>
          </cell>
          <cell r="C260" t="str">
            <v>SM2</v>
          </cell>
          <cell r="D260" t="str">
            <v>7</v>
          </cell>
          <cell r="E260">
            <v>93.13</v>
          </cell>
          <cell r="F260">
            <v>11.95</v>
          </cell>
          <cell r="G260">
            <v>86.61</v>
          </cell>
          <cell r="H260">
            <v>98.37</v>
          </cell>
          <cell r="I260">
            <v>0.18</v>
          </cell>
          <cell r="J260" t="str">
            <v>A</v>
          </cell>
        </row>
        <row r="261">
          <cell r="A261">
            <v>38008</v>
          </cell>
          <cell r="B261" t="str">
            <v>25</v>
          </cell>
          <cell r="C261" t="str">
            <v>RE</v>
          </cell>
          <cell r="D261" t="str">
            <v>5</v>
          </cell>
          <cell r="E261">
            <v>93.06</v>
          </cell>
          <cell r="F261">
            <v>12.09</v>
          </cell>
          <cell r="G261">
            <v>86.55</v>
          </cell>
          <cell r="H261">
            <v>98.45</v>
          </cell>
          <cell r="I261">
            <v>0.17</v>
          </cell>
          <cell r="J261" t="str">
            <v>A</v>
          </cell>
        </row>
        <row r="262">
          <cell r="A262">
            <v>38009</v>
          </cell>
          <cell r="B262" t="str">
            <v>23</v>
          </cell>
          <cell r="C262" t="str">
            <v>KLS</v>
          </cell>
          <cell r="D262" t="str">
            <v>4</v>
          </cell>
          <cell r="E262">
            <v>93.12</v>
          </cell>
          <cell r="F262">
            <v>11.39</v>
          </cell>
          <cell r="G262">
            <v>86.6</v>
          </cell>
          <cell r="H262">
            <v>97.73</v>
          </cell>
          <cell r="I262">
            <v>0.11</v>
          </cell>
          <cell r="J262" t="str">
            <v>A</v>
          </cell>
        </row>
        <row r="263">
          <cell r="A263">
            <v>38009</v>
          </cell>
          <cell r="B263" t="str">
            <v>27</v>
          </cell>
          <cell r="C263" t="str">
            <v>SM2</v>
          </cell>
          <cell r="D263" t="str">
            <v>13</v>
          </cell>
          <cell r="E263">
            <v>93.97</v>
          </cell>
          <cell r="F263">
            <v>10.5</v>
          </cell>
          <cell r="G263">
            <v>87.39</v>
          </cell>
          <cell r="H263">
            <v>97.64</v>
          </cell>
          <cell r="I263">
            <v>0.16</v>
          </cell>
          <cell r="J263" t="str">
            <v>A</v>
          </cell>
        </row>
        <row r="264">
          <cell r="A264">
            <v>38009</v>
          </cell>
          <cell r="B264" t="str">
            <v>28</v>
          </cell>
          <cell r="C264" t="str">
            <v>RE</v>
          </cell>
          <cell r="D264" t="str">
            <v>6</v>
          </cell>
          <cell r="E264">
            <v>93.04</v>
          </cell>
          <cell r="F264">
            <v>11.25</v>
          </cell>
          <cell r="G264">
            <v>86.53</v>
          </cell>
          <cell r="H264">
            <v>97.5</v>
          </cell>
          <cell r="I264">
            <v>0.17</v>
          </cell>
          <cell r="J264" t="str">
            <v>A</v>
          </cell>
        </row>
        <row r="265">
          <cell r="A265">
            <v>38009</v>
          </cell>
          <cell r="B265" t="str">
            <v>30</v>
          </cell>
          <cell r="C265" t="str">
            <v>SM2</v>
          </cell>
          <cell r="D265" t="str">
            <v>14</v>
          </cell>
          <cell r="E265">
            <v>93.03</v>
          </cell>
          <cell r="F265">
            <v>11.63</v>
          </cell>
          <cell r="G265">
            <v>86.52</v>
          </cell>
          <cell r="H265">
            <v>97.9</v>
          </cell>
          <cell r="I265">
            <v>0.12</v>
          </cell>
          <cell r="J265" t="str">
            <v>A</v>
          </cell>
        </row>
        <row r="266">
          <cell r="A266">
            <v>38012</v>
          </cell>
          <cell r="B266" t="str">
            <v>08</v>
          </cell>
          <cell r="C266" t="str">
            <v>PVD</v>
          </cell>
          <cell r="D266" t="str">
            <v>2</v>
          </cell>
          <cell r="E266">
            <v>93.05</v>
          </cell>
          <cell r="F266">
            <v>12.46</v>
          </cell>
          <cell r="G266">
            <v>86.54</v>
          </cell>
          <cell r="H266">
            <v>98.85</v>
          </cell>
          <cell r="I266">
            <v>0.17</v>
          </cell>
          <cell r="J266" t="str">
            <v>A</v>
          </cell>
        </row>
        <row r="267">
          <cell r="A267">
            <v>38012</v>
          </cell>
          <cell r="B267" t="str">
            <v>26</v>
          </cell>
          <cell r="C267" t="str">
            <v>SM2</v>
          </cell>
          <cell r="D267" t="str">
            <v>12</v>
          </cell>
          <cell r="E267">
            <v>93.09</v>
          </cell>
          <cell r="F267">
            <v>11.44</v>
          </cell>
          <cell r="G267">
            <v>86.57</v>
          </cell>
          <cell r="H267">
            <v>97.76</v>
          </cell>
          <cell r="I267">
            <v>0.15</v>
          </cell>
          <cell r="J267" t="str">
            <v>A</v>
          </cell>
        </row>
        <row r="268">
          <cell r="A268">
            <v>38012</v>
          </cell>
          <cell r="B268" t="str">
            <v>34</v>
          </cell>
          <cell r="C268" t="str">
            <v>RE</v>
          </cell>
          <cell r="D268" t="str">
            <v>8</v>
          </cell>
          <cell r="E268">
            <v>91.51</v>
          </cell>
          <cell r="F268">
            <v>13.29</v>
          </cell>
          <cell r="G268">
            <v>85.1</v>
          </cell>
          <cell r="H268">
            <v>98.15</v>
          </cell>
          <cell r="I268">
            <v>0.14000000000000001</v>
          </cell>
          <cell r="J268" t="str">
            <v>A</v>
          </cell>
          <cell r="L268" t="str">
            <v>NCR No.  RM-03/095</v>
          </cell>
        </row>
        <row r="269">
          <cell r="A269">
            <v>38012</v>
          </cell>
          <cell r="B269" t="str">
            <v>35</v>
          </cell>
          <cell r="C269" t="str">
            <v>RE</v>
          </cell>
          <cell r="D269" t="str">
            <v>9</v>
          </cell>
          <cell r="E269">
            <v>93.11</v>
          </cell>
          <cell r="F269">
            <v>11.51</v>
          </cell>
          <cell r="G269">
            <v>86.59</v>
          </cell>
          <cell r="H269">
            <v>97.86</v>
          </cell>
          <cell r="I269">
            <v>0.16</v>
          </cell>
          <cell r="J269" t="str">
            <v>A</v>
          </cell>
        </row>
        <row r="270">
          <cell r="A270">
            <v>38013</v>
          </cell>
          <cell r="B270" t="str">
            <v>39</v>
          </cell>
          <cell r="C270" t="str">
            <v>RE</v>
          </cell>
          <cell r="D270" t="str">
            <v>10</v>
          </cell>
          <cell r="E270">
            <v>93.13</v>
          </cell>
          <cell r="F270">
            <v>12.45</v>
          </cell>
          <cell r="G270">
            <v>86.61</v>
          </cell>
          <cell r="H270">
            <v>98.93</v>
          </cell>
          <cell r="I270">
            <v>0.11</v>
          </cell>
          <cell r="J270" t="str">
            <v>A</v>
          </cell>
        </row>
        <row r="271">
          <cell r="A271">
            <v>38013</v>
          </cell>
          <cell r="B271" t="str">
            <v>40</v>
          </cell>
          <cell r="C271" t="str">
            <v>RE</v>
          </cell>
          <cell r="D271" t="str">
            <v>11</v>
          </cell>
          <cell r="E271">
            <v>93.16</v>
          </cell>
          <cell r="F271">
            <v>12.64</v>
          </cell>
          <cell r="G271">
            <v>86.64</v>
          </cell>
          <cell r="H271">
            <v>99.17</v>
          </cell>
          <cell r="I271">
            <v>0.14000000000000001</v>
          </cell>
          <cell r="J271" t="str">
            <v>A</v>
          </cell>
        </row>
        <row r="272">
          <cell r="A272">
            <v>38014</v>
          </cell>
          <cell r="B272" t="str">
            <v>29</v>
          </cell>
          <cell r="C272" t="str">
            <v>RSM</v>
          </cell>
          <cell r="D272" t="str">
            <v>3</v>
          </cell>
          <cell r="E272">
            <v>93.06</v>
          </cell>
          <cell r="F272">
            <v>11.34</v>
          </cell>
          <cell r="G272">
            <v>86.55</v>
          </cell>
          <cell r="H272">
            <v>97.62</v>
          </cell>
          <cell r="I272">
            <v>0.12</v>
          </cell>
          <cell r="J272" t="str">
            <v>A</v>
          </cell>
        </row>
        <row r="273">
          <cell r="A273">
            <v>38014</v>
          </cell>
          <cell r="B273" t="str">
            <v>33</v>
          </cell>
          <cell r="C273" t="str">
            <v>KLS</v>
          </cell>
          <cell r="D273" t="str">
            <v>5</v>
          </cell>
          <cell r="E273">
            <v>93.08</v>
          </cell>
          <cell r="F273">
            <v>11.13</v>
          </cell>
          <cell r="G273">
            <v>86.56</v>
          </cell>
          <cell r="H273">
            <v>97.41</v>
          </cell>
          <cell r="I273">
            <v>0.15</v>
          </cell>
          <cell r="J273" t="str">
            <v>A</v>
          </cell>
        </row>
        <row r="274">
          <cell r="A274">
            <v>38014</v>
          </cell>
          <cell r="B274" t="str">
            <v>38</v>
          </cell>
          <cell r="C274" t="str">
            <v>PVD</v>
          </cell>
          <cell r="D274" t="str">
            <v>3</v>
          </cell>
          <cell r="E274">
            <v>93.08</v>
          </cell>
          <cell r="F274">
            <v>12.48</v>
          </cell>
          <cell r="G274">
            <v>86.56</v>
          </cell>
          <cell r="H274">
            <v>98.91</v>
          </cell>
          <cell r="I274">
            <v>0.08</v>
          </cell>
          <cell r="J274" t="str">
            <v>A</v>
          </cell>
        </row>
        <row r="275">
          <cell r="A275">
            <v>38014</v>
          </cell>
          <cell r="B275" t="str">
            <v>44</v>
          </cell>
          <cell r="C275" t="str">
            <v>RE</v>
          </cell>
          <cell r="D275" t="str">
            <v>12</v>
          </cell>
          <cell r="E275">
            <v>93.07</v>
          </cell>
          <cell r="F275">
            <v>12.76</v>
          </cell>
          <cell r="G275">
            <v>86.56</v>
          </cell>
          <cell r="H275">
            <v>99.21</v>
          </cell>
          <cell r="I275">
            <v>0.13</v>
          </cell>
          <cell r="J275" t="str">
            <v>A</v>
          </cell>
        </row>
        <row r="276">
          <cell r="A276">
            <v>38015</v>
          </cell>
          <cell r="B276" t="str">
            <v>32</v>
          </cell>
          <cell r="C276" t="str">
            <v>RE</v>
          </cell>
          <cell r="D276" t="str">
            <v>7</v>
          </cell>
          <cell r="E276">
            <v>93.12</v>
          </cell>
          <cell r="F276">
            <v>11.8</v>
          </cell>
          <cell r="G276">
            <v>86.6</v>
          </cell>
          <cell r="H276">
            <v>98.19</v>
          </cell>
          <cell r="I276">
            <v>0.1</v>
          </cell>
          <cell r="J276" t="str">
            <v>A</v>
          </cell>
        </row>
        <row r="277">
          <cell r="A277">
            <v>38016</v>
          </cell>
          <cell r="B277" t="str">
            <v>36</v>
          </cell>
          <cell r="C277" t="str">
            <v>SMI</v>
          </cell>
          <cell r="D277" t="str">
            <v>3</v>
          </cell>
          <cell r="E277">
            <v>93.15</v>
          </cell>
          <cell r="F277">
            <v>11.25</v>
          </cell>
          <cell r="G277">
            <v>86.63</v>
          </cell>
          <cell r="H277">
            <v>97.61</v>
          </cell>
          <cell r="I277">
            <v>0.14000000000000001</v>
          </cell>
          <cell r="J277" t="str">
            <v>A</v>
          </cell>
        </row>
        <row r="278">
          <cell r="A278">
            <v>38016</v>
          </cell>
          <cell r="B278" t="str">
            <v>37</v>
          </cell>
          <cell r="C278" t="str">
            <v>KLS</v>
          </cell>
          <cell r="D278" t="str">
            <v>6</v>
          </cell>
          <cell r="E278">
            <v>93.11</v>
          </cell>
          <cell r="F278">
            <v>11.29</v>
          </cell>
          <cell r="G278">
            <v>86.59</v>
          </cell>
          <cell r="H278">
            <v>97.61</v>
          </cell>
          <cell r="I278">
            <v>0.14000000000000001</v>
          </cell>
          <cell r="J278" t="str">
            <v>A</v>
          </cell>
        </row>
        <row r="279">
          <cell r="A279">
            <v>38016</v>
          </cell>
          <cell r="B279" t="str">
            <v>45</v>
          </cell>
          <cell r="C279" t="str">
            <v>RE</v>
          </cell>
          <cell r="D279" t="str">
            <v>13</v>
          </cell>
          <cell r="E279">
            <v>93.16</v>
          </cell>
          <cell r="F279">
            <v>11.15</v>
          </cell>
          <cell r="G279">
            <v>86.64</v>
          </cell>
          <cell r="H279">
            <v>97.51</v>
          </cell>
          <cell r="I279">
            <v>0.13</v>
          </cell>
          <cell r="J279" t="str">
            <v>A</v>
          </cell>
        </row>
        <row r="280">
          <cell r="A280">
            <v>38017</v>
          </cell>
          <cell r="B280" t="str">
            <v>47</v>
          </cell>
          <cell r="C280" t="str">
            <v>RE</v>
          </cell>
          <cell r="D280" t="str">
            <v>15</v>
          </cell>
          <cell r="E280">
            <v>93.12</v>
          </cell>
          <cell r="F280">
            <v>11.27</v>
          </cell>
          <cell r="G280">
            <v>86.6</v>
          </cell>
          <cell r="H280">
            <v>97.6</v>
          </cell>
          <cell r="I280">
            <v>0.13</v>
          </cell>
          <cell r="J280" t="str">
            <v>A</v>
          </cell>
        </row>
        <row r="281">
          <cell r="A281">
            <v>38017</v>
          </cell>
          <cell r="B281" t="str">
            <v>48</v>
          </cell>
          <cell r="C281" t="str">
            <v>SMI</v>
          </cell>
          <cell r="D281" t="str">
            <v>4</v>
          </cell>
          <cell r="E281">
            <v>93.13</v>
          </cell>
          <cell r="F281">
            <v>11.39</v>
          </cell>
          <cell r="G281">
            <v>86.61</v>
          </cell>
          <cell r="H281">
            <v>97.74</v>
          </cell>
          <cell r="I281">
            <v>0.14000000000000001</v>
          </cell>
          <cell r="J281" t="str">
            <v>A</v>
          </cell>
        </row>
        <row r="282">
          <cell r="A282">
            <v>38017</v>
          </cell>
          <cell r="B282" t="str">
            <v>49</v>
          </cell>
          <cell r="C282" t="str">
            <v>SMI</v>
          </cell>
          <cell r="D282" t="str">
            <v>5</v>
          </cell>
          <cell r="E282">
            <v>93.06</v>
          </cell>
          <cell r="F282">
            <v>11.22</v>
          </cell>
          <cell r="G282">
            <v>86.55</v>
          </cell>
          <cell r="H282">
            <v>97.48</v>
          </cell>
          <cell r="I282">
            <v>0.14000000000000001</v>
          </cell>
          <cell r="J282" t="str">
            <v>A</v>
          </cell>
        </row>
        <row r="283">
          <cell r="A283">
            <v>38017</v>
          </cell>
          <cell r="B283" t="str">
            <v>50</v>
          </cell>
          <cell r="C283" t="str">
            <v>SMI</v>
          </cell>
          <cell r="D283" t="str">
            <v>6</v>
          </cell>
          <cell r="E283">
            <v>93.9</v>
          </cell>
          <cell r="F283">
            <v>11.14</v>
          </cell>
          <cell r="G283">
            <v>87.33</v>
          </cell>
          <cell r="H283">
            <v>98.27</v>
          </cell>
          <cell r="I283">
            <v>0.13</v>
          </cell>
          <cell r="J283" t="str">
            <v>A</v>
          </cell>
        </row>
        <row r="284">
          <cell r="A284">
            <v>38020</v>
          </cell>
          <cell r="B284" t="str">
            <v>31</v>
          </cell>
          <cell r="C284" t="str">
            <v>SMI</v>
          </cell>
          <cell r="D284" t="str">
            <v>2</v>
          </cell>
          <cell r="E284">
            <v>93.03</v>
          </cell>
          <cell r="F284">
            <v>11.42</v>
          </cell>
          <cell r="G284">
            <v>86.52</v>
          </cell>
          <cell r="H284">
            <v>97.67</v>
          </cell>
          <cell r="I284">
            <v>0.13</v>
          </cell>
          <cell r="J284" t="str">
            <v>A</v>
          </cell>
        </row>
        <row r="285">
          <cell r="A285">
            <v>38020</v>
          </cell>
          <cell r="B285" t="str">
            <v>41</v>
          </cell>
          <cell r="C285" t="str">
            <v>PVD</v>
          </cell>
          <cell r="D285" t="str">
            <v>4</v>
          </cell>
          <cell r="E285">
            <v>93.95</v>
          </cell>
          <cell r="F285">
            <v>11.81</v>
          </cell>
          <cell r="G285">
            <v>87.37</v>
          </cell>
          <cell r="H285">
            <v>99.07</v>
          </cell>
          <cell r="I285">
            <v>0.16</v>
          </cell>
          <cell r="J285" t="str">
            <v>A</v>
          </cell>
        </row>
        <row r="286">
          <cell r="A286">
            <v>38020</v>
          </cell>
          <cell r="B286" t="str">
            <v>42</v>
          </cell>
          <cell r="C286" t="str">
            <v>RSM</v>
          </cell>
          <cell r="D286" t="str">
            <v>4</v>
          </cell>
          <cell r="E286">
            <v>94.68</v>
          </cell>
          <cell r="F286">
            <v>9.92</v>
          </cell>
          <cell r="G286">
            <v>88.05</v>
          </cell>
          <cell r="H286">
            <v>97.75</v>
          </cell>
          <cell r="I286">
            <v>0.14000000000000001</v>
          </cell>
          <cell r="J286" t="str">
            <v>A</v>
          </cell>
        </row>
        <row r="287">
          <cell r="A287">
            <v>38020</v>
          </cell>
          <cell r="B287" t="str">
            <v>43</v>
          </cell>
          <cell r="C287" t="str">
            <v>KLS</v>
          </cell>
          <cell r="D287" t="str">
            <v>7</v>
          </cell>
          <cell r="E287">
            <v>94.76</v>
          </cell>
          <cell r="F287">
            <v>10.75</v>
          </cell>
          <cell r="G287">
            <v>88.13</v>
          </cell>
          <cell r="H287">
            <v>98.74</v>
          </cell>
          <cell r="I287">
            <v>0.17</v>
          </cell>
          <cell r="J287" t="str">
            <v>A</v>
          </cell>
        </row>
        <row r="288">
          <cell r="A288">
            <v>38020</v>
          </cell>
          <cell r="B288" t="str">
            <v>46</v>
          </cell>
          <cell r="C288" t="str">
            <v>RE</v>
          </cell>
          <cell r="D288" t="str">
            <v>14</v>
          </cell>
          <cell r="E288">
            <v>93.91</v>
          </cell>
          <cell r="F288">
            <v>12.01</v>
          </cell>
          <cell r="G288">
            <v>87.34</v>
          </cell>
          <cell r="H288">
            <v>99.26</v>
          </cell>
          <cell r="I288">
            <v>7.0000000000000007E-2</v>
          </cell>
          <cell r="J288" t="str">
            <v>A</v>
          </cell>
        </row>
        <row r="289">
          <cell r="A289">
            <v>38022</v>
          </cell>
          <cell r="B289" t="str">
            <v>51</v>
          </cell>
          <cell r="C289" t="str">
            <v>SM2</v>
          </cell>
          <cell r="D289" t="str">
            <v>15</v>
          </cell>
          <cell r="E289">
            <v>93.04</v>
          </cell>
          <cell r="F289">
            <v>11.89</v>
          </cell>
          <cell r="G289">
            <v>86.53</v>
          </cell>
          <cell r="H289">
            <v>98.2</v>
          </cell>
          <cell r="I289">
            <v>0.2</v>
          </cell>
          <cell r="J289" t="str">
            <v>A</v>
          </cell>
        </row>
        <row r="290">
          <cell r="A290">
            <v>38022</v>
          </cell>
          <cell r="B290" t="str">
            <v>53</v>
          </cell>
          <cell r="C290" t="str">
            <v>RE</v>
          </cell>
          <cell r="D290" t="str">
            <v>16</v>
          </cell>
          <cell r="E290">
            <v>94.77</v>
          </cell>
          <cell r="F290">
            <v>9.42</v>
          </cell>
          <cell r="G290">
            <v>88.14</v>
          </cell>
          <cell r="H290">
            <v>97.3</v>
          </cell>
          <cell r="I290">
            <v>0.18</v>
          </cell>
          <cell r="J290" t="str">
            <v>A</v>
          </cell>
        </row>
        <row r="291">
          <cell r="A291">
            <v>38022</v>
          </cell>
          <cell r="B291" t="str">
            <v>55</v>
          </cell>
          <cell r="C291" t="str">
            <v>SM2</v>
          </cell>
          <cell r="D291" t="str">
            <v>16</v>
          </cell>
          <cell r="E291">
            <v>94.74</v>
          </cell>
          <cell r="F291">
            <v>9.33</v>
          </cell>
          <cell r="G291">
            <v>88.11</v>
          </cell>
          <cell r="H291">
            <v>97.17</v>
          </cell>
          <cell r="I291">
            <v>0.17</v>
          </cell>
          <cell r="J291" t="str">
            <v>A</v>
          </cell>
        </row>
        <row r="292">
          <cell r="A292">
            <v>38022</v>
          </cell>
          <cell r="B292" t="str">
            <v>56</v>
          </cell>
          <cell r="C292" t="str">
            <v>SM2</v>
          </cell>
          <cell r="D292" t="str">
            <v>17</v>
          </cell>
          <cell r="E292">
            <v>94.73</v>
          </cell>
          <cell r="F292">
            <v>9.52</v>
          </cell>
          <cell r="G292">
            <v>88.1</v>
          </cell>
          <cell r="H292">
            <v>97.37</v>
          </cell>
          <cell r="I292">
            <v>0.16</v>
          </cell>
          <cell r="J292" t="str">
            <v>A</v>
          </cell>
        </row>
        <row r="293">
          <cell r="A293">
            <v>38023</v>
          </cell>
          <cell r="B293" t="str">
            <v>57</v>
          </cell>
          <cell r="C293" t="str">
            <v>SM2</v>
          </cell>
          <cell r="D293" t="str">
            <v>18</v>
          </cell>
          <cell r="E293">
            <v>94.76</v>
          </cell>
          <cell r="F293">
            <v>10.79</v>
          </cell>
          <cell r="G293">
            <v>88.13</v>
          </cell>
          <cell r="H293">
            <v>98.79</v>
          </cell>
          <cell r="I293">
            <v>0.11</v>
          </cell>
          <cell r="J293" t="str">
            <v>A</v>
          </cell>
        </row>
        <row r="294">
          <cell r="A294">
            <v>38026</v>
          </cell>
          <cell r="B294" t="str">
            <v>58</v>
          </cell>
          <cell r="C294" t="str">
            <v>RE</v>
          </cell>
          <cell r="D294" t="str">
            <v>17</v>
          </cell>
          <cell r="E294">
            <v>93.14</v>
          </cell>
          <cell r="F294">
            <v>11.49</v>
          </cell>
          <cell r="G294">
            <v>86.62</v>
          </cell>
          <cell r="H294">
            <v>97.86</v>
          </cell>
          <cell r="I294">
            <v>0.17</v>
          </cell>
          <cell r="J294" t="str">
            <v>A</v>
          </cell>
        </row>
        <row r="295">
          <cell r="A295">
            <v>38026</v>
          </cell>
          <cell r="B295" t="str">
            <v>59</v>
          </cell>
          <cell r="C295" t="str">
            <v>SM2</v>
          </cell>
          <cell r="D295" t="str">
            <v>19</v>
          </cell>
          <cell r="E295">
            <v>93.04</v>
          </cell>
          <cell r="F295">
            <v>12.38</v>
          </cell>
          <cell r="G295">
            <v>86.53</v>
          </cell>
          <cell r="H295">
            <v>98.75</v>
          </cell>
          <cell r="I295">
            <v>0.2</v>
          </cell>
          <cell r="J295" t="str">
            <v>A</v>
          </cell>
        </row>
        <row r="296">
          <cell r="A296">
            <v>38027</v>
          </cell>
          <cell r="B296" t="str">
            <v>60</v>
          </cell>
          <cell r="C296" t="str">
            <v>KLS</v>
          </cell>
          <cell r="D296" t="str">
            <v>8</v>
          </cell>
          <cell r="E296">
            <v>93.06</v>
          </cell>
          <cell r="F296">
            <v>12.86</v>
          </cell>
          <cell r="G296">
            <v>86.55</v>
          </cell>
          <cell r="H296">
            <v>99.32</v>
          </cell>
          <cell r="I296">
            <v>0.15</v>
          </cell>
          <cell r="J296" t="str">
            <v>A</v>
          </cell>
        </row>
        <row r="297">
          <cell r="A297">
            <v>38027</v>
          </cell>
          <cell r="B297" t="str">
            <v>61</v>
          </cell>
          <cell r="C297" t="str">
            <v>RSM</v>
          </cell>
          <cell r="D297" t="str">
            <v>5</v>
          </cell>
          <cell r="E297">
            <v>93.1</v>
          </cell>
          <cell r="F297">
            <v>12.77</v>
          </cell>
          <cell r="G297">
            <v>86.58</v>
          </cell>
          <cell r="H297">
            <v>99.26</v>
          </cell>
          <cell r="I297">
            <v>0.11</v>
          </cell>
          <cell r="J297" t="str">
            <v>A</v>
          </cell>
        </row>
        <row r="298">
          <cell r="A298">
            <v>38027</v>
          </cell>
          <cell r="B298" t="str">
            <v>64</v>
          </cell>
          <cell r="C298" t="str">
            <v>SMI</v>
          </cell>
          <cell r="D298" t="str">
            <v>8</v>
          </cell>
          <cell r="E298">
            <v>94.7</v>
          </cell>
          <cell r="F298">
            <v>10.8</v>
          </cell>
          <cell r="G298">
            <v>88.07</v>
          </cell>
          <cell r="H298">
            <v>98.73</v>
          </cell>
          <cell r="I298">
            <v>0.16</v>
          </cell>
          <cell r="J298" t="str">
            <v>A</v>
          </cell>
        </row>
        <row r="299">
          <cell r="A299">
            <v>38028</v>
          </cell>
          <cell r="B299" t="str">
            <v>68</v>
          </cell>
          <cell r="C299" t="str">
            <v>SM2</v>
          </cell>
          <cell r="D299" t="str">
            <v>21</v>
          </cell>
          <cell r="E299">
            <v>93.08</v>
          </cell>
          <cell r="F299">
            <v>12.33</v>
          </cell>
          <cell r="G299">
            <v>86.56</v>
          </cell>
          <cell r="H299">
            <v>98.74</v>
          </cell>
          <cell r="I299">
            <v>0.16</v>
          </cell>
          <cell r="J299" t="str">
            <v>A</v>
          </cell>
        </row>
        <row r="300">
          <cell r="A300">
            <v>38029</v>
          </cell>
          <cell r="B300" t="str">
            <v>70</v>
          </cell>
          <cell r="C300" t="str">
            <v>SM2</v>
          </cell>
          <cell r="D300" t="str">
            <v>22</v>
          </cell>
          <cell r="E300">
            <v>94.76</v>
          </cell>
          <cell r="F300">
            <v>10.18</v>
          </cell>
          <cell r="G300">
            <v>88.13</v>
          </cell>
          <cell r="H300">
            <v>98.11</v>
          </cell>
          <cell r="I300">
            <v>0.1</v>
          </cell>
          <cell r="J300" t="str">
            <v>A</v>
          </cell>
        </row>
        <row r="301">
          <cell r="A301">
            <v>38033</v>
          </cell>
          <cell r="B301" t="str">
            <v>63</v>
          </cell>
          <cell r="C301" t="str">
            <v>RE</v>
          </cell>
          <cell r="D301" t="str">
            <v>18</v>
          </cell>
          <cell r="E301">
            <v>93.12</v>
          </cell>
          <cell r="F301">
            <v>12.5</v>
          </cell>
          <cell r="G301">
            <v>86.6</v>
          </cell>
          <cell r="H301">
            <v>98.97</v>
          </cell>
          <cell r="I301">
            <v>0.13</v>
          </cell>
          <cell r="J301" t="str">
            <v>A</v>
          </cell>
        </row>
        <row r="302">
          <cell r="A302">
            <v>38033</v>
          </cell>
          <cell r="B302" t="str">
            <v>66</v>
          </cell>
          <cell r="C302" t="str">
            <v>RSM</v>
          </cell>
          <cell r="D302" t="str">
            <v>6</v>
          </cell>
          <cell r="E302">
            <v>93.1</v>
          </cell>
          <cell r="F302">
            <v>10.86</v>
          </cell>
          <cell r="G302">
            <v>86.58</v>
          </cell>
          <cell r="H302">
            <v>97.13</v>
          </cell>
          <cell r="I302">
            <v>0.12</v>
          </cell>
          <cell r="J302" t="str">
            <v>A</v>
          </cell>
        </row>
        <row r="303">
          <cell r="A303">
            <v>38033</v>
          </cell>
          <cell r="B303" t="str">
            <v>67</v>
          </cell>
          <cell r="C303" t="str">
            <v>KLS</v>
          </cell>
          <cell r="D303" t="str">
            <v>9</v>
          </cell>
          <cell r="E303">
            <v>93.12</v>
          </cell>
          <cell r="F303">
            <v>12.59</v>
          </cell>
          <cell r="G303">
            <v>86.6</v>
          </cell>
          <cell r="H303">
            <v>99.08</v>
          </cell>
          <cell r="I303">
            <v>0.12</v>
          </cell>
          <cell r="J303" t="str">
            <v>A</v>
          </cell>
        </row>
        <row r="304">
          <cell r="A304">
            <v>38035</v>
          </cell>
          <cell r="B304" t="str">
            <v>62</v>
          </cell>
          <cell r="C304" t="str">
            <v>PVD</v>
          </cell>
          <cell r="D304" t="str">
            <v>5</v>
          </cell>
          <cell r="E304">
            <v>93.08</v>
          </cell>
          <cell r="F304">
            <v>12.53</v>
          </cell>
          <cell r="G304">
            <v>86.56</v>
          </cell>
          <cell r="H304">
            <v>98.96</v>
          </cell>
          <cell r="I304">
            <v>0.17</v>
          </cell>
          <cell r="J304" t="str">
            <v>A</v>
          </cell>
        </row>
        <row r="305">
          <cell r="A305">
            <v>38036</v>
          </cell>
          <cell r="B305" t="str">
            <v>54</v>
          </cell>
          <cell r="C305" t="str">
            <v>PVD</v>
          </cell>
          <cell r="D305" t="str">
            <v>7</v>
          </cell>
          <cell r="E305">
            <v>93.06</v>
          </cell>
          <cell r="F305">
            <v>11.23</v>
          </cell>
          <cell r="G305">
            <v>86.55</v>
          </cell>
          <cell r="H305">
            <v>97.49</v>
          </cell>
          <cell r="I305">
            <v>0.14000000000000001</v>
          </cell>
          <cell r="J305" t="str">
            <v>A</v>
          </cell>
        </row>
        <row r="306">
          <cell r="A306">
            <v>38036</v>
          </cell>
          <cell r="B306" t="str">
            <v>69</v>
          </cell>
          <cell r="C306" t="str">
            <v>RE</v>
          </cell>
          <cell r="D306" t="str">
            <v>19</v>
          </cell>
          <cell r="E306">
            <v>93.11</v>
          </cell>
          <cell r="F306">
            <v>12.01</v>
          </cell>
          <cell r="G306">
            <v>86.59</v>
          </cell>
          <cell r="H306">
            <v>98.41</v>
          </cell>
          <cell r="I306">
            <v>0.14000000000000001</v>
          </cell>
          <cell r="J306" t="str">
            <v>A</v>
          </cell>
        </row>
        <row r="307">
          <cell r="A307">
            <v>38036</v>
          </cell>
          <cell r="B307" t="str">
            <v>74</v>
          </cell>
          <cell r="C307" t="str">
            <v>SM2</v>
          </cell>
          <cell r="D307" t="str">
            <v>23</v>
          </cell>
          <cell r="E307">
            <v>93.01</v>
          </cell>
          <cell r="F307">
            <v>11.21</v>
          </cell>
          <cell r="G307">
            <v>86.5</v>
          </cell>
          <cell r="H307">
            <v>97.42</v>
          </cell>
          <cell r="I307">
            <v>0.14000000000000001</v>
          </cell>
          <cell r="J307" t="str">
            <v>A</v>
          </cell>
        </row>
        <row r="308">
          <cell r="A308">
            <v>38040</v>
          </cell>
          <cell r="B308" t="str">
            <v>65</v>
          </cell>
          <cell r="C308" t="str">
            <v>SM2</v>
          </cell>
          <cell r="D308" t="str">
            <v>20</v>
          </cell>
          <cell r="E308">
            <v>94.8</v>
          </cell>
          <cell r="F308">
            <v>10.67</v>
          </cell>
          <cell r="G308">
            <v>88.16</v>
          </cell>
          <cell r="H308">
            <v>98.69</v>
          </cell>
          <cell r="I308">
            <v>0.11</v>
          </cell>
          <cell r="J308" t="str">
            <v>A</v>
          </cell>
        </row>
        <row r="309">
          <cell r="A309">
            <v>38040</v>
          </cell>
          <cell r="B309" t="str">
            <v>73</v>
          </cell>
          <cell r="C309" t="str">
            <v>RSM</v>
          </cell>
          <cell r="D309" t="str">
            <v>7</v>
          </cell>
          <cell r="E309">
            <v>93.89</v>
          </cell>
          <cell r="F309">
            <v>10.66</v>
          </cell>
          <cell r="G309">
            <v>87.32</v>
          </cell>
          <cell r="H309">
            <v>97.74</v>
          </cell>
          <cell r="I309">
            <v>0.12</v>
          </cell>
          <cell r="J309" t="str">
            <v>A</v>
          </cell>
        </row>
        <row r="310">
          <cell r="A310">
            <v>38040</v>
          </cell>
          <cell r="B310" t="str">
            <v>75</v>
          </cell>
          <cell r="C310" t="str">
            <v>PVD</v>
          </cell>
          <cell r="D310" t="str">
            <v>6</v>
          </cell>
          <cell r="E310">
            <v>93.09</v>
          </cell>
          <cell r="F310">
            <v>12.33</v>
          </cell>
          <cell r="G310">
            <v>86.57</v>
          </cell>
          <cell r="H310">
            <v>98.75</v>
          </cell>
          <cell r="I310">
            <v>0.12</v>
          </cell>
          <cell r="J310" t="str">
            <v>A</v>
          </cell>
        </row>
        <row r="311">
          <cell r="A311">
            <v>38040</v>
          </cell>
          <cell r="B311" t="str">
            <v>76</v>
          </cell>
          <cell r="C311" t="str">
            <v>PVD</v>
          </cell>
          <cell r="D311" t="str">
            <v>8</v>
          </cell>
          <cell r="E311">
            <v>93.09</v>
          </cell>
          <cell r="F311">
            <v>12.35</v>
          </cell>
          <cell r="G311">
            <v>86.57</v>
          </cell>
          <cell r="H311">
            <v>98.77</v>
          </cell>
          <cell r="I311">
            <v>0.14000000000000001</v>
          </cell>
          <cell r="J311" t="str">
            <v>A</v>
          </cell>
        </row>
        <row r="312">
          <cell r="A312">
            <v>38041</v>
          </cell>
          <cell r="B312" t="str">
            <v>79</v>
          </cell>
          <cell r="C312" t="str">
            <v>RSM</v>
          </cell>
          <cell r="D312" t="str">
            <v>8</v>
          </cell>
          <cell r="E312">
            <v>93.02</v>
          </cell>
          <cell r="F312">
            <v>11.45</v>
          </cell>
          <cell r="G312">
            <v>86.51</v>
          </cell>
          <cell r="H312">
            <v>97.69</v>
          </cell>
          <cell r="I312">
            <v>0.12</v>
          </cell>
          <cell r="J312" t="str">
            <v>A</v>
          </cell>
        </row>
        <row r="313">
          <cell r="A313">
            <v>38042</v>
          </cell>
          <cell r="B313" t="str">
            <v>71</v>
          </cell>
          <cell r="C313" t="str">
            <v>SMI</v>
          </cell>
          <cell r="D313" t="str">
            <v>9</v>
          </cell>
          <cell r="E313">
            <v>93.09</v>
          </cell>
          <cell r="F313">
            <v>11.43</v>
          </cell>
          <cell r="G313">
            <v>86.57</v>
          </cell>
          <cell r="H313">
            <v>97.75</v>
          </cell>
          <cell r="I313">
            <v>0.16</v>
          </cell>
          <cell r="J313" t="str">
            <v>A</v>
          </cell>
        </row>
        <row r="314">
          <cell r="A314">
            <v>38042</v>
          </cell>
          <cell r="B314" t="str">
            <v>72</v>
          </cell>
          <cell r="C314" t="str">
            <v>RE</v>
          </cell>
          <cell r="D314" t="str">
            <v>20</v>
          </cell>
          <cell r="E314">
            <v>93.12</v>
          </cell>
          <cell r="F314">
            <v>12.4</v>
          </cell>
          <cell r="G314">
            <v>86.6</v>
          </cell>
          <cell r="H314">
            <v>98.86</v>
          </cell>
          <cell r="I314">
            <v>0.18</v>
          </cell>
          <cell r="J314" t="str">
            <v>A</v>
          </cell>
        </row>
        <row r="315">
          <cell r="A315">
            <v>38042</v>
          </cell>
          <cell r="B315" t="str">
            <v>78</v>
          </cell>
          <cell r="C315" t="str">
            <v>PVD</v>
          </cell>
          <cell r="D315" t="str">
            <v>9</v>
          </cell>
          <cell r="E315">
            <v>93.08</v>
          </cell>
          <cell r="F315">
            <v>12.58</v>
          </cell>
          <cell r="G315">
            <v>86.56</v>
          </cell>
          <cell r="H315">
            <v>99.02</v>
          </cell>
          <cell r="I315">
            <v>0.17</v>
          </cell>
          <cell r="J315" t="str">
            <v>A</v>
          </cell>
        </row>
        <row r="316">
          <cell r="A316">
            <v>38044</v>
          </cell>
          <cell r="B316" t="str">
            <v>83</v>
          </cell>
          <cell r="C316" t="str">
            <v>RE</v>
          </cell>
          <cell r="D316" t="str">
            <v>23</v>
          </cell>
          <cell r="E316">
            <v>93.11</v>
          </cell>
          <cell r="F316">
            <v>11.76</v>
          </cell>
          <cell r="G316">
            <v>86.59</v>
          </cell>
          <cell r="H316">
            <v>98.13</v>
          </cell>
          <cell r="I316">
            <v>0.14000000000000001</v>
          </cell>
          <cell r="J316" t="str">
            <v>A</v>
          </cell>
        </row>
        <row r="317">
          <cell r="A317">
            <v>38047</v>
          </cell>
          <cell r="B317" t="str">
            <v>82</v>
          </cell>
          <cell r="C317" t="str">
            <v>SM2</v>
          </cell>
          <cell r="D317" t="str">
            <v>25</v>
          </cell>
          <cell r="E317">
            <v>93.07</v>
          </cell>
          <cell r="F317">
            <v>12.66</v>
          </cell>
          <cell r="G317">
            <v>86.56</v>
          </cell>
          <cell r="H317">
            <v>99.1</v>
          </cell>
          <cell r="I317">
            <v>0.16</v>
          </cell>
          <cell r="J317" t="str">
            <v>A</v>
          </cell>
        </row>
        <row r="318">
          <cell r="A318">
            <v>38047</v>
          </cell>
          <cell r="B318" t="str">
            <v>85</v>
          </cell>
          <cell r="C318" t="str">
            <v>RE</v>
          </cell>
          <cell r="D318" t="str">
            <v>24</v>
          </cell>
          <cell r="E318">
            <v>93.04</v>
          </cell>
          <cell r="F318">
            <v>11.42</v>
          </cell>
          <cell r="G318">
            <v>86.53</v>
          </cell>
          <cell r="H318">
            <v>97.68</v>
          </cell>
          <cell r="I318">
            <v>0.17</v>
          </cell>
          <cell r="J318" t="str">
            <v>A</v>
          </cell>
        </row>
        <row r="319">
          <cell r="A319">
            <v>38048</v>
          </cell>
          <cell r="B319" t="str">
            <v>52</v>
          </cell>
          <cell r="C319" t="str">
            <v>SMI</v>
          </cell>
          <cell r="D319" t="str">
            <v>7</v>
          </cell>
          <cell r="E319">
            <v>93.1</v>
          </cell>
          <cell r="F319">
            <v>12.72</v>
          </cell>
          <cell r="G319">
            <v>86.58</v>
          </cell>
          <cell r="H319">
            <v>99.2</v>
          </cell>
          <cell r="I319">
            <v>0.14000000000000001</v>
          </cell>
          <cell r="J319" t="str">
            <v>A</v>
          </cell>
        </row>
        <row r="320">
          <cell r="A320">
            <v>38048</v>
          </cell>
          <cell r="B320" t="str">
            <v>77</v>
          </cell>
          <cell r="C320" t="str">
            <v>RE</v>
          </cell>
          <cell r="D320" t="str">
            <v>21</v>
          </cell>
          <cell r="E320">
            <v>93.2</v>
          </cell>
          <cell r="F320">
            <v>12.65</v>
          </cell>
          <cell r="G320">
            <v>86.68</v>
          </cell>
          <cell r="H320">
            <v>99.23</v>
          </cell>
          <cell r="I320">
            <v>0.15</v>
          </cell>
          <cell r="J320" t="str">
            <v>A</v>
          </cell>
        </row>
        <row r="321">
          <cell r="A321">
            <v>38048</v>
          </cell>
          <cell r="B321" t="str">
            <v>80</v>
          </cell>
          <cell r="C321" t="str">
            <v>RE</v>
          </cell>
          <cell r="D321" t="str">
            <v>22</v>
          </cell>
          <cell r="E321">
            <v>93.23</v>
          </cell>
          <cell r="F321">
            <v>12.68</v>
          </cell>
          <cell r="G321">
            <v>86.7</v>
          </cell>
          <cell r="H321">
            <v>99.29</v>
          </cell>
          <cell r="I321">
            <v>0.15</v>
          </cell>
          <cell r="J321" t="str">
            <v>A</v>
          </cell>
        </row>
        <row r="322">
          <cell r="A322">
            <v>38048</v>
          </cell>
          <cell r="B322" t="str">
            <v>81</v>
          </cell>
          <cell r="C322" t="str">
            <v>SM2</v>
          </cell>
          <cell r="D322" t="str">
            <v>24</v>
          </cell>
          <cell r="E322">
            <v>93.19</v>
          </cell>
          <cell r="F322">
            <v>12.7</v>
          </cell>
          <cell r="G322">
            <v>86.67</v>
          </cell>
          <cell r="H322">
            <v>99.27</v>
          </cell>
          <cell r="I322">
            <v>0.13</v>
          </cell>
          <cell r="J322" t="str">
            <v>A</v>
          </cell>
        </row>
        <row r="323">
          <cell r="A323">
            <v>38048</v>
          </cell>
          <cell r="B323" t="str">
            <v>84</v>
          </cell>
          <cell r="C323" t="str">
            <v>SM2</v>
          </cell>
          <cell r="D323" t="str">
            <v>26</v>
          </cell>
          <cell r="E323">
            <v>93.24</v>
          </cell>
          <cell r="F323">
            <v>12.22</v>
          </cell>
          <cell r="G323">
            <v>86.71</v>
          </cell>
          <cell r="H323">
            <v>98.78</v>
          </cell>
          <cell r="I323">
            <v>0.1</v>
          </cell>
          <cell r="J323" t="str">
            <v>A</v>
          </cell>
        </row>
        <row r="324">
          <cell r="A324">
            <v>38048</v>
          </cell>
          <cell r="B324" t="str">
            <v>86</v>
          </cell>
          <cell r="C324" t="str">
            <v>SM2</v>
          </cell>
          <cell r="D324" t="str">
            <v>27</v>
          </cell>
          <cell r="E324">
            <v>93.22</v>
          </cell>
          <cell r="F324">
            <v>12.2</v>
          </cell>
          <cell r="G324">
            <v>86.69</v>
          </cell>
          <cell r="H324">
            <v>98.74</v>
          </cell>
          <cell r="I324">
            <v>0.12</v>
          </cell>
          <cell r="J324" t="str">
            <v>A</v>
          </cell>
        </row>
        <row r="325">
          <cell r="A325">
            <v>38048</v>
          </cell>
          <cell r="B325" t="str">
            <v>87</v>
          </cell>
          <cell r="C325" t="str">
            <v>PVD</v>
          </cell>
          <cell r="D325" t="str">
            <v>10</v>
          </cell>
          <cell r="E325">
            <v>93.24</v>
          </cell>
          <cell r="F325">
            <v>11.03</v>
          </cell>
          <cell r="G325">
            <v>86.71</v>
          </cell>
          <cell r="H325">
            <v>97.46</v>
          </cell>
          <cell r="I325">
            <v>0.16</v>
          </cell>
          <cell r="J325" t="str">
            <v>A</v>
          </cell>
        </row>
        <row r="326">
          <cell r="A326">
            <v>38049</v>
          </cell>
          <cell r="B326" t="str">
            <v>88</v>
          </cell>
          <cell r="C326" t="str">
            <v>RE</v>
          </cell>
          <cell r="D326" t="str">
            <v>25</v>
          </cell>
          <cell r="E326">
            <v>94.12</v>
          </cell>
          <cell r="F326">
            <v>12</v>
          </cell>
          <cell r="G326">
            <v>87.53</v>
          </cell>
          <cell r="H326">
            <v>99.47</v>
          </cell>
          <cell r="I326">
            <v>0.14000000000000001</v>
          </cell>
          <cell r="J326" t="str">
            <v>A</v>
          </cell>
        </row>
        <row r="327">
          <cell r="A327">
            <v>38049</v>
          </cell>
          <cell r="B327" t="str">
            <v>91</v>
          </cell>
          <cell r="C327" t="str">
            <v>PVD</v>
          </cell>
          <cell r="D327" t="str">
            <v>11</v>
          </cell>
          <cell r="E327">
            <v>94.16</v>
          </cell>
          <cell r="F327">
            <v>9.89</v>
          </cell>
          <cell r="G327">
            <v>87.57</v>
          </cell>
          <cell r="H327">
            <v>97.18</v>
          </cell>
          <cell r="I327">
            <v>0.12</v>
          </cell>
          <cell r="J327" t="str">
            <v>A</v>
          </cell>
        </row>
        <row r="328">
          <cell r="A328">
            <v>38050</v>
          </cell>
          <cell r="B328" t="str">
            <v>89</v>
          </cell>
          <cell r="C328" t="str">
            <v>SM2</v>
          </cell>
          <cell r="D328" t="str">
            <v>28</v>
          </cell>
          <cell r="E328">
            <v>94.12</v>
          </cell>
          <cell r="F328">
            <v>11.69</v>
          </cell>
          <cell r="G328">
            <v>87.53</v>
          </cell>
          <cell r="H328">
            <v>99.12</v>
          </cell>
          <cell r="I328">
            <v>0.14000000000000001</v>
          </cell>
          <cell r="J328" t="str">
            <v>A</v>
          </cell>
        </row>
        <row r="329">
          <cell r="A329">
            <v>38050</v>
          </cell>
          <cell r="B329" t="str">
            <v>90</v>
          </cell>
          <cell r="C329" t="str">
            <v>RE</v>
          </cell>
          <cell r="D329" t="str">
            <v>26</v>
          </cell>
          <cell r="E329">
            <v>94.17</v>
          </cell>
          <cell r="F329">
            <v>11.57</v>
          </cell>
          <cell r="G329">
            <v>87.58</v>
          </cell>
          <cell r="H329">
            <v>99.04</v>
          </cell>
          <cell r="I329">
            <v>0.14000000000000001</v>
          </cell>
          <cell r="J329" t="str">
            <v>A</v>
          </cell>
        </row>
        <row r="330">
          <cell r="A330">
            <v>38052</v>
          </cell>
          <cell r="B330" t="str">
            <v>92</v>
          </cell>
          <cell r="C330" t="str">
            <v>RSM</v>
          </cell>
          <cell r="D330" t="str">
            <v>9</v>
          </cell>
          <cell r="E330">
            <v>94.12</v>
          </cell>
          <cell r="F330">
            <v>11.67</v>
          </cell>
          <cell r="G330">
            <v>87.53</v>
          </cell>
          <cell r="H330">
            <v>99.1</v>
          </cell>
          <cell r="I330">
            <v>0.14000000000000001</v>
          </cell>
          <cell r="J330" t="str">
            <v>A</v>
          </cell>
        </row>
        <row r="331">
          <cell r="A331">
            <v>38052</v>
          </cell>
          <cell r="B331" t="str">
            <v>93</v>
          </cell>
          <cell r="C331" t="str">
            <v>PVD</v>
          </cell>
          <cell r="D331" t="str">
            <v>12</v>
          </cell>
          <cell r="E331">
            <v>94.14</v>
          </cell>
          <cell r="F331">
            <v>10.63</v>
          </cell>
          <cell r="G331">
            <v>87.55</v>
          </cell>
          <cell r="H331">
            <v>97.96</v>
          </cell>
          <cell r="I331">
            <v>0.15</v>
          </cell>
          <cell r="J331" t="str">
            <v>A</v>
          </cell>
        </row>
        <row r="332">
          <cell r="A332">
            <v>38052</v>
          </cell>
          <cell r="B332" t="str">
            <v>94</v>
          </cell>
          <cell r="C332" t="str">
            <v>PVD</v>
          </cell>
          <cell r="D332" t="str">
            <v>13</v>
          </cell>
          <cell r="E332">
            <v>94.14</v>
          </cell>
          <cell r="F332">
            <v>10</v>
          </cell>
          <cell r="G332">
            <v>87.55</v>
          </cell>
          <cell r="H332">
            <v>97.28</v>
          </cell>
          <cell r="I332">
            <v>0.14000000000000001</v>
          </cell>
          <cell r="J332" t="str">
            <v>A</v>
          </cell>
        </row>
        <row r="333">
          <cell r="A333">
            <v>38055</v>
          </cell>
          <cell r="B333" t="str">
            <v>96</v>
          </cell>
          <cell r="C333" t="str">
            <v>KLS</v>
          </cell>
          <cell r="D333" t="str">
            <v>10</v>
          </cell>
          <cell r="E333">
            <v>93.62</v>
          </cell>
          <cell r="F333">
            <v>11.86</v>
          </cell>
          <cell r="G333">
            <v>87.07</v>
          </cell>
          <cell r="H333">
            <v>98.78</v>
          </cell>
          <cell r="I333">
            <v>0.14000000000000001</v>
          </cell>
          <cell r="J333" t="str">
            <v>A</v>
          </cell>
        </row>
        <row r="334">
          <cell r="A334">
            <v>38055</v>
          </cell>
          <cell r="B334" t="str">
            <v>97</v>
          </cell>
          <cell r="C334" t="str">
            <v>RE</v>
          </cell>
          <cell r="D334" t="str">
            <v>27</v>
          </cell>
          <cell r="E334">
            <v>93.65</v>
          </cell>
          <cell r="F334">
            <v>11.17</v>
          </cell>
          <cell r="G334">
            <v>87.09</v>
          </cell>
          <cell r="H334">
            <v>98.05</v>
          </cell>
          <cell r="I334">
            <v>0.13</v>
          </cell>
          <cell r="J334" t="str">
            <v>A</v>
          </cell>
        </row>
        <row r="335">
          <cell r="A335">
            <v>38056</v>
          </cell>
          <cell r="B335" t="str">
            <v>100</v>
          </cell>
          <cell r="C335" t="str">
            <v>RE</v>
          </cell>
          <cell r="D335" t="str">
            <v>28</v>
          </cell>
          <cell r="E335">
            <v>93.61</v>
          </cell>
          <cell r="F335">
            <v>11.32</v>
          </cell>
          <cell r="G335">
            <v>87.06</v>
          </cell>
          <cell r="H335">
            <v>98.17</v>
          </cell>
          <cell r="I335">
            <v>0.13</v>
          </cell>
          <cell r="J335" t="str">
            <v>A</v>
          </cell>
        </row>
        <row r="336">
          <cell r="A336">
            <v>38057</v>
          </cell>
          <cell r="B336" t="str">
            <v>102</v>
          </cell>
          <cell r="C336" t="str">
            <v>PVD</v>
          </cell>
          <cell r="D336" t="str">
            <v>16</v>
          </cell>
          <cell r="E336">
            <v>93.67</v>
          </cell>
          <cell r="F336">
            <v>10.54</v>
          </cell>
          <cell r="G336">
            <v>87.11</v>
          </cell>
          <cell r="H336">
            <v>97.38</v>
          </cell>
          <cell r="I336">
            <v>0.26</v>
          </cell>
          <cell r="J336" t="str">
            <v>A</v>
          </cell>
          <cell r="L336" t="str">
            <v>NCR No. RM-03/109</v>
          </cell>
        </row>
        <row r="337">
          <cell r="A337">
            <v>38057</v>
          </cell>
          <cell r="B337" t="str">
            <v>103</v>
          </cell>
          <cell r="C337" t="str">
            <v>RE</v>
          </cell>
          <cell r="D337" t="str">
            <v>29</v>
          </cell>
          <cell r="E337">
            <v>94.39</v>
          </cell>
          <cell r="F337">
            <v>10.57</v>
          </cell>
          <cell r="G337">
            <v>87.78</v>
          </cell>
          <cell r="H337">
            <v>98.16</v>
          </cell>
          <cell r="I337">
            <v>0.18</v>
          </cell>
          <cell r="J337" t="str">
            <v>A</v>
          </cell>
        </row>
        <row r="338">
          <cell r="A338">
            <v>38057</v>
          </cell>
          <cell r="B338" t="str">
            <v>95</v>
          </cell>
          <cell r="C338" t="str">
            <v>PVD</v>
          </cell>
          <cell r="D338" t="str">
            <v>14</v>
          </cell>
          <cell r="E338">
            <v>93.6</v>
          </cell>
          <cell r="F338">
            <v>10.44</v>
          </cell>
          <cell r="G338">
            <v>87.05</v>
          </cell>
          <cell r="H338">
            <v>97.2</v>
          </cell>
          <cell r="I338">
            <v>0.15</v>
          </cell>
          <cell r="J338" t="str">
            <v>A</v>
          </cell>
        </row>
        <row r="339">
          <cell r="A339">
            <v>38057</v>
          </cell>
          <cell r="B339" t="str">
            <v>99</v>
          </cell>
          <cell r="C339" t="str">
            <v>PVD</v>
          </cell>
          <cell r="D339" t="str">
            <v>15</v>
          </cell>
          <cell r="E339">
            <v>93.72</v>
          </cell>
          <cell r="F339">
            <v>10.52</v>
          </cell>
          <cell r="G339">
            <v>87.16</v>
          </cell>
          <cell r="H339">
            <v>97.41</v>
          </cell>
          <cell r="I339">
            <v>0.15</v>
          </cell>
          <cell r="J339" t="str">
            <v>A</v>
          </cell>
        </row>
        <row r="340">
          <cell r="A340">
            <v>38061</v>
          </cell>
          <cell r="B340" t="str">
            <v>101</v>
          </cell>
          <cell r="C340" t="str">
            <v>KLS</v>
          </cell>
          <cell r="D340" t="str">
            <v>11</v>
          </cell>
          <cell r="E340">
            <v>93.66</v>
          </cell>
          <cell r="F340">
            <v>11.42</v>
          </cell>
          <cell r="G340">
            <v>87.1</v>
          </cell>
          <cell r="H340">
            <v>98.33</v>
          </cell>
          <cell r="I340">
            <v>0.15</v>
          </cell>
          <cell r="J340" t="str">
            <v>A</v>
          </cell>
        </row>
        <row r="341">
          <cell r="A341">
            <v>38061</v>
          </cell>
          <cell r="B341" t="str">
            <v>104</v>
          </cell>
          <cell r="C341" t="str">
            <v>PVD</v>
          </cell>
          <cell r="D341" t="str">
            <v>17</v>
          </cell>
          <cell r="E341">
            <v>93.64</v>
          </cell>
          <cell r="F341">
            <v>10.93</v>
          </cell>
          <cell r="G341">
            <v>87.09</v>
          </cell>
          <cell r="H341">
            <v>97.77</v>
          </cell>
          <cell r="I341">
            <v>0.16</v>
          </cell>
          <cell r="J341" t="str">
            <v>A</v>
          </cell>
        </row>
        <row r="342">
          <cell r="A342">
            <v>38061</v>
          </cell>
          <cell r="B342" t="str">
            <v>105</v>
          </cell>
          <cell r="C342" t="str">
            <v>RE</v>
          </cell>
          <cell r="D342" t="str">
            <v>30</v>
          </cell>
          <cell r="E342">
            <v>93.59</v>
          </cell>
          <cell r="F342">
            <v>11.5</v>
          </cell>
          <cell r="G342">
            <v>87.04</v>
          </cell>
          <cell r="H342">
            <v>98.35</v>
          </cell>
          <cell r="I342">
            <v>0.19</v>
          </cell>
          <cell r="J342" t="str">
            <v>A</v>
          </cell>
        </row>
        <row r="343">
          <cell r="A343">
            <v>38061</v>
          </cell>
          <cell r="B343" t="str">
            <v>106</v>
          </cell>
          <cell r="C343" t="str">
            <v>PVD</v>
          </cell>
          <cell r="D343" t="str">
            <v>18</v>
          </cell>
          <cell r="E343">
            <v>93.68</v>
          </cell>
          <cell r="F343">
            <v>10.98</v>
          </cell>
          <cell r="G343">
            <v>87.12</v>
          </cell>
          <cell r="H343">
            <v>97.87</v>
          </cell>
          <cell r="I343">
            <v>0.16</v>
          </cell>
          <cell r="J343" t="str">
            <v>A</v>
          </cell>
        </row>
        <row r="344">
          <cell r="A344">
            <v>38061</v>
          </cell>
          <cell r="B344" t="str">
            <v>108</v>
          </cell>
          <cell r="C344" t="str">
            <v>RE</v>
          </cell>
          <cell r="D344" t="str">
            <v>31</v>
          </cell>
          <cell r="E344">
            <v>93.73</v>
          </cell>
          <cell r="F344">
            <v>11.6</v>
          </cell>
          <cell r="G344">
            <v>87.17</v>
          </cell>
          <cell r="H344">
            <v>98.61</v>
          </cell>
          <cell r="I344">
            <v>0.15</v>
          </cell>
          <cell r="J344" t="str">
            <v>A</v>
          </cell>
        </row>
        <row r="345">
          <cell r="A345">
            <v>38061</v>
          </cell>
          <cell r="B345" t="str">
            <v>98</v>
          </cell>
          <cell r="C345" t="str">
            <v>RSM</v>
          </cell>
          <cell r="D345" t="str">
            <v>10</v>
          </cell>
          <cell r="E345">
            <v>93.67</v>
          </cell>
          <cell r="F345">
            <v>11.66</v>
          </cell>
          <cell r="G345">
            <v>87.11</v>
          </cell>
          <cell r="H345">
            <v>98.61</v>
          </cell>
          <cell r="I345">
            <v>0.13</v>
          </cell>
          <cell r="J345" t="str">
            <v>A</v>
          </cell>
        </row>
        <row r="346">
          <cell r="A346">
            <v>38062</v>
          </cell>
          <cell r="B346" t="str">
            <v>110</v>
          </cell>
          <cell r="C346" t="str">
            <v>RE</v>
          </cell>
          <cell r="D346" t="str">
            <v>32</v>
          </cell>
          <cell r="E346">
            <v>94.4</v>
          </cell>
          <cell r="F346">
            <v>9.6999999999999993</v>
          </cell>
          <cell r="G346">
            <v>87.79</v>
          </cell>
          <cell r="H346">
            <v>97.22</v>
          </cell>
          <cell r="I346">
            <v>0.17</v>
          </cell>
          <cell r="J346" t="str">
            <v>A</v>
          </cell>
        </row>
        <row r="347">
          <cell r="A347">
            <v>38063</v>
          </cell>
          <cell r="B347" t="str">
            <v>109</v>
          </cell>
          <cell r="C347" t="str">
            <v>KLS</v>
          </cell>
          <cell r="D347" t="str">
            <v>12</v>
          </cell>
          <cell r="E347">
            <v>95.45</v>
          </cell>
          <cell r="F347">
            <v>10.09</v>
          </cell>
          <cell r="G347">
            <v>88.77</v>
          </cell>
          <cell r="H347">
            <v>98.73</v>
          </cell>
          <cell r="I347">
            <v>0.14000000000000001</v>
          </cell>
          <cell r="J347" t="str">
            <v>A</v>
          </cell>
        </row>
        <row r="348">
          <cell r="A348">
            <v>38064</v>
          </cell>
          <cell r="B348" t="str">
            <v>112</v>
          </cell>
          <cell r="C348" t="str">
            <v>SMI</v>
          </cell>
          <cell r="D348" t="str">
            <v>10</v>
          </cell>
          <cell r="E348">
            <v>92.9</v>
          </cell>
          <cell r="F348">
            <v>11.96</v>
          </cell>
          <cell r="G348">
            <v>86.4</v>
          </cell>
          <cell r="H348">
            <v>98.13</v>
          </cell>
          <cell r="I348">
            <v>0.15</v>
          </cell>
          <cell r="J348" t="str">
            <v>A</v>
          </cell>
        </row>
        <row r="349">
          <cell r="A349">
            <v>38064</v>
          </cell>
          <cell r="B349" t="str">
            <v>113</v>
          </cell>
          <cell r="C349" t="str">
            <v>SMI</v>
          </cell>
          <cell r="D349" t="str">
            <v>11</v>
          </cell>
          <cell r="E349">
            <v>94.15</v>
          </cell>
          <cell r="F349">
            <v>9.99</v>
          </cell>
          <cell r="G349">
            <v>87.56</v>
          </cell>
          <cell r="H349">
            <v>97.28</v>
          </cell>
          <cell r="I349">
            <v>0.16</v>
          </cell>
          <cell r="J349" t="str">
            <v>A</v>
          </cell>
        </row>
        <row r="350">
          <cell r="A350">
            <v>38068</v>
          </cell>
          <cell r="B350" t="str">
            <v>107</v>
          </cell>
          <cell r="C350" t="str">
            <v>PVD</v>
          </cell>
          <cell r="D350" t="str">
            <v>19</v>
          </cell>
          <cell r="E350">
            <v>94.11</v>
          </cell>
          <cell r="F350">
            <v>10.65</v>
          </cell>
          <cell r="G350">
            <v>87.52</v>
          </cell>
          <cell r="H350">
            <v>97.95</v>
          </cell>
          <cell r="I350">
            <v>0.15</v>
          </cell>
          <cell r="J350" t="str">
            <v>A</v>
          </cell>
        </row>
        <row r="351">
          <cell r="A351">
            <v>38068</v>
          </cell>
          <cell r="B351" t="str">
            <v>111</v>
          </cell>
          <cell r="C351" t="str">
            <v>RSM</v>
          </cell>
          <cell r="D351" t="str">
            <v>11</v>
          </cell>
          <cell r="E351">
            <v>94.17</v>
          </cell>
          <cell r="F351">
            <v>11.53</v>
          </cell>
          <cell r="G351">
            <v>87.58</v>
          </cell>
          <cell r="H351">
            <v>98.99</v>
          </cell>
          <cell r="I351">
            <v>0.15</v>
          </cell>
          <cell r="J351" t="str">
            <v>A</v>
          </cell>
        </row>
        <row r="352">
          <cell r="A352">
            <v>38068</v>
          </cell>
          <cell r="B352" t="str">
            <v>116</v>
          </cell>
          <cell r="C352" t="str">
            <v>SMI</v>
          </cell>
          <cell r="D352" t="str">
            <v>12</v>
          </cell>
          <cell r="E352">
            <v>93.24</v>
          </cell>
          <cell r="F352">
            <v>11.55</v>
          </cell>
          <cell r="G352">
            <v>86.71</v>
          </cell>
          <cell r="H352">
            <v>98.04</v>
          </cell>
          <cell r="I352">
            <v>0.16</v>
          </cell>
          <cell r="J352" t="str">
            <v>A</v>
          </cell>
        </row>
        <row r="353">
          <cell r="A353">
            <v>38068</v>
          </cell>
          <cell r="B353" t="str">
            <v>117</v>
          </cell>
          <cell r="C353" t="str">
            <v>SMI</v>
          </cell>
          <cell r="D353" t="str">
            <v>13</v>
          </cell>
          <cell r="E353">
            <v>93.22</v>
          </cell>
          <cell r="F353">
            <v>11.63</v>
          </cell>
          <cell r="G353">
            <v>86.69</v>
          </cell>
          <cell r="H353">
            <v>98.1</v>
          </cell>
          <cell r="I353">
            <v>0.17</v>
          </cell>
          <cell r="J353" t="str">
            <v>A</v>
          </cell>
        </row>
        <row r="354">
          <cell r="A354">
            <v>38070</v>
          </cell>
          <cell r="B354" t="str">
            <v>114</v>
          </cell>
          <cell r="C354" t="str">
            <v>KLS</v>
          </cell>
          <cell r="D354" t="str">
            <v>13</v>
          </cell>
          <cell r="E354">
            <v>93.21</v>
          </cell>
          <cell r="F354">
            <v>11.05</v>
          </cell>
          <cell r="G354">
            <v>86.69</v>
          </cell>
          <cell r="H354">
            <v>97.45</v>
          </cell>
          <cell r="I354">
            <v>0.16</v>
          </cell>
          <cell r="J354" t="str">
            <v>A</v>
          </cell>
        </row>
        <row r="355">
          <cell r="A355">
            <v>38070</v>
          </cell>
          <cell r="B355" t="str">
            <v>115</v>
          </cell>
          <cell r="C355" t="str">
            <v>SM2</v>
          </cell>
          <cell r="D355" t="str">
            <v>29</v>
          </cell>
          <cell r="E355">
            <v>93.24</v>
          </cell>
          <cell r="F355">
            <v>12.1</v>
          </cell>
          <cell r="G355">
            <v>86.71</v>
          </cell>
          <cell r="H355">
            <v>98.65</v>
          </cell>
          <cell r="I355">
            <v>0.11</v>
          </cell>
          <cell r="J355" t="str">
            <v>A</v>
          </cell>
        </row>
        <row r="356">
          <cell r="A356">
            <v>38070</v>
          </cell>
          <cell r="B356" t="str">
            <v>120</v>
          </cell>
          <cell r="C356" t="str">
            <v>SMI</v>
          </cell>
          <cell r="D356" t="str">
            <v>14</v>
          </cell>
          <cell r="E356">
            <v>94.2</v>
          </cell>
          <cell r="F356">
            <v>9.7799999999999994</v>
          </cell>
          <cell r="G356">
            <v>87.61</v>
          </cell>
          <cell r="H356">
            <v>97.1</v>
          </cell>
          <cell r="I356">
            <v>0.13</v>
          </cell>
          <cell r="J356" t="str">
            <v>A</v>
          </cell>
        </row>
        <row r="357">
          <cell r="A357">
            <v>38071</v>
          </cell>
          <cell r="B357" t="str">
            <v>121</v>
          </cell>
          <cell r="C357" t="str">
            <v>SMI</v>
          </cell>
          <cell r="D357" t="str">
            <v>15</v>
          </cell>
          <cell r="E357">
            <v>93.25</v>
          </cell>
          <cell r="F357">
            <v>10.99</v>
          </cell>
          <cell r="G357">
            <v>86.72</v>
          </cell>
          <cell r="H357">
            <v>97.43</v>
          </cell>
          <cell r="I357">
            <v>0.11</v>
          </cell>
          <cell r="J357" t="str">
            <v>A</v>
          </cell>
        </row>
        <row r="358">
          <cell r="A358">
            <v>38072</v>
          </cell>
          <cell r="B358" t="str">
            <v>119</v>
          </cell>
          <cell r="C358" t="str">
            <v>RSM</v>
          </cell>
          <cell r="D358" t="str">
            <v>12</v>
          </cell>
          <cell r="E358">
            <v>94.15</v>
          </cell>
          <cell r="F358">
            <v>11.29</v>
          </cell>
          <cell r="G358">
            <v>87.56</v>
          </cell>
          <cell r="H358">
            <v>98.7</v>
          </cell>
          <cell r="I358">
            <v>0.14000000000000001</v>
          </cell>
          <cell r="J358" t="str">
            <v>A</v>
          </cell>
        </row>
        <row r="359">
          <cell r="A359">
            <v>38072</v>
          </cell>
          <cell r="B359" t="str">
            <v>123</v>
          </cell>
          <cell r="C359" t="str">
            <v>SMI</v>
          </cell>
          <cell r="D359" t="str">
            <v>16</v>
          </cell>
          <cell r="E359">
            <v>94.11</v>
          </cell>
          <cell r="F359">
            <v>11.03</v>
          </cell>
          <cell r="G359">
            <v>87.52</v>
          </cell>
          <cell r="H359">
            <v>98.37</v>
          </cell>
          <cell r="I359">
            <v>0.16</v>
          </cell>
          <cell r="J359" t="str">
            <v>A</v>
          </cell>
        </row>
        <row r="360">
          <cell r="A360">
            <v>38076</v>
          </cell>
          <cell r="B360" t="str">
            <v>125</v>
          </cell>
          <cell r="C360" t="str">
            <v>SMI</v>
          </cell>
          <cell r="D360" t="str">
            <v>17</v>
          </cell>
          <cell r="E360">
            <v>94.15</v>
          </cell>
          <cell r="F360">
            <v>11.37</v>
          </cell>
          <cell r="G360">
            <v>87.56</v>
          </cell>
          <cell r="H360">
            <v>98.79</v>
          </cell>
          <cell r="I360">
            <v>0.15</v>
          </cell>
          <cell r="J360" t="str">
            <v>A</v>
          </cell>
        </row>
        <row r="361">
          <cell r="A361">
            <v>38076</v>
          </cell>
          <cell r="B361" t="str">
            <v>126</v>
          </cell>
          <cell r="C361" t="str">
            <v>SMI</v>
          </cell>
          <cell r="D361" t="str">
            <v>18</v>
          </cell>
          <cell r="E361">
            <v>94.11</v>
          </cell>
          <cell r="F361">
            <v>11.36</v>
          </cell>
          <cell r="G361">
            <v>87.52</v>
          </cell>
          <cell r="H361">
            <v>98.74</v>
          </cell>
          <cell r="I361">
            <v>0.11</v>
          </cell>
          <cell r="J361" t="str">
            <v>A</v>
          </cell>
        </row>
        <row r="362">
          <cell r="A362">
            <v>38077</v>
          </cell>
          <cell r="B362" t="str">
            <v>124</v>
          </cell>
          <cell r="C362" t="str">
            <v>KLS</v>
          </cell>
          <cell r="D362" t="str">
            <v>14</v>
          </cell>
          <cell r="E362">
            <v>94.12</v>
          </cell>
          <cell r="F362">
            <v>11.18</v>
          </cell>
          <cell r="G362">
            <v>87.53</v>
          </cell>
          <cell r="H362">
            <v>98.55</v>
          </cell>
          <cell r="I362">
            <v>0.12</v>
          </cell>
          <cell r="J362" t="str">
            <v>A</v>
          </cell>
        </row>
        <row r="363">
          <cell r="A363">
            <v>38077</v>
          </cell>
          <cell r="B363" t="str">
            <v>127</v>
          </cell>
          <cell r="C363" t="str">
            <v>KLS</v>
          </cell>
          <cell r="D363" t="str">
            <v>15</v>
          </cell>
          <cell r="E363">
            <v>94.13</v>
          </cell>
          <cell r="F363">
            <v>11.04</v>
          </cell>
          <cell r="G363">
            <v>87.54</v>
          </cell>
          <cell r="H363">
            <v>98.4</v>
          </cell>
          <cell r="I363">
            <v>0.12</v>
          </cell>
          <cell r="J363" t="str">
            <v>A</v>
          </cell>
        </row>
        <row r="364">
          <cell r="A364">
            <v>38077</v>
          </cell>
          <cell r="B364" t="str">
            <v>128</v>
          </cell>
          <cell r="C364" t="str">
            <v>KLS</v>
          </cell>
          <cell r="D364" t="str">
            <v>16</v>
          </cell>
          <cell r="E364">
            <v>94.1</v>
          </cell>
          <cell r="F364">
            <v>10.99</v>
          </cell>
          <cell r="G364">
            <v>87.51</v>
          </cell>
          <cell r="H364">
            <v>98.32</v>
          </cell>
          <cell r="I364">
            <v>0.15</v>
          </cell>
          <cell r="J364" t="str">
            <v>A</v>
          </cell>
        </row>
        <row r="365">
          <cell r="A365">
            <v>38078</v>
          </cell>
          <cell r="B365" t="str">
            <v>118</v>
          </cell>
          <cell r="C365" t="str">
            <v>KLS</v>
          </cell>
          <cell r="D365" t="str">
            <v>14</v>
          </cell>
          <cell r="E365">
            <v>94.12</v>
          </cell>
          <cell r="F365">
            <v>11.85</v>
          </cell>
          <cell r="G365">
            <v>87.53</v>
          </cell>
          <cell r="H365">
            <v>99.3</v>
          </cell>
          <cell r="I365">
            <v>0.17</v>
          </cell>
          <cell r="J365" t="str">
            <v>A</v>
          </cell>
        </row>
        <row r="366">
          <cell r="A366">
            <v>38078</v>
          </cell>
          <cell r="B366" t="str">
            <v>129</v>
          </cell>
          <cell r="C366" t="str">
            <v>SMI</v>
          </cell>
          <cell r="D366" t="str">
            <v>19</v>
          </cell>
          <cell r="E366">
            <v>94.09</v>
          </cell>
          <cell r="F366">
            <v>11.14</v>
          </cell>
          <cell r="G366">
            <v>87.5</v>
          </cell>
          <cell r="H366">
            <v>98.47</v>
          </cell>
          <cell r="I366">
            <v>0.18</v>
          </cell>
          <cell r="J366" t="str">
            <v>A</v>
          </cell>
        </row>
        <row r="367">
          <cell r="A367">
            <v>38078</v>
          </cell>
          <cell r="B367" t="str">
            <v>130</v>
          </cell>
          <cell r="C367" t="str">
            <v>RE</v>
          </cell>
          <cell r="D367" t="str">
            <v>33</v>
          </cell>
          <cell r="E367">
            <v>93.24</v>
          </cell>
          <cell r="F367">
            <v>12.1</v>
          </cell>
          <cell r="G367">
            <v>86.71</v>
          </cell>
          <cell r="H367">
            <v>98.65</v>
          </cell>
          <cell r="I367">
            <v>0.13</v>
          </cell>
          <cell r="J367" t="str">
            <v>A</v>
          </cell>
        </row>
        <row r="368">
          <cell r="A368">
            <v>38078</v>
          </cell>
          <cell r="B368" t="str">
            <v>131</v>
          </cell>
          <cell r="C368" t="str">
            <v>RE</v>
          </cell>
          <cell r="D368" t="str">
            <v>34</v>
          </cell>
          <cell r="E368">
            <v>93.17</v>
          </cell>
          <cell r="F368">
            <v>12.01</v>
          </cell>
          <cell r="G368">
            <v>86.65</v>
          </cell>
          <cell r="H368">
            <v>98.47</v>
          </cell>
          <cell r="I368">
            <v>0.14000000000000001</v>
          </cell>
          <cell r="J368" t="str">
            <v>A</v>
          </cell>
        </row>
        <row r="369">
          <cell r="A369">
            <v>38082</v>
          </cell>
          <cell r="B369" t="str">
            <v>132</v>
          </cell>
          <cell r="C369" t="str">
            <v>RE</v>
          </cell>
          <cell r="D369" t="str">
            <v>35</v>
          </cell>
          <cell r="E369">
            <v>92.76</v>
          </cell>
          <cell r="F369">
            <v>12.02</v>
          </cell>
          <cell r="G369">
            <v>86.27</v>
          </cell>
          <cell r="H369">
            <v>98.05</v>
          </cell>
          <cell r="I369">
            <v>0.09</v>
          </cell>
          <cell r="J369" t="str">
            <v>A</v>
          </cell>
        </row>
        <row r="370">
          <cell r="A370">
            <v>38082</v>
          </cell>
          <cell r="B370" t="str">
            <v>134</v>
          </cell>
          <cell r="C370" t="str">
            <v>RE</v>
          </cell>
          <cell r="D370" t="str">
            <v>36</v>
          </cell>
          <cell r="E370">
            <v>93.64</v>
          </cell>
          <cell r="F370">
            <v>12.07</v>
          </cell>
          <cell r="G370">
            <v>87.09</v>
          </cell>
          <cell r="H370">
            <v>99.04</v>
          </cell>
          <cell r="I370">
            <v>0.18</v>
          </cell>
          <cell r="J370" t="str">
            <v>A</v>
          </cell>
        </row>
        <row r="371">
          <cell r="A371">
            <v>38084</v>
          </cell>
          <cell r="B371" t="str">
            <v>122</v>
          </cell>
          <cell r="C371" t="str">
            <v>SM2</v>
          </cell>
          <cell r="D371" t="str">
            <v>30</v>
          </cell>
          <cell r="E371">
            <v>93.64</v>
          </cell>
          <cell r="F371">
            <v>12.15</v>
          </cell>
          <cell r="G371">
            <v>87.09</v>
          </cell>
          <cell r="H371">
            <v>99.13</v>
          </cell>
          <cell r="I371">
            <v>0.18</v>
          </cell>
          <cell r="J371" t="str">
            <v>A</v>
          </cell>
        </row>
        <row r="372">
          <cell r="A372">
            <v>38084</v>
          </cell>
          <cell r="B372" t="str">
            <v>133</v>
          </cell>
          <cell r="C372" t="str">
            <v>KLS</v>
          </cell>
          <cell r="D372" t="str">
            <v>17</v>
          </cell>
          <cell r="E372">
            <v>93.64</v>
          </cell>
          <cell r="F372">
            <v>12.32</v>
          </cell>
          <cell r="G372">
            <v>87.09</v>
          </cell>
          <cell r="H372">
            <v>99.32</v>
          </cell>
          <cell r="I372">
            <v>0.16</v>
          </cell>
          <cell r="J372" t="str">
            <v>A</v>
          </cell>
        </row>
        <row r="373">
          <cell r="A373">
            <v>38084</v>
          </cell>
          <cell r="B373" t="str">
            <v>135</v>
          </cell>
          <cell r="C373" t="str">
            <v>SMI</v>
          </cell>
          <cell r="D373" t="str">
            <v>20</v>
          </cell>
          <cell r="E373">
            <v>93.61</v>
          </cell>
          <cell r="F373">
            <v>12.18</v>
          </cell>
          <cell r="G373">
            <v>87.06</v>
          </cell>
          <cell r="H373">
            <v>99.13</v>
          </cell>
          <cell r="I373">
            <v>0.16</v>
          </cell>
          <cell r="J373" t="str">
            <v>A</v>
          </cell>
        </row>
        <row r="374">
          <cell r="A374">
            <v>38091</v>
          </cell>
          <cell r="B374" t="str">
            <v>136</v>
          </cell>
          <cell r="C374" t="str">
            <v>SMI</v>
          </cell>
          <cell r="D374" t="str">
            <v>21</v>
          </cell>
          <cell r="E374">
            <v>94.36</v>
          </cell>
          <cell r="F374">
            <v>10.79</v>
          </cell>
          <cell r="G374">
            <v>87.75</v>
          </cell>
          <cell r="H374">
            <v>98.37</v>
          </cell>
          <cell r="I374">
            <v>0.14000000000000001</v>
          </cell>
          <cell r="J374" t="str">
            <v>A</v>
          </cell>
        </row>
        <row r="375">
          <cell r="A375">
            <v>38091</v>
          </cell>
          <cell r="B375" t="str">
            <v>137</v>
          </cell>
          <cell r="C375" t="str">
            <v>SMI</v>
          </cell>
          <cell r="D375" t="str">
            <v>22</v>
          </cell>
          <cell r="E375">
            <v>94.34</v>
          </cell>
          <cell r="F375">
            <v>10.68</v>
          </cell>
          <cell r="G375">
            <v>87.74</v>
          </cell>
          <cell r="H375">
            <v>98.23</v>
          </cell>
          <cell r="I375">
            <v>0.15</v>
          </cell>
          <cell r="J375" t="str">
            <v>A</v>
          </cell>
        </row>
        <row r="376">
          <cell r="A376">
            <v>38100</v>
          </cell>
          <cell r="B376" t="str">
            <v>139</v>
          </cell>
          <cell r="C376" t="str">
            <v>SMI</v>
          </cell>
          <cell r="D376" t="str">
            <v>23</v>
          </cell>
          <cell r="E376">
            <v>93.73</v>
          </cell>
          <cell r="F376">
            <v>11.73</v>
          </cell>
          <cell r="G376">
            <v>87.17</v>
          </cell>
          <cell r="H376">
            <v>98.75</v>
          </cell>
          <cell r="I376">
            <v>0.16</v>
          </cell>
          <cell r="J376" t="str">
            <v>A</v>
          </cell>
        </row>
        <row r="377">
          <cell r="A377">
            <v>38103</v>
          </cell>
          <cell r="B377" t="str">
            <v>138</v>
          </cell>
          <cell r="C377" t="str">
            <v>PVD</v>
          </cell>
          <cell r="D377" t="str">
            <v>20</v>
          </cell>
          <cell r="E377">
            <v>93.73</v>
          </cell>
          <cell r="F377">
            <v>11.17</v>
          </cell>
          <cell r="G377">
            <v>87.17</v>
          </cell>
          <cell r="H377">
            <v>98.13</v>
          </cell>
          <cell r="I377">
            <v>0.12</v>
          </cell>
          <cell r="J377" t="str">
            <v>A</v>
          </cell>
        </row>
        <row r="378">
          <cell r="A378">
            <v>38105</v>
          </cell>
          <cell r="B378" t="str">
            <v>140</v>
          </cell>
          <cell r="C378" t="str">
            <v>PVD</v>
          </cell>
          <cell r="D378" t="str">
            <v>21</v>
          </cell>
          <cell r="E378">
            <v>92.89</v>
          </cell>
          <cell r="F378">
            <v>11.11</v>
          </cell>
          <cell r="G378">
            <v>86.39</v>
          </cell>
          <cell r="H378">
            <v>97.18</v>
          </cell>
          <cell r="I378">
            <v>0.13</v>
          </cell>
          <cell r="J378" t="str">
            <v>A</v>
          </cell>
        </row>
        <row r="379">
          <cell r="A379">
            <v>38110</v>
          </cell>
          <cell r="B379" t="str">
            <v>141</v>
          </cell>
          <cell r="C379" t="str">
            <v>PVD</v>
          </cell>
          <cell r="D379" t="str">
            <v>22</v>
          </cell>
          <cell r="E379">
            <v>93.82</v>
          </cell>
          <cell r="F379">
            <v>11.18</v>
          </cell>
          <cell r="G379">
            <v>87.25</v>
          </cell>
          <cell r="H379">
            <v>98.24</v>
          </cell>
          <cell r="I379">
            <v>0.15</v>
          </cell>
          <cell r="J379" t="str">
            <v>A</v>
          </cell>
        </row>
        <row r="380">
          <cell r="A380">
            <v>38110</v>
          </cell>
          <cell r="B380" t="str">
            <v>142</v>
          </cell>
          <cell r="C380" t="str">
            <v>PVD</v>
          </cell>
          <cell r="D380" t="str">
            <v>23</v>
          </cell>
          <cell r="E380">
            <v>94.61</v>
          </cell>
          <cell r="F380">
            <v>11.17</v>
          </cell>
          <cell r="G380">
            <v>87.99</v>
          </cell>
          <cell r="H380">
            <v>99.05</v>
          </cell>
          <cell r="I380">
            <v>0.14000000000000001</v>
          </cell>
          <cell r="J380" t="str">
            <v>A</v>
          </cell>
        </row>
        <row r="381">
          <cell r="A381">
            <v>38117</v>
          </cell>
          <cell r="B381" t="str">
            <v>143</v>
          </cell>
          <cell r="C381" t="str">
            <v>PVD</v>
          </cell>
          <cell r="D381" t="str">
            <v>24</v>
          </cell>
          <cell r="E381">
            <v>93.54</v>
          </cell>
          <cell r="F381">
            <v>11.7</v>
          </cell>
          <cell r="G381">
            <v>86.99</v>
          </cell>
          <cell r="H381">
            <v>98.52</v>
          </cell>
          <cell r="I381">
            <v>0.12</v>
          </cell>
          <cell r="J381" t="str">
            <v>A</v>
          </cell>
        </row>
        <row r="382">
          <cell r="A382">
            <v>38117</v>
          </cell>
          <cell r="B382" t="str">
            <v>144</v>
          </cell>
          <cell r="C382" t="str">
            <v>PVD</v>
          </cell>
          <cell r="D382" t="str">
            <v>25</v>
          </cell>
          <cell r="E382">
            <v>92.58</v>
          </cell>
          <cell r="F382">
            <v>11.74</v>
          </cell>
          <cell r="G382">
            <v>86.1</v>
          </cell>
          <cell r="H382">
            <v>97.55</v>
          </cell>
          <cell r="I382">
            <v>0.16</v>
          </cell>
          <cell r="J382" t="str">
            <v>A</v>
          </cell>
        </row>
        <row r="383">
          <cell r="A383">
            <v>38187</v>
          </cell>
          <cell r="B383" t="str">
            <v>145</v>
          </cell>
          <cell r="C383" t="str">
            <v>PVD</v>
          </cell>
          <cell r="D383" t="str">
            <v>26</v>
          </cell>
          <cell r="E383">
            <v>92.96</v>
          </cell>
          <cell r="F383">
            <v>11.05</v>
          </cell>
          <cell r="G383">
            <v>86.45</v>
          </cell>
          <cell r="H383">
            <v>97.19</v>
          </cell>
          <cell r="I383">
            <v>0.12</v>
          </cell>
          <cell r="J383" t="str">
            <v>A</v>
          </cell>
        </row>
        <row r="384">
          <cell r="A384">
            <v>38187</v>
          </cell>
          <cell r="B384" t="str">
            <v>146</v>
          </cell>
          <cell r="C384" t="str">
            <v>KLS</v>
          </cell>
          <cell r="D384" t="str">
            <v>18</v>
          </cell>
          <cell r="E384">
            <v>92.97</v>
          </cell>
          <cell r="F384">
            <v>11.38</v>
          </cell>
          <cell r="G384">
            <v>86.46</v>
          </cell>
          <cell r="H384">
            <v>97.56</v>
          </cell>
          <cell r="I384">
            <v>0.17</v>
          </cell>
          <cell r="J384" t="str">
            <v>A</v>
          </cell>
        </row>
        <row r="385">
          <cell r="A385">
            <v>38188</v>
          </cell>
          <cell r="B385" t="str">
            <v>147</v>
          </cell>
          <cell r="C385" t="str">
            <v>PVD</v>
          </cell>
          <cell r="D385" t="str">
            <v>27</v>
          </cell>
          <cell r="E385">
            <v>93.77</v>
          </cell>
          <cell r="F385">
            <v>10.64</v>
          </cell>
          <cell r="G385">
            <v>87.21</v>
          </cell>
          <cell r="H385">
            <v>97.59</v>
          </cell>
          <cell r="I385">
            <v>0.12</v>
          </cell>
          <cell r="J385" t="str">
            <v>A</v>
          </cell>
        </row>
        <row r="386">
          <cell r="A386">
            <v>38191</v>
          </cell>
          <cell r="B386" t="str">
            <v>149</v>
          </cell>
          <cell r="C386" t="str">
            <v>PVD</v>
          </cell>
          <cell r="D386" t="str">
            <v>28</v>
          </cell>
          <cell r="E386">
            <v>94.61</v>
          </cell>
          <cell r="F386">
            <v>10.34</v>
          </cell>
          <cell r="G386">
            <v>87.99</v>
          </cell>
          <cell r="H386">
            <v>98.13</v>
          </cell>
          <cell r="I386">
            <v>0.13</v>
          </cell>
          <cell r="J386" t="str">
            <v>A</v>
          </cell>
        </row>
        <row r="387">
          <cell r="A387">
            <v>38195</v>
          </cell>
          <cell r="B387" t="str">
            <v>148</v>
          </cell>
          <cell r="C387" t="str">
            <v>KLS</v>
          </cell>
          <cell r="D387" t="str">
            <v>19</v>
          </cell>
          <cell r="E387">
            <v>92.94</v>
          </cell>
          <cell r="F387">
            <v>11.85</v>
          </cell>
          <cell r="G387">
            <v>86.43</v>
          </cell>
          <cell r="H387">
            <v>98.05</v>
          </cell>
          <cell r="I387">
            <v>0.13</v>
          </cell>
          <cell r="J387" t="str">
            <v>A</v>
          </cell>
        </row>
        <row r="388">
          <cell r="A388">
            <v>38195</v>
          </cell>
          <cell r="B388" t="str">
            <v>150</v>
          </cell>
          <cell r="C388" t="str">
            <v>RE</v>
          </cell>
          <cell r="D388" t="str">
            <v>37</v>
          </cell>
          <cell r="E388">
            <v>92.92</v>
          </cell>
          <cell r="F388">
            <v>11.95</v>
          </cell>
          <cell r="G388">
            <v>86.42</v>
          </cell>
          <cell r="H388">
            <v>98.14</v>
          </cell>
          <cell r="I388">
            <v>0.18</v>
          </cell>
          <cell r="J388" t="str">
            <v>A</v>
          </cell>
        </row>
        <row r="389">
          <cell r="A389">
            <v>38196</v>
          </cell>
          <cell r="B389" t="str">
            <v>151</v>
          </cell>
          <cell r="C389" t="str">
            <v>KLS</v>
          </cell>
          <cell r="D389" t="str">
            <v>20</v>
          </cell>
          <cell r="E389">
            <v>92.94</v>
          </cell>
          <cell r="F389">
            <v>11.86</v>
          </cell>
          <cell r="G389">
            <v>86.43</v>
          </cell>
          <cell r="H389">
            <v>98.06</v>
          </cell>
          <cell r="I389">
            <v>0.13</v>
          </cell>
          <cell r="J389" t="str">
            <v>A</v>
          </cell>
        </row>
        <row r="390">
          <cell r="A390">
            <v>38196</v>
          </cell>
          <cell r="B390" t="str">
            <v>152</v>
          </cell>
          <cell r="C390" t="str">
            <v>RE</v>
          </cell>
          <cell r="D390" t="str">
            <v>38</v>
          </cell>
          <cell r="E390">
            <v>92.97</v>
          </cell>
          <cell r="F390">
            <v>12.06</v>
          </cell>
          <cell r="G390">
            <v>86.46</v>
          </cell>
          <cell r="H390">
            <v>98.32</v>
          </cell>
          <cell r="I390">
            <v>0.12</v>
          </cell>
          <cell r="J390" t="str">
            <v>A</v>
          </cell>
        </row>
        <row r="391">
          <cell r="A391">
            <v>38198</v>
          </cell>
          <cell r="B391" t="str">
            <v>153</v>
          </cell>
          <cell r="C391" t="str">
            <v>KLS</v>
          </cell>
          <cell r="D391" t="str">
            <v>21</v>
          </cell>
          <cell r="E391">
            <v>93.77</v>
          </cell>
          <cell r="F391">
            <v>11.25</v>
          </cell>
          <cell r="G391">
            <v>87.21</v>
          </cell>
          <cell r="H391">
            <v>98.26</v>
          </cell>
          <cell r="I391">
            <v>0.17</v>
          </cell>
          <cell r="J391" t="str">
            <v>A</v>
          </cell>
        </row>
        <row r="392">
          <cell r="A392">
            <v>38198</v>
          </cell>
          <cell r="B392" t="str">
            <v>154</v>
          </cell>
          <cell r="C392" t="str">
            <v>RE</v>
          </cell>
          <cell r="D392" t="str">
            <v>39</v>
          </cell>
          <cell r="E392">
            <v>92.94</v>
          </cell>
          <cell r="F392">
            <v>12.3</v>
          </cell>
          <cell r="G392">
            <v>86.43</v>
          </cell>
          <cell r="H392">
            <v>98.56</v>
          </cell>
          <cell r="I392">
            <v>0.1</v>
          </cell>
          <cell r="J392" t="str">
            <v>A</v>
          </cell>
        </row>
        <row r="393">
          <cell r="A393">
            <v>38198</v>
          </cell>
          <cell r="B393" t="str">
            <v>155</v>
          </cell>
          <cell r="C393" t="str">
            <v>RE</v>
          </cell>
          <cell r="D393" t="str">
            <v>40</v>
          </cell>
          <cell r="E393">
            <v>92.9</v>
          </cell>
          <cell r="F393">
            <v>12.19</v>
          </cell>
          <cell r="G393">
            <v>86.4</v>
          </cell>
          <cell r="H393">
            <v>98.39</v>
          </cell>
          <cell r="I393">
            <v>0.15</v>
          </cell>
          <cell r="J393" t="str">
            <v>A</v>
          </cell>
        </row>
        <row r="394">
          <cell r="A394">
            <v>38203</v>
          </cell>
          <cell r="B394" t="str">
            <v>156</v>
          </cell>
          <cell r="C394" t="str">
            <v>KLS</v>
          </cell>
          <cell r="D394" t="str">
            <v>22</v>
          </cell>
          <cell r="E394">
            <v>92.96</v>
          </cell>
          <cell r="F394">
            <v>11.86</v>
          </cell>
          <cell r="G394">
            <v>86.45</v>
          </cell>
          <cell r="H394">
            <v>98.09</v>
          </cell>
          <cell r="I394">
            <v>0.13</v>
          </cell>
          <cell r="J394" t="str">
            <v>A</v>
          </cell>
        </row>
        <row r="395">
          <cell r="A395">
            <v>38203</v>
          </cell>
          <cell r="B395" t="str">
            <v>157</v>
          </cell>
          <cell r="C395" t="str">
            <v>RE</v>
          </cell>
          <cell r="D395" t="str">
            <v>41</v>
          </cell>
          <cell r="E395">
            <v>92.92</v>
          </cell>
          <cell r="F395">
            <v>12.06</v>
          </cell>
          <cell r="G395">
            <v>86.42</v>
          </cell>
          <cell r="H395">
            <v>98.27</v>
          </cell>
          <cell r="I395">
            <v>0.15</v>
          </cell>
          <cell r="J395" t="str">
            <v>A</v>
          </cell>
        </row>
        <row r="396">
          <cell r="A396">
            <v>38204</v>
          </cell>
          <cell r="B396" t="str">
            <v>158</v>
          </cell>
          <cell r="C396" t="str">
            <v>KLS</v>
          </cell>
          <cell r="D396" t="str">
            <v>23</v>
          </cell>
          <cell r="E396">
            <v>92.96</v>
          </cell>
          <cell r="F396">
            <v>11.8</v>
          </cell>
          <cell r="G396">
            <v>86.45</v>
          </cell>
          <cell r="H396">
            <v>98.02</v>
          </cell>
          <cell r="I396">
            <v>0.13</v>
          </cell>
          <cell r="J396" t="str">
            <v>A</v>
          </cell>
        </row>
        <row r="397">
          <cell r="A397">
            <v>38204</v>
          </cell>
          <cell r="B397" t="str">
            <v>159</v>
          </cell>
          <cell r="C397" t="str">
            <v>RE</v>
          </cell>
          <cell r="D397" t="str">
            <v>42</v>
          </cell>
          <cell r="E397">
            <v>92.92</v>
          </cell>
          <cell r="F397">
            <v>11.73</v>
          </cell>
          <cell r="G397">
            <v>86.42</v>
          </cell>
          <cell r="H397">
            <v>97.9</v>
          </cell>
          <cell r="I397">
            <v>0.12</v>
          </cell>
          <cell r="J397" t="str">
            <v>A</v>
          </cell>
        </row>
        <row r="398">
          <cell r="A398">
            <v>38208</v>
          </cell>
          <cell r="B398" t="str">
            <v>160</v>
          </cell>
          <cell r="C398" t="str">
            <v>KLS</v>
          </cell>
          <cell r="D398" t="str">
            <v>24</v>
          </cell>
          <cell r="E398">
            <v>93.07</v>
          </cell>
          <cell r="F398">
            <v>12.26</v>
          </cell>
          <cell r="G398">
            <v>86.56</v>
          </cell>
          <cell r="H398">
            <v>98.65</v>
          </cell>
          <cell r="I398">
            <v>0.19</v>
          </cell>
          <cell r="J398" t="str">
            <v>A</v>
          </cell>
        </row>
        <row r="399">
          <cell r="A399">
            <v>38208</v>
          </cell>
          <cell r="B399" t="str">
            <v>161</v>
          </cell>
          <cell r="C399" t="str">
            <v>RE</v>
          </cell>
          <cell r="D399" t="str">
            <v>43</v>
          </cell>
          <cell r="E399">
            <v>93.14</v>
          </cell>
          <cell r="F399">
            <v>12.36</v>
          </cell>
          <cell r="G399">
            <v>86.62</v>
          </cell>
          <cell r="H399">
            <v>98.84</v>
          </cell>
          <cell r="I399">
            <v>0.11</v>
          </cell>
          <cell r="J399" t="str">
            <v>A</v>
          </cell>
        </row>
        <row r="400">
          <cell r="A400">
            <v>38212</v>
          </cell>
          <cell r="B400" t="str">
            <v>164</v>
          </cell>
          <cell r="C400" t="str">
            <v>RE</v>
          </cell>
          <cell r="D400" t="str">
            <v>44</v>
          </cell>
          <cell r="E400">
            <v>93.5</v>
          </cell>
          <cell r="F400">
            <v>11.16</v>
          </cell>
          <cell r="G400">
            <v>86.96</v>
          </cell>
          <cell r="H400">
            <v>97.88</v>
          </cell>
          <cell r="I400">
            <v>0.13</v>
          </cell>
          <cell r="J400" t="str">
            <v>A</v>
          </cell>
        </row>
        <row r="401">
          <cell r="A401">
            <v>38215</v>
          </cell>
          <cell r="B401" t="str">
            <v>163</v>
          </cell>
          <cell r="C401" t="str">
            <v>KLS</v>
          </cell>
          <cell r="D401" t="str">
            <v>25</v>
          </cell>
          <cell r="E401">
            <v>93.41</v>
          </cell>
          <cell r="F401">
            <v>11.16</v>
          </cell>
          <cell r="G401">
            <v>86.87</v>
          </cell>
          <cell r="H401">
            <v>97.78</v>
          </cell>
          <cell r="I401">
            <v>0.16</v>
          </cell>
          <cell r="J401" t="str">
            <v>A</v>
          </cell>
        </row>
        <row r="402">
          <cell r="A402">
            <v>38215</v>
          </cell>
          <cell r="B402" t="str">
            <v>165</v>
          </cell>
          <cell r="C402" t="str">
            <v>RE</v>
          </cell>
          <cell r="D402" t="str">
            <v>45</v>
          </cell>
          <cell r="E402">
            <v>93.47</v>
          </cell>
          <cell r="F402">
            <v>10.55</v>
          </cell>
          <cell r="G402">
            <v>86.93</v>
          </cell>
          <cell r="H402">
            <v>97.18</v>
          </cell>
          <cell r="I402">
            <v>0.13</v>
          </cell>
          <cell r="J402" t="str">
            <v>A</v>
          </cell>
        </row>
        <row r="403">
          <cell r="A403">
            <v>38215</v>
          </cell>
          <cell r="B403" t="str">
            <v>166</v>
          </cell>
          <cell r="C403" t="str">
            <v>RE</v>
          </cell>
          <cell r="D403" t="str">
            <v>46</v>
          </cell>
          <cell r="E403">
            <v>93.42</v>
          </cell>
          <cell r="F403">
            <v>10.55</v>
          </cell>
          <cell r="G403">
            <v>86.88</v>
          </cell>
          <cell r="H403">
            <v>97.13</v>
          </cell>
          <cell r="I403">
            <v>0.12</v>
          </cell>
          <cell r="J403" t="str">
            <v>A</v>
          </cell>
        </row>
        <row r="404">
          <cell r="A404">
            <v>38215</v>
          </cell>
          <cell r="B404" t="str">
            <v>167</v>
          </cell>
          <cell r="C404" t="str">
            <v>KLS</v>
          </cell>
          <cell r="D404" t="str">
            <v>26</v>
          </cell>
          <cell r="E404">
            <v>93.44</v>
          </cell>
          <cell r="F404">
            <v>11.01</v>
          </cell>
          <cell r="G404">
            <v>86.9</v>
          </cell>
          <cell r="H404">
            <v>97.65</v>
          </cell>
          <cell r="I404">
            <v>0.11</v>
          </cell>
          <cell r="J404" t="str">
            <v>A</v>
          </cell>
        </row>
        <row r="405">
          <cell r="A405">
            <v>38219</v>
          </cell>
          <cell r="B405" t="str">
            <v>162</v>
          </cell>
          <cell r="C405" t="str">
            <v>PVD</v>
          </cell>
          <cell r="D405" t="str">
            <v>29</v>
          </cell>
          <cell r="E405">
            <v>94.61</v>
          </cell>
          <cell r="F405">
            <v>10.44</v>
          </cell>
          <cell r="G405">
            <v>87.99</v>
          </cell>
          <cell r="H405">
            <v>98.24</v>
          </cell>
          <cell r="I405">
            <v>0.15</v>
          </cell>
          <cell r="J405" t="str">
            <v>A</v>
          </cell>
        </row>
        <row r="406">
          <cell r="A406">
            <v>38222</v>
          </cell>
          <cell r="B406" t="str">
            <v>169</v>
          </cell>
          <cell r="C406" t="str">
            <v>KLS</v>
          </cell>
          <cell r="D406" t="str">
            <v>27</v>
          </cell>
          <cell r="E406">
            <v>94.56</v>
          </cell>
          <cell r="F406">
            <v>11.27</v>
          </cell>
          <cell r="G406">
            <v>87.94</v>
          </cell>
          <cell r="H406">
            <v>99.11</v>
          </cell>
          <cell r="I406">
            <v>0.19</v>
          </cell>
          <cell r="J406" t="str">
            <v>A</v>
          </cell>
        </row>
        <row r="407">
          <cell r="A407">
            <v>38225</v>
          </cell>
          <cell r="B407" t="str">
            <v>168</v>
          </cell>
          <cell r="C407" t="str">
            <v>RE</v>
          </cell>
          <cell r="D407" t="str">
            <v>47</v>
          </cell>
          <cell r="E407">
            <v>92.97</v>
          </cell>
          <cell r="F407">
            <v>10.77</v>
          </cell>
          <cell r="G407">
            <v>86.46</v>
          </cell>
          <cell r="H407">
            <v>96.9</v>
          </cell>
          <cell r="I407">
            <v>0.09</v>
          </cell>
          <cell r="J407" t="str">
            <v>A</v>
          </cell>
        </row>
        <row r="408">
          <cell r="A408">
            <v>38225</v>
          </cell>
          <cell r="B408" t="str">
            <v>170</v>
          </cell>
          <cell r="C408" t="str">
            <v>KR</v>
          </cell>
          <cell r="D408" t="str">
            <v>1</v>
          </cell>
          <cell r="E408">
            <v>92.98</v>
          </cell>
          <cell r="F408">
            <v>12.35</v>
          </cell>
          <cell r="G408">
            <v>86.47</v>
          </cell>
          <cell r="H408">
            <v>98.66</v>
          </cell>
          <cell r="I408">
            <v>0.11</v>
          </cell>
          <cell r="J408" t="str">
            <v>A</v>
          </cell>
        </row>
        <row r="409">
          <cell r="A409">
            <v>38225</v>
          </cell>
          <cell r="B409" t="str">
            <v>171</v>
          </cell>
          <cell r="C409" t="str">
            <v>PVD</v>
          </cell>
          <cell r="D409" t="str">
            <v>30</v>
          </cell>
          <cell r="E409">
            <v>92.96</v>
          </cell>
          <cell r="F409">
            <v>11.2</v>
          </cell>
          <cell r="G409">
            <v>86.45</v>
          </cell>
          <cell r="H409">
            <v>97.36</v>
          </cell>
          <cell r="I409">
            <v>0.09</v>
          </cell>
          <cell r="J409" t="str">
            <v>A</v>
          </cell>
        </row>
        <row r="410">
          <cell r="A410">
            <v>38225</v>
          </cell>
          <cell r="B410" t="str">
            <v>172</v>
          </cell>
          <cell r="C410" t="str">
            <v>KLS</v>
          </cell>
          <cell r="D410" t="str">
            <v>28</v>
          </cell>
          <cell r="E410">
            <v>92.95</v>
          </cell>
          <cell r="F410">
            <v>11.22</v>
          </cell>
          <cell r="G410">
            <v>86.44</v>
          </cell>
          <cell r="H410">
            <v>97.37</v>
          </cell>
          <cell r="I410">
            <v>0.15</v>
          </cell>
          <cell r="J410" t="str">
            <v>A</v>
          </cell>
        </row>
        <row r="411">
          <cell r="A411">
            <v>38226</v>
          </cell>
          <cell r="B411" t="str">
            <v>173</v>
          </cell>
          <cell r="C411" t="str">
            <v>PVD</v>
          </cell>
          <cell r="D411" t="str">
            <v>31</v>
          </cell>
          <cell r="E411">
            <v>92.98</v>
          </cell>
          <cell r="F411">
            <v>12.5</v>
          </cell>
          <cell r="G411">
            <v>86.47</v>
          </cell>
          <cell r="H411">
            <v>98.82</v>
          </cell>
          <cell r="I411">
            <v>0.15</v>
          </cell>
          <cell r="J411" t="str">
            <v>A</v>
          </cell>
        </row>
        <row r="412">
          <cell r="A412">
            <v>38231</v>
          </cell>
          <cell r="B412" t="str">
            <v>174</v>
          </cell>
          <cell r="C412" t="str">
            <v>KLS</v>
          </cell>
          <cell r="D412" t="str">
            <v>29</v>
          </cell>
          <cell r="E412">
            <v>93.76</v>
          </cell>
          <cell r="F412">
            <v>11.15</v>
          </cell>
          <cell r="G412">
            <v>87.2</v>
          </cell>
          <cell r="H412">
            <v>98.14</v>
          </cell>
          <cell r="I412">
            <v>0.17</v>
          </cell>
          <cell r="J412" t="str">
            <v>A</v>
          </cell>
        </row>
        <row r="413">
          <cell r="A413">
            <v>38231</v>
          </cell>
          <cell r="B413" t="str">
            <v>176</v>
          </cell>
          <cell r="C413" t="str">
            <v>RE</v>
          </cell>
          <cell r="D413" t="str">
            <v>48</v>
          </cell>
          <cell r="E413">
            <v>94.61</v>
          </cell>
          <cell r="F413">
            <v>11.05</v>
          </cell>
          <cell r="G413">
            <v>87.99</v>
          </cell>
          <cell r="H413">
            <v>98.92</v>
          </cell>
          <cell r="I413">
            <v>0.16</v>
          </cell>
          <cell r="J413" t="str">
            <v>A</v>
          </cell>
        </row>
        <row r="414">
          <cell r="A414">
            <v>38231</v>
          </cell>
          <cell r="B414" t="str">
            <v>177</v>
          </cell>
          <cell r="C414" t="str">
            <v>RE</v>
          </cell>
          <cell r="D414" t="str">
            <v>49</v>
          </cell>
          <cell r="E414">
            <v>93.81</v>
          </cell>
          <cell r="F414">
            <v>10.98</v>
          </cell>
          <cell r="G414">
            <v>87.24</v>
          </cell>
          <cell r="H414">
            <v>98</v>
          </cell>
          <cell r="I414">
            <v>0.15</v>
          </cell>
          <cell r="J414" t="str">
            <v>A</v>
          </cell>
        </row>
        <row r="415">
          <cell r="A415">
            <v>38232</v>
          </cell>
          <cell r="B415" t="str">
            <v>175</v>
          </cell>
          <cell r="C415" t="str">
            <v>KR</v>
          </cell>
          <cell r="D415" t="str">
            <v>2</v>
          </cell>
          <cell r="E415">
            <v>92.94</v>
          </cell>
          <cell r="F415">
            <v>11.96</v>
          </cell>
          <cell r="G415">
            <v>86.43</v>
          </cell>
          <cell r="H415">
            <v>98.18</v>
          </cell>
          <cell r="I415">
            <v>0.12</v>
          </cell>
          <cell r="J415" t="str">
            <v>A</v>
          </cell>
        </row>
        <row r="416">
          <cell r="A416">
            <v>38236</v>
          </cell>
          <cell r="B416" t="str">
            <v>178</v>
          </cell>
          <cell r="C416" t="str">
            <v>KLS</v>
          </cell>
          <cell r="D416" t="str">
            <v>30</v>
          </cell>
          <cell r="E416">
            <v>93.26</v>
          </cell>
          <cell r="F416">
            <v>11.29</v>
          </cell>
          <cell r="G416">
            <v>86.73</v>
          </cell>
          <cell r="H416">
            <v>97.77</v>
          </cell>
          <cell r="I416">
            <v>0.17</v>
          </cell>
          <cell r="J416" t="str">
            <v>A</v>
          </cell>
        </row>
        <row r="417">
          <cell r="A417">
            <v>38236</v>
          </cell>
          <cell r="B417" t="str">
            <v>179</v>
          </cell>
          <cell r="C417" t="str">
            <v>PVD</v>
          </cell>
          <cell r="D417" t="str">
            <v>32</v>
          </cell>
          <cell r="E417">
            <v>93.21</v>
          </cell>
          <cell r="F417">
            <v>11.3</v>
          </cell>
          <cell r="G417">
            <v>86.69</v>
          </cell>
          <cell r="H417">
            <v>97.73</v>
          </cell>
          <cell r="I417">
            <v>0.19</v>
          </cell>
          <cell r="J417" t="str">
            <v>A</v>
          </cell>
        </row>
        <row r="418">
          <cell r="A418">
            <v>38236</v>
          </cell>
          <cell r="B418" t="str">
            <v>180</v>
          </cell>
          <cell r="C418" t="str">
            <v>RE</v>
          </cell>
          <cell r="D418" t="str">
            <v>50</v>
          </cell>
          <cell r="E418">
            <v>93.21</v>
          </cell>
          <cell r="F418">
            <v>11.88</v>
          </cell>
          <cell r="G418">
            <v>86.69</v>
          </cell>
          <cell r="H418">
            <v>98.37</v>
          </cell>
          <cell r="I418">
            <v>0.14000000000000001</v>
          </cell>
          <cell r="J418" t="str">
            <v>A</v>
          </cell>
        </row>
        <row r="419">
          <cell r="A419">
            <v>38240</v>
          </cell>
          <cell r="B419" t="str">
            <v>182</v>
          </cell>
          <cell r="C419" t="str">
            <v>PVD</v>
          </cell>
          <cell r="D419" t="str">
            <v>33</v>
          </cell>
          <cell r="E419">
            <v>93.76</v>
          </cell>
          <cell r="F419">
            <v>11.34</v>
          </cell>
          <cell r="G419">
            <v>87.2</v>
          </cell>
          <cell r="H419">
            <v>98.35</v>
          </cell>
          <cell r="I419">
            <v>0.12</v>
          </cell>
          <cell r="J419" t="str">
            <v>A</v>
          </cell>
        </row>
        <row r="420">
          <cell r="A420">
            <v>38245</v>
          </cell>
          <cell r="B420" t="str">
            <v>184</v>
          </cell>
          <cell r="C420" t="str">
            <v>RE</v>
          </cell>
          <cell r="D420" t="str">
            <v>51</v>
          </cell>
          <cell r="E420">
            <v>92.92</v>
          </cell>
          <cell r="F420">
            <v>12.17</v>
          </cell>
          <cell r="G420">
            <v>86.42</v>
          </cell>
          <cell r="H420">
            <v>98.39</v>
          </cell>
          <cell r="I420">
            <v>0.11</v>
          </cell>
          <cell r="J420" t="str">
            <v>A</v>
          </cell>
        </row>
        <row r="421">
          <cell r="A421">
            <v>38245</v>
          </cell>
          <cell r="B421" t="str">
            <v>185</v>
          </cell>
          <cell r="C421" t="str">
            <v>PVD</v>
          </cell>
          <cell r="D421" t="str">
            <v>34</v>
          </cell>
          <cell r="E421">
            <v>93.82</v>
          </cell>
          <cell r="F421">
            <v>11.49</v>
          </cell>
          <cell r="G421">
            <v>87.25</v>
          </cell>
          <cell r="H421">
            <v>98.58</v>
          </cell>
          <cell r="I421">
            <v>0.2</v>
          </cell>
          <cell r="J421" t="str">
            <v>A</v>
          </cell>
        </row>
        <row r="422">
          <cell r="A422">
            <v>38245</v>
          </cell>
          <cell r="B422" t="str">
            <v>186</v>
          </cell>
          <cell r="C422" t="str">
            <v>RE</v>
          </cell>
          <cell r="D422" t="str">
            <v>52</v>
          </cell>
          <cell r="E422">
            <v>92.88</v>
          </cell>
          <cell r="F422">
            <v>11.93</v>
          </cell>
          <cell r="G422">
            <v>86.38</v>
          </cell>
          <cell r="H422">
            <v>98.08</v>
          </cell>
          <cell r="I422">
            <v>0.13</v>
          </cell>
          <cell r="J422" t="str">
            <v>A</v>
          </cell>
        </row>
        <row r="423">
          <cell r="A423">
            <v>38245</v>
          </cell>
          <cell r="B423" t="str">
            <v>188</v>
          </cell>
          <cell r="C423" t="str">
            <v>RE</v>
          </cell>
          <cell r="D423" t="str">
            <v>53</v>
          </cell>
          <cell r="E423">
            <v>93.81</v>
          </cell>
          <cell r="F423">
            <v>11.29</v>
          </cell>
          <cell r="G423">
            <v>87.24</v>
          </cell>
          <cell r="H423">
            <v>98.35</v>
          </cell>
          <cell r="I423">
            <v>0.12</v>
          </cell>
          <cell r="J423" t="str">
            <v>A</v>
          </cell>
        </row>
        <row r="424">
          <cell r="A424">
            <v>38246</v>
          </cell>
          <cell r="B424" t="str">
            <v>181</v>
          </cell>
          <cell r="C424" t="str">
            <v>KR</v>
          </cell>
          <cell r="D424" t="str">
            <v>3</v>
          </cell>
          <cell r="E424">
            <v>93.77</v>
          </cell>
          <cell r="F424">
            <v>11.27</v>
          </cell>
          <cell r="G424">
            <v>87.21</v>
          </cell>
          <cell r="H424">
            <v>98.28</v>
          </cell>
          <cell r="I424">
            <v>0.17</v>
          </cell>
          <cell r="J424" t="str">
            <v>A</v>
          </cell>
        </row>
        <row r="425">
          <cell r="A425">
            <v>38246</v>
          </cell>
          <cell r="B425" t="str">
            <v>187</v>
          </cell>
          <cell r="C425" t="str">
            <v>PVD</v>
          </cell>
          <cell r="D425" t="str">
            <v>35</v>
          </cell>
          <cell r="E425">
            <v>93.79</v>
          </cell>
          <cell r="F425">
            <v>11.29</v>
          </cell>
          <cell r="G425">
            <v>87.22</v>
          </cell>
          <cell r="H425">
            <v>98.33</v>
          </cell>
          <cell r="I425">
            <v>0.17</v>
          </cell>
          <cell r="J425" t="str">
            <v>A</v>
          </cell>
        </row>
        <row r="426">
          <cell r="A426">
            <v>38247</v>
          </cell>
          <cell r="B426" t="str">
            <v>183</v>
          </cell>
          <cell r="C426" t="str">
            <v>KLS</v>
          </cell>
          <cell r="D426" t="str">
            <v>31</v>
          </cell>
          <cell r="E426">
            <v>93.61</v>
          </cell>
          <cell r="F426">
            <v>10.5</v>
          </cell>
          <cell r="G426">
            <v>87.06</v>
          </cell>
          <cell r="H426">
            <v>97.27</v>
          </cell>
          <cell r="I426">
            <v>0.13</v>
          </cell>
          <cell r="J426" t="str">
            <v>A</v>
          </cell>
        </row>
        <row r="427">
          <cell r="A427">
            <v>38251</v>
          </cell>
          <cell r="B427" t="str">
            <v>190</v>
          </cell>
          <cell r="C427" t="str">
            <v>PVD</v>
          </cell>
          <cell r="D427" t="str">
            <v>36</v>
          </cell>
          <cell r="E427">
            <v>93.57</v>
          </cell>
          <cell r="F427">
            <v>11.54</v>
          </cell>
          <cell r="G427">
            <v>87.02</v>
          </cell>
          <cell r="H427">
            <v>98.37</v>
          </cell>
          <cell r="I427">
            <v>0.14000000000000001</v>
          </cell>
          <cell r="J427" t="str">
            <v>A</v>
          </cell>
        </row>
        <row r="428">
          <cell r="A428">
            <v>38251</v>
          </cell>
          <cell r="B428" t="str">
            <v>192</v>
          </cell>
          <cell r="C428" t="str">
            <v>KLS</v>
          </cell>
          <cell r="D428" t="str">
            <v>32</v>
          </cell>
          <cell r="E428">
            <v>93.57</v>
          </cell>
          <cell r="F428">
            <v>11.51</v>
          </cell>
          <cell r="G428">
            <v>87.02</v>
          </cell>
          <cell r="H428">
            <v>98.34</v>
          </cell>
          <cell r="I428">
            <v>0.12</v>
          </cell>
          <cell r="J428" t="str">
            <v>A</v>
          </cell>
        </row>
        <row r="429">
          <cell r="A429">
            <v>38257</v>
          </cell>
          <cell r="B429" t="str">
            <v>189</v>
          </cell>
          <cell r="C429" t="str">
            <v>RE</v>
          </cell>
          <cell r="D429" t="str">
            <v>54</v>
          </cell>
          <cell r="E429">
            <v>93.26</v>
          </cell>
          <cell r="F429">
            <v>11.89</v>
          </cell>
          <cell r="G429">
            <v>86.73</v>
          </cell>
          <cell r="H429">
            <v>98.44</v>
          </cell>
          <cell r="I429">
            <v>0.12</v>
          </cell>
          <cell r="J429" t="str">
            <v>A</v>
          </cell>
        </row>
        <row r="430">
          <cell r="A430">
            <v>38257</v>
          </cell>
          <cell r="B430" t="str">
            <v>193</v>
          </cell>
          <cell r="C430" t="str">
            <v>KLS</v>
          </cell>
          <cell r="D430" t="str">
            <v>33</v>
          </cell>
          <cell r="E430">
            <v>94.08</v>
          </cell>
          <cell r="F430">
            <v>11.32</v>
          </cell>
          <cell r="G430">
            <v>87.49</v>
          </cell>
          <cell r="H430">
            <v>98.66</v>
          </cell>
          <cell r="I430">
            <v>0.14000000000000001</v>
          </cell>
          <cell r="J430" t="str">
            <v>A</v>
          </cell>
        </row>
        <row r="431">
          <cell r="A431">
            <v>38257</v>
          </cell>
          <cell r="B431" t="str">
            <v>194</v>
          </cell>
          <cell r="C431" t="str">
            <v>PVD</v>
          </cell>
          <cell r="D431" t="str">
            <v>37</v>
          </cell>
          <cell r="E431">
            <v>94.12</v>
          </cell>
          <cell r="F431">
            <v>11.42</v>
          </cell>
          <cell r="G431">
            <v>87.53</v>
          </cell>
          <cell r="H431">
            <v>98.82</v>
          </cell>
          <cell r="I431">
            <v>0.19</v>
          </cell>
          <cell r="J431" t="str">
            <v>A</v>
          </cell>
        </row>
        <row r="432">
          <cell r="A432">
            <v>38257</v>
          </cell>
          <cell r="B432" t="str">
            <v>195</v>
          </cell>
          <cell r="C432" t="str">
            <v>RE</v>
          </cell>
          <cell r="D432" t="str">
            <v>55</v>
          </cell>
          <cell r="E432">
            <v>93.26</v>
          </cell>
          <cell r="F432">
            <v>11.9</v>
          </cell>
          <cell r="G432">
            <v>86.73</v>
          </cell>
          <cell r="H432">
            <v>98.45</v>
          </cell>
          <cell r="I432">
            <v>0.11</v>
          </cell>
          <cell r="J432" t="str">
            <v>A</v>
          </cell>
        </row>
        <row r="433">
          <cell r="A433">
            <v>38257</v>
          </cell>
          <cell r="B433" t="str">
            <v>196</v>
          </cell>
          <cell r="C433" t="str">
            <v>KLS</v>
          </cell>
          <cell r="D433" t="str">
            <v>34</v>
          </cell>
          <cell r="E433">
            <v>94.17</v>
          </cell>
          <cell r="F433">
            <v>11.48</v>
          </cell>
          <cell r="G433">
            <v>87.58</v>
          </cell>
          <cell r="H433">
            <v>98.94</v>
          </cell>
          <cell r="I433">
            <v>0.13</v>
          </cell>
          <cell r="J433" t="str">
            <v>A</v>
          </cell>
        </row>
        <row r="434">
          <cell r="A434">
            <v>38260</v>
          </cell>
          <cell r="B434" t="str">
            <v>197</v>
          </cell>
          <cell r="C434" t="str">
            <v>KLS</v>
          </cell>
          <cell r="D434" t="str">
            <v>35</v>
          </cell>
          <cell r="E434">
            <v>94.12</v>
          </cell>
          <cell r="F434">
            <v>11.35</v>
          </cell>
          <cell r="G434">
            <v>87.53</v>
          </cell>
          <cell r="H434">
            <v>98.74</v>
          </cell>
          <cell r="I434">
            <v>0.14000000000000001</v>
          </cell>
          <cell r="J434" t="str">
            <v>A</v>
          </cell>
        </row>
        <row r="435">
          <cell r="A435">
            <v>38260</v>
          </cell>
          <cell r="B435" t="str">
            <v>198</v>
          </cell>
          <cell r="C435" t="str">
            <v>RE</v>
          </cell>
          <cell r="D435" t="str">
            <v>56</v>
          </cell>
          <cell r="E435">
            <v>94.14</v>
          </cell>
          <cell r="F435">
            <v>11.1</v>
          </cell>
          <cell r="G435">
            <v>87.55</v>
          </cell>
          <cell r="H435">
            <v>98.48</v>
          </cell>
          <cell r="I435">
            <v>0.12</v>
          </cell>
          <cell r="J435" t="str">
            <v>A</v>
          </cell>
        </row>
        <row r="436">
          <cell r="A436">
            <v>38261</v>
          </cell>
          <cell r="B436" t="str">
            <v>191</v>
          </cell>
          <cell r="C436" t="str">
            <v>KR</v>
          </cell>
          <cell r="D436" t="str">
            <v>4</v>
          </cell>
          <cell r="E436">
            <v>94.16</v>
          </cell>
          <cell r="F436">
            <v>11.47</v>
          </cell>
          <cell r="G436">
            <v>87.57</v>
          </cell>
          <cell r="H436">
            <v>98.91</v>
          </cell>
          <cell r="I436">
            <v>0.18</v>
          </cell>
          <cell r="J436" t="str">
            <v>A</v>
          </cell>
        </row>
        <row r="437">
          <cell r="A437">
            <v>38261</v>
          </cell>
          <cell r="B437" t="str">
            <v>199</v>
          </cell>
          <cell r="C437" t="str">
            <v>RE</v>
          </cell>
          <cell r="D437" t="str">
            <v>57</v>
          </cell>
          <cell r="E437">
            <v>93.22</v>
          </cell>
          <cell r="F437">
            <v>12.05</v>
          </cell>
          <cell r="G437">
            <v>86.69</v>
          </cell>
          <cell r="H437">
            <v>98.57</v>
          </cell>
          <cell r="I437">
            <v>0.15</v>
          </cell>
          <cell r="J437" t="str">
            <v>A</v>
          </cell>
        </row>
        <row r="438">
          <cell r="A438">
            <v>38261</v>
          </cell>
          <cell r="B438" t="str">
            <v>200</v>
          </cell>
          <cell r="C438" t="str">
            <v>KLS</v>
          </cell>
          <cell r="D438" t="str">
            <v>36</v>
          </cell>
          <cell r="E438">
            <v>93.2</v>
          </cell>
          <cell r="F438">
            <v>11.17</v>
          </cell>
          <cell r="G438">
            <v>86.68</v>
          </cell>
          <cell r="H438">
            <v>97.58</v>
          </cell>
          <cell r="I438">
            <v>0.1</v>
          </cell>
          <cell r="J438" t="str">
            <v>A</v>
          </cell>
        </row>
        <row r="439">
          <cell r="A439">
            <v>38261</v>
          </cell>
          <cell r="B439" t="str">
            <v>201</v>
          </cell>
          <cell r="C439" t="str">
            <v>RE</v>
          </cell>
          <cell r="D439" t="str">
            <v>58</v>
          </cell>
          <cell r="E439">
            <v>93.28</v>
          </cell>
          <cell r="F439">
            <v>12.52</v>
          </cell>
          <cell r="G439">
            <v>86.75</v>
          </cell>
          <cell r="H439">
            <v>99.17</v>
          </cell>
          <cell r="I439">
            <v>0.12</v>
          </cell>
          <cell r="J439" t="str">
            <v>A</v>
          </cell>
        </row>
        <row r="440">
          <cell r="A440">
            <v>38264</v>
          </cell>
          <cell r="B440" t="str">
            <v>202</v>
          </cell>
          <cell r="C440" t="str">
            <v>RE</v>
          </cell>
          <cell r="D440" t="str">
            <v>59</v>
          </cell>
          <cell r="E440">
            <v>94.55</v>
          </cell>
          <cell r="F440">
            <v>11.03</v>
          </cell>
          <cell r="G440">
            <v>87.93</v>
          </cell>
          <cell r="H440">
            <v>98.83</v>
          </cell>
          <cell r="I440">
            <v>0.18</v>
          </cell>
          <cell r="J440" t="str">
            <v>A</v>
          </cell>
        </row>
        <row r="441">
          <cell r="A441">
            <v>38265</v>
          </cell>
          <cell r="B441" t="str">
            <v>205</v>
          </cell>
          <cell r="C441" t="str">
            <v>SMI</v>
          </cell>
          <cell r="D441" t="str">
            <v>24</v>
          </cell>
          <cell r="E441">
            <v>94.52</v>
          </cell>
          <cell r="F441">
            <v>11.18</v>
          </cell>
          <cell r="G441">
            <v>87.9</v>
          </cell>
          <cell r="H441">
            <v>98.97</v>
          </cell>
          <cell r="I441">
            <v>0.18</v>
          </cell>
          <cell r="J441" t="str">
            <v>A</v>
          </cell>
        </row>
        <row r="442">
          <cell r="A442">
            <v>38266</v>
          </cell>
          <cell r="B442" t="str">
            <v>207</v>
          </cell>
          <cell r="C442" t="str">
            <v>SMI</v>
          </cell>
          <cell r="D442" t="str">
            <v>25</v>
          </cell>
          <cell r="E442">
            <v>94.29</v>
          </cell>
          <cell r="F442">
            <v>11.36</v>
          </cell>
          <cell r="G442">
            <v>87.69</v>
          </cell>
          <cell r="H442">
            <v>98.93</v>
          </cell>
          <cell r="I442">
            <v>0.15</v>
          </cell>
          <cell r="J442" t="str">
            <v>A</v>
          </cell>
        </row>
        <row r="443">
          <cell r="A443">
            <v>38267</v>
          </cell>
          <cell r="B443" t="str">
            <v>208</v>
          </cell>
          <cell r="C443" t="str">
            <v>SMI</v>
          </cell>
          <cell r="D443" t="str">
            <v>26</v>
          </cell>
          <cell r="E443">
            <v>94.3</v>
          </cell>
          <cell r="F443">
            <v>11.24</v>
          </cell>
          <cell r="G443">
            <v>87.7</v>
          </cell>
          <cell r="H443">
            <v>98.8</v>
          </cell>
          <cell r="I443">
            <v>0.12</v>
          </cell>
          <cell r="J443" t="str">
            <v>A</v>
          </cell>
        </row>
        <row r="444">
          <cell r="A444">
            <v>38268</v>
          </cell>
          <cell r="B444" t="str">
            <v>210</v>
          </cell>
          <cell r="C444" t="str">
            <v>SMI</v>
          </cell>
          <cell r="D444" t="str">
            <v>27</v>
          </cell>
          <cell r="E444">
            <v>94.28</v>
          </cell>
          <cell r="F444">
            <v>10.99</v>
          </cell>
          <cell r="G444">
            <v>87.68</v>
          </cell>
          <cell r="H444">
            <v>98.51</v>
          </cell>
          <cell r="I444">
            <v>0.12</v>
          </cell>
          <cell r="J444" t="str">
            <v>A</v>
          </cell>
        </row>
        <row r="445">
          <cell r="A445">
            <v>38272</v>
          </cell>
          <cell r="B445" t="str">
            <v>203</v>
          </cell>
          <cell r="C445" t="str">
            <v>KLS</v>
          </cell>
          <cell r="D445" t="str">
            <v>37</v>
          </cell>
          <cell r="E445">
            <v>93.42</v>
          </cell>
          <cell r="F445">
            <v>11.67</v>
          </cell>
          <cell r="G445">
            <v>86.88</v>
          </cell>
          <cell r="H445">
            <v>98.36</v>
          </cell>
          <cell r="I445">
            <v>0.14000000000000001</v>
          </cell>
          <cell r="J445" t="str">
            <v>A</v>
          </cell>
        </row>
        <row r="446">
          <cell r="A446">
            <v>38272</v>
          </cell>
          <cell r="B446" t="str">
            <v>211</v>
          </cell>
          <cell r="C446" t="str">
            <v>SMI</v>
          </cell>
          <cell r="D446" t="str">
            <v>28</v>
          </cell>
          <cell r="E446">
            <v>94.21</v>
          </cell>
          <cell r="F446">
            <v>10.26</v>
          </cell>
          <cell r="G446">
            <v>87.62</v>
          </cell>
          <cell r="H446">
            <v>97.63</v>
          </cell>
          <cell r="I446">
            <v>0.13</v>
          </cell>
          <cell r="J446" t="str">
            <v>A</v>
          </cell>
        </row>
        <row r="447">
          <cell r="A447">
            <v>38274</v>
          </cell>
          <cell r="B447" t="str">
            <v>204</v>
          </cell>
          <cell r="C447" t="str">
            <v>KR</v>
          </cell>
          <cell r="D447" t="str">
            <v>5</v>
          </cell>
          <cell r="E447">
            <v>95.41</v>
          </cell>
          <cell r="F447">
            <v>10.33</v>
          </cell>
          <cell r="G447">
            <v>88.73</v>
          </cell>
          <cell r="H447">
            <v>98.95</v>
          </cell>
          <cell r="I447">
            <v>0.12</v>
          </cell>
          <cell r="J447" t="str">
            <v>A</v>
          </cell>
        </row>
        <row r="448">
          <cell r="A448">
            <v>38274</v>
          </cell>
          <cell r="B448" t="str">
            <v>209</v>
          </cell>
          <cell r="C448" t="str">
            <v>THW</v>
          </cell>
          <cell r="D448" t="str">
            <v>1</v>
          </cell>
          <cell r="E448">
            <v>94.57</v>
          </cell>
          <cell r="F448">
            <v>11.11</v>
          </cell>
          <cell r="G448">
            <v>87.95</v>
          </cell>
          <cell r="H448">
            <v>98.94</v>
          </cell>
          <cell r="I448">
            <v>0.11</v>
          </cell>
          <cell r="J448" t="str">
            <v>A</v>
          </cell>
        </row>
        <row r="449">
          <cell r="A449">
            <v>38274</v>
          </cell>
          <cell r="B449" t="str">
            <v>212</v>
          </cell>
          <cell r="C449" t="str">
            <v>SMI</v>
          </cell>
          <cell r="D449" t="str">
            <v>29</v>
          </cell>
          <cell r="E449">
            <v>95.46</v>
          </cell>
          <cell r="F449">
            <v>10.220000000000001</v>
          </cell>
          <cell r="G449">
            <v>88.78</v>
          </cell>
          <cell r="H449">
            <v>98.88</v>
          </cell>
          <cell r="I449">
            <v>0.11</v>
          </cell>
          <cell r="J449" t="str">
            <v>A</v>
          </cell>
        </row>
        <row r="450">
          <cell r="A450">
            <v>38274</v>
          </cell>
          <cell r="B450" t="str">
            <v>214</v>
          </cell>
          <cell r="C450" t="str">
            <v>SMI</v>
          </cell>
          <cell r="D450" t="str">
            <v>30</v>
          </cell>
          <cell r="E450">
            <v>94.56</v>
          </cell>
          <cell r="F450">
            <v>11.49</v>
          </cell>
          <cell r="G450">
            <v>87.94</v>
          </cell>
          <cell r="H450">
            <v>99.36</v>
          </cell>
          <cell r="I450">
            <v>0.11</v>
          </cell>
          <cell r="J450" t="str">
            <v>A</v>
          </cell>
        </row>
        <row r="451">
          <cell r="A451">
            <v>38279</v>
          </cell>
          <cell r="B451" t="str">
            <v>206</v>
          </cell>
          <cell r="C451" t="str">
            <v>RE</v>
          </cell>
          <cell r="D451" t="str">
            <v>60</v>
          </cell>
          <cell r="E451">
            <v>92.77</v>
          </cell>
          <cell r="F451">
            <v>12.47</v>
          </cell>
          <cell r="G451">
            <v>86.28</v>
          </cell>
          <cell r="H451">
            <v>98.57</v>
          </cell>
          <cell r="I451">
            <v>0.1</v>
          </cell>
          <cell r="J451" t="str">
            <v>A</v>
          </cell>
        </row>
        <row r="452">
          <cell r="A452">
            <v>38280</v>
          </cell>
          <cell r="B452" t="str">
            <v>217</v>
          </cell>
          <cell r="C452" t="str">
            <v>KR</v>
          </cell>
          <cell r="D452" t="str">
            <v>6</v>
          </cell>
          <cell r="E452">
            <v>93.64</v>
          </cell>
          <cell r="F452">
            <v>10.52</v>
          </cell>
          <cell r="G452">
            <v>87.09</v>
          </cell>
          <cell r="H452">
            <v>97.32</v>
          </cell>
          <cell r="I452">
            <v>0.13</v>
          </cell>
          <cell r="J452" t="str">
            <v>A</v>
          </cell>
        </row>
        <row r="453">
          <cell r="A453">
            <v>38282</v>
          </cell>
          <cell r="B453" t="str">
            <v>215</v>
          </cell>
          <cell r="C453" t="str">
            <v>SMI</v>
          </cell>
          <cell r="D453" t="str">
            <v>31</v>
          </cell>
          <cell r="E453">
            <v>93.66</v>
          </cell>
          <cell r="F453">
            <v>11.36</v>
          </cell>
          <cell r="G453">
            <v>87.1</v>
          </cell>
          <cell r="H453">
            <v>98.27</v>
          </cell>
          <cell r="I453">
            <v>0.14000000000000001</v>
          </cell>
          <cell r="J453" t="str">
            <v>A</v>
          </cell>
        </row>
        <row r="454">
          <cell r="A454">
            <v>38282</v>
          </cell>
          <cell r="B454" t="str">
            <v>219</v>
          </cell>
          <cell r="C454" t="str">
            <v>SMI</v>
          </cell>
          <cell r="D454" t="str">
            <v>32</v>
          </cell>
          <cell r="E454">
            <v>94.37</v>
          </cell>
          <cell r="F454">
            <v>10.78</v>
          </cell>
          <cell r="G454">
            <v>87.76</v>
          </cell>
          <cell r="H454">
            <v>98.37</v>
          </cell>
          <cell r="I454">
            <v>0.16</v>
          </cell>
          <cell r="J454" t="str">
            <v>A</v>
          </cell>
        </row>
        <row r="455">
          <cell r="A455">
            <v>38286</v>
          </cell>
          <cell r="B455" t="str">
            <v>216</v>
          </cell>
          <cell r="C455" t="str">
            <v>THW</v>
          </cell>
          <cell r="D455" t="str">
            <v>2</v>
          </cell>
          <cell r="E455">
            <v>93.77</v>
          </cell>
          <cell r="F455">
            <v>11.21</v>
          </cell>
          <cell r="G455">
            <v>87.21</v>
          </cell>
          <cell r="H455">
            <v>98.22</v>
          </cell>
          <cell r="I455">
            <v>0.14000000000000001</v>
          </cell>
          <cell r="J455" t="str">
            <v>A</v>
          </cell>
        </row>
        <row r="456">
          <cell r="A456">
            <v>38286</v>
          </cell>
          <cell r="B456" t="str">
            <v>218</v>
          </cell>
          <cell r="C456" t="str">
            <v>RE</v>
          </cell>
          <cell r="D456" t="str">
            <v>61</v>
          </cell>
          <cell r="E456">
            <v>92.96</v>
          </cell>
          <cell r="F456">
            <v>12.25</v>
          </cell>
          <cell r="G456">
            <v>86.45</v>
          </cell>
          <cell r="H456">
            <v>98.52</v>
          </cell>
          <cell r="I456">
            <v>0.14000000000000001</v>
          </cell>
          <cell r="J456" t="str">
            <v>A</v>
          </cell>
        </row>
        <row r="457">
          <cell r="A457">
            <v>38286</v>
          </cell>
          <cell r="B457" t="str">
            <v>221</v>
          </cell>
          <cell r="C457" t="str">
            <v>SMI</v>
          </cell>
          <cell r="D457" t="str">
            <v>33</v>
          </cell>
          <cell r="E457">
            <v>94.6</v>
          </cell>
          <cell r="F457">
            <v>10.97</v>
          </cell>
          <cell r="G457">
            <v>87.98</v>
          </cell>
          <cell r="H457">
            <v>98.82</v>
          </cell>
          <cell r="I457">
            <v>0.13</v>
          </cell>
          <cell r="J457" t="str">
            <v>A</v>
          </cell>
        </row>
        <row r="458">
          <cell r="A458">
            <v>38287</v>
          </cell>
          <cell r="B458" t="str">
            <v>220</v>
          </cell>
          <cell r="C458" t="str">
            <v>KR</v>
          </cell>
          <cell r="D458" t="str">
            <v>7</v>
          </cell>
          <cell r="E458">
            <v>93.77</v>
          </cell>
          <cell r="F458">
            <v>11.03</v>
          </cell>
          <cell r="G458">
            <v>87.21</v>
          </cell>
          <cell r="H458">
            <v>98.02</v>
          </cell>
          <cell r="I458">
            <v>0.16</v>
          </cell>
          <cell r="J458" t="str">
            <v>A</v>
          </cell>
        </row>
        <row r="459">
          <cell r="A459">
            <v>38287</v>
          </cell>
          <cell r="B459" t="str">
            <v>224</v>
          </cell>
          <cell r="C459" t="str">
            <v>SMI</v>
          </cell>
          <cell r="D459" t="str">
            <v>34</v>
          </cell>
          <cell r="E459">
            <v>94.56</v>
          </cell>
          <cell r="F459">
            <v>11.06</v>
          </cell>
          <cell r="G459">
            <v>87.94</v>
          </cell>
          <cell r="H459">
            <v>98.88</v>
          </cell>
          <cell r="I459">
            <v>0.14000000000000001</v>
          </cell>
          <cell r="J459" t="str">
            <v>A</v>
          </cell>
        </row>
        <row r="460">
          <cell r="A460">
            <v>38289</v>
          </cell>
          <cell r="B460" t="str">
            <v>213</v>
          </cell>
          <cell r="C460" t="str">
            <v>KLS</v>
          </cell>
          <cell r="D460" t="str">
            <v>38</v>
          </cell>
          <cell r="E460">
            <v>92.96</v>
          </cell>
          <cell r="F460">
            <v>11.67</v>
          </cell>
          <cell r="G460">
            <v>86.45</v>
          </cell>
          <cell r="H460">
            <v>97.87</v>
          </cell>
          <cell r="I460">
            <v>0.14000000000000001</v>
          </cell>
          <cell r="J460" t="str">
            <v>A</v>
          </cell>
        </row>
        <row r="461">
          <cell r="A461">
            <v>38289</v>
          </cell>
          <cell r="B461" t="str">
            <v>225</v>
          </cell>
          <cell r="C461" t="str">
            <v>SMI</v>
          </cell>
          <cell r="D461" t="str">
            <v>35</v>
          </cell>
          <cell r="E461">
            <v>93.75</v>
          </cell>
          <cell r="F461">
            <v>11.03</v>
          </cell>
          <cell r="G461">
            <v>87.19</v>
          </cell>
          <cell r="H461">
            <v>98</v>
          </cell>
          <cell r="I461">
            <v>0.18</v>
          </cell>
          <cell r="J461" t="str">
            <v>A</v>
          </cell>
        </row>
        <row r="462">
          <cell r="A462">
            <v>38290</v>
          </cell>
          <cell r="B462" t="str">
            <v>222</v>
          </cell>
          <cell r="C462" t="str">
            <v>RE</v>
          </cell>
          <cell r="D462" t="str">
            <v>62</v>
          </cell>
          <cell r="E462">
            <v>93.44</v>
          </cell>
          <cell r="F462">
            <v>11.03</v>
          </cell>
          <cell r="G462">
            <v>86.9</v>
          </cell>
          <cell r="H462">
            <v>97.67</v>
          </cell>
          <cell r="I462">
            <v>0.14000000000000001</v>
          </cell>
          <cell r="J462" t="str">
            <v>A</v>
          </cell>
        </row>
        <row r="463">
          <cell r="A463">
            <v>38290</v>
          </cell>
          <cell r="B463" t="str">
            <v>223</v>
          </cell>
          <cell r="C463" t="str">
            <v>THW</v>
          </cell>
          <cell r="D463" t="str">
            <v>3</v>
          </cell>
          <cell r="E463">
            <v>93.44</v>
          </cell>
          <cell r="F463">
            <v>11.28</v>
          </cell>
          <cell r="G463">
            <v>86.9</v>
          </cell>
          <cell r="H463">
            <v>97.95</v>
          </cell>
          <cell r="I463">
            <v>0.12</v>
          </cell>
          <cell r="J463" t="str">
            <v>A</v>
          </cell>
        </row>
        <row r="464">
          <cell r="A464">
            <v>38290</v>
          </cell>
          <cell r="B464" t="str">
            <v>226</v>
          </cell>
          <cell r="C464" t="str">
            <v>KR</v>
          </cell>
          <cell r="D464" t="str">
            <v>8</v>
          </cell>
          <cell r="E464">
            <v>94.21</v>
          </cell>
          <cell r="F464">
            <v>10.55</v>
          </cell>
          <cell r="G464">
            <v>87.62</v>
          </cell>
          <cell r="H464">
            <v>97.95</v>
          </cell>
          <cell r="I464">
            <v>0.13</v>
          </cell>
          <cell r="J464" t="str">
            <v>A</v>
          </cell>
        </row>
        <row r="465">
          <cell r="A465">
            <v>38290</v>
          </cell>
          <cell r="B465" t="str">
            <v>227</v>
          </cell>
          <cell r="C465" t="str">
            <v>SMI</v>
          </cell>
          <cell r="D465" t="str">
            <v>36</v>
          </cell>
          <cell r="E465">
            <v>94.26</v>
          </cell>
          <cell r="F465">
            <v>10.61</v>
          </cell>
          <cell r="G465">
            <v>87.66</v>
          </cell>
          <cell r="H465">
            <v>98.07</v>
          </cell>
          <cell r="I465">
            <v>0.12</v>
          </cell>
          <cell r="J465" t="str">
            <v>A</v>
          </cell>
        </row>
        <row r="466">
          <cell r="A466">
            <v>38290</v>
          </cell>
          <cell r="B466" t="str">
            <v>228</v>
          </cell>
          <cell r="C466" t="str">
            <v>RE</v>
          </cell>
          <cell r="D466" t="str">
            <v>63</v>
          </cell>
          <cell r="E466">
            <v>94.2</v>
          </cell>
          <cell r="F466">
            <v>10.91</v>
          </cell>
          <cell r="G466">
            <v>87.61</v>
          </cell>
          <cell r="H466">
            <v>98.33</v>
          </cell>
          <cell r="I466">
            <v>0.13</v>
          </cell>
          <cell r="J466" t="str">
            <v>A</v>
          </cell>
        </row>
        <row r="467">
          <cell r="A467">
            <v>38296</v>
          </cell>
          <cell r="B467" t="str">
            <v>229</v>
          </cell>
          <cell r="C467" t="str">
            <v>SMI</v>
          </cell>
          <cell r="D467" t="str">
            <v>37</v>
          </cell>
          <cell r="E467">
            <v>93.46</v>
          </cell>
          <cell r="F467">
            <v>11.41</v>
          </cell>
          <cell r="G467">
            <v>86.92</v>
          </cell>
          <cell r="H467">
            <v>98.11</v>
          </cell>
          <cell r="I467">
            <v>0.18</v>
          </cell>
          <cell r="J467" t="str">
            <v>A</v>
          </cell>
        </row>
        <row r="468">
          <cell r="A468">
            <v>38296</v>
          </cell>
          <cell r="B468" t="str">
            <v>230</v>
          </cell>
          <cell r="C468" t="str">
            <v>PVD</v>
          </cell>
          <cell r="D468" t="str">
            <v>38</v>
          </cell>
          <cell r="E468">
            <v>93.39</v>
          </cell>
          <cell r="F468">
            <v>11.19</v>
          </cell>
          <cell r="G468">
            <v>86.85</v>
          </cell>
          <cell r="H468">
            <v>97.8</v>
          </cell>
          <cell r="I468">
            <v>0.15</v>
          </cell>
          <cell r="J468" t="str">
            <v>A</v>
          </cell>
        </row>
        <row r="469">
          <cell r="A469">
            <v>38300</v>
          </cell>
          <cell r="B469" t="str">
            <v>233</v>
          </cell>
          <cell r="C469" t="str">
            <v>KLS</v>
          </cell>
          <cell r="D469" t="str">
            <v>39</v>
          </cell>
          <cell r="E469">
            <v>94.12</v>
          </cell>
          <cell r="F469">
            <v>10.32</v>
          </cell>
          <cell r="G469">
            <v>87.53</v>
          </cell>
          <cell r="H469">
            <v>97.6</v>
          </cell>
          <cell r="I469">
            <v>0.08</v>
          </cell>
          <cell r="J469" t="str">
            <v>A</v>
          </cell>
        </row>
        <row r="470">
          <cell r="A470">
            <v>38300</v>
          </cell>
          <cell r="B470" t="str">
            <v>234</v>
          </cell>
          <cell r="C470" t="str">
            <v>SMI</v>
          </cell>
          <cell r="D470" t="str">
            <v>38</v>
          </cell>
          <cell r="E470">
            <v>94.14</v>
          </cell>
          <cell r="F470">
            <v>10.5</v>
          </cell>
          <cell r="G470">
            <v>87.55</v>
          </cell>
          <cell r="H470">
            <v>97.82</v>
          </cell>
          <cell r="I470">
            <v>0.13</v>
          </cell>
          <cell r="J470" t="str">
            <v>A</v>
          </cell>
        </row>
        <row r="471">
          <cell r="A471">
            <v>38300</v>
          </cell>
          <cell r="B471" t="str">
            <v>235</v>
          </cell>
          <cell r="C471" t="str">
            <v>PVD</v>
          </cell>
          <cell r="D471" t="str">
            <v>39</v>
          </cell>
          <cell r="E471">
            <v>94.1</v>
          </cell>
          <cell r="F471">
            <v>10.33</v>
          </cell>
          <cell r="G471">
            <v>87.51</v>
          </cell>
          <cell r="H471">
            <v>97.59</v>
          </cell>
          <cell r="I471">
            <v>0.14000000000000001</v>
          </cell>
          <cell r="J471" t="str">
            <v>A</v>
          </cell>
        </row>
        <row r="472">
          <cell r="A472">
            <v>38301</v>
          </cell>
          <cell r="B472" t="str">
            <v>232</v>
          </cell>
          <cell r="C472" t="str">
            <v>KR</v>
          </cell>
          <cell r="D472" t="str">
            <v>9</v>
          </cell>
          <cell r="E472">
            <v>94.17</v>
          </cell>
          <cell r="F472">
            <v>10.58</v>
          </cell>
          <cell r="G472">
            <v>87.58</v>
          </cell>
          <cell r="H472">
            <v>97.94</v>
          </cell>
          <cell r="I472">
            <v>0.16</v>
          </cell>
          <cell r="J472" t="str">
            <v>A</v>
          </cell>
        </row>
        <row r="473">
          <cell r="A473">
            <v>38303</v>
          </cell>
          <cell r="B473" t="str">
            <v>231</v>
          </cell>
          <cell r="C473" t="str">
            <v>THW</v>
          </cell>
          <cell r="D473" t="str">
            <v>4</v>
          </cell>
          <cell r="E473">
            <v>94.16</v>
          </cell>
          <cell r="F473">
            <v>10.91</v>
          </cell>
          <cell r="G473">
            <v>87.57</v>
          </cell>
          <cell r="H473">
            <v>98.29</v>
          </cell>
          <cell r="I473">
            <v>0.11</v>
          </cell>
          <cell r="J473" t="str">
            <v>A</v>
          </cell>
        </row>
        <row r="474">
          <cell r="A474">
            <v>38306</v>
          </cell>
          <cell r="B474" t="str">
            <v>237</v>
          </cell>
          <cell r="C474" t="str">
            <v>PVD</v>
          </cell>
          <cell r="D474" t="str">
            <v>40</v>
          </cell>
          <cell r="E474">
            <v>94.16</v>
          </cell>
          <cell r="F474">
            <v>11.35</v>
          </cell>
          <cell r="G474">
            <v>87.57</v>
          </cell>
          <cell r="H474">
            <v>98.78</v>
          </cell>
          <cell r="I474">
            <v>0.13</v>
          </cell>
          <cell r="J474" t="str">
            <v>A</v>
          </cell>
        </row>
        <row r="475">
          <cell r="A475">
            <v>38308</v>
          </cell>
          <cell r="B475" t="str">
            <v>236</v>
          </cell>
          <cell r="C475" t="str">
            <v>SM2</v>
          </cell>
          <cell r="D475" t="str">
            <v>31</v>
          </cell>
          <cell r="E475">
            <v>94.14</v>
          </cell>
          <cell r="F475">
            <v>10.92</v>
          </cell>
          <cell r="G475">
            <v>87.55</v>
          </cell>
          <cell r="H475">
            <v>98.28</v>
          </cell>
          <cell r="I475">
            <v>0.11</v>
          </cell>
          <cell r="J475" t="str">
            <v>A</v>
          </cell>
        </row>
        <row r="476">
          <cell r="A476">
            <v>38308</v>
          </cell>
          <cell r="B476" t="str">
            <v>239</v>
          </cell>
          <cell r="C476" t="str">
            <v>KR</v>
          </cell>
          <cell r="D476" t="str">
            <v>10</v>
          </cell>
          <cell r="E476">
            <v>94.17</v>
          </cell>
          <cell r="F476">
            <v>11.85</v>
          </cell>
          <cell r="G476">
            <v>87.58</v>
          </cell>
          <cell r="H476">
            <v>99.35</v>
          </cell>
          <cell r="I476">
            <v>0.15</v>
          </cell>
          <cell r="J476" t="str">
            <v>A</v>
          </cell>
        </row>
        <row r="477">
          <cell r="A477">
            <v>38309</v>
          </cell>
          <cell r="B477" t="str">
            <v>241</v>
          </cell>
          <cell r="C477" t="str">
            <v>PVD</v>
          </cell>
          <cell r="D477" t="str">
            <v>41</v>
          </cell>
          <cell r="E477">
            <v>94.11</v>
          </cell>
          <cell r="F477">
            <v>11.3</v>
          </cell>
          <cell r="G477">
            <v>87.52</v>
          </cell>
          <cell r="H477">
            <v>98.67</v>
          </cell>
          <cell r="I477">
            <v>0.12</v>
          </cell>
          <cell r="J477" t="str">
            <v>A</v>
          </cell>
        </row>
        <row r="478">
          <cell r="A478">
            <v>38314</v>
          </cell>
          <cell r="B478" t="str">
            <v>238</v>
          </cell>
          <cell r="C478" t="str">
            <v>KLS</v>
          </cell>
          <cell r="D478" t="str">
            <v>40</v>
          </cell>
          <cell r="E478">
            <v>92.91</v>
          </cell>
          <cell r="F478">
            <v>11.96</v>
          </cell>
          <cell r="G478">
            <v>86.41</v>
          </cell>
          <cell r="H478">
            <v>98.14</v>
          </cell>
          <cell r="I478">
            <v>0.11</v>
          </cell>
          <cell r="J478" t="str">
            <v>A</v>
          </cell>
        </row>
        <row r="479">
          <cell r="A479">
            <v>38314</v>
          </cell>
          <cell r="B479" t="str">
            <v>240</v>
          </cell>
          <cell r="C479" t="str">
            <v>THW</v>
          </cell>
          <cell r="D479" t="str">
            <v>5</v>
          </cell>
          <cell r="E479">
            <v>92.93</v>
          </cell>
          <cell r="F479">
            <v>11.28</v>
          </cell>
          <cell r="G479">
            <v>86.42</v>
          </cell>
          <cell r="H479">
            <v>97.41</v>
          </cell>
          <cell r="I479">
            <v>0.12</v>
          </cell>
          <cell r="J479" t="str">
            <v>A</v>
          </cell>
        </row>
        <row r="480">
          <cell r="A480">
            <v>38314</v>
          </cell>
          <cell r="B480" t="str">
            <v>242</v>
          </cell>
          <cell r="C480" t="str">
            <v>KLS</v>
          </cell>
          <cell r="D480" t="str">
            <v>41</v>
          </cell>
          <cell r="E480">
            <v>92.96</v>
          </cell>
          <cell r="F480">
            <v>11.88</v>
          </cell>
          <cell r="G480">
            <v>86.45</v>
          </cell>
          <cell r="H480">
            <v>98.11</v>
          </cell>
          <cell r="I480">
            <v>0.1</v>
          </cell>
          <cell r="J480" t="str">
            <v>A</v>
          </cell>
        </row>
        <row r="481">
          <cell r="A481">
            <v>38314</v>
          </cell>
          <cell r="B481" t="str">
            <v>243</v>
          </cell>
          <cell r="C481" t="str">
            <v>SM2</v>
          </cell>
          <cell r="D481" t="str">
            <v>32</v>
          </cell>
          <cell r="E481">
            <v>92.94</v>
          </cell>
          <cell r="F481">
            <v>11.26</v>
          </cell>
          <cell r="G481">
            <v>86.43</v>
          </cell>
          <cell r="H481">
            <v>97.4</v>
          </cell>
          <cell r="I481">
            <v>0.18</v>
          </cell>
          <cell r="J481" t="str">
            <v>A</v>
          </cell>
        </row>
        <row r="482">
          <cell r="A482">
            <v>38314</v>
          </cell>
          <cell r="B482" t="str">
            <v>244</v>
          </cell>
          <cell r="C482" t="str">
            <v>KR</v>
          </cell>
          <cell r="D482" t="str">
            <v>11</v>
          </cell>
          <cell r="E482">
            <v>92.94</v>
          </cell>
          <cell r="F482">
            <v>12.06</v>
          </cell>
          <cell r="G482">
            <v>86.43</v>
          </cell>
          <cell r="H482">
            <v>98.29</v>
          </cell>
          <cell r="I482">
            <v>0.15</v>
          </cell>
          <cell r="J482" t="str">
            <v>A</v>
          </cell>
        </row>
        <row r="483">
          <cell r="A483">
            <v>38314</v>
          </cell>
          <cell r="B483" t="str">
            <v>245</v>
          </cell>
          <cell r="C483" t="str">
            <v>PVD</v>
          </cell>
          <cell r="D483" t="str">
            <v>42</v>
          </cell>
          <cell r="E483">
            <v>92.92</v>
          </cell>
          <cell r="F483">
            <v>11.51</v>
          </cell>
          <cell r="G483">
            <v>86.42</v>
          </cell>
          <cell r="H483">
            <v>97.66</v>
          </cell>
          <cell r="I483">
            <v>0.09</v>
          </cell>
          <cell r="J483" t="str">
            <v>A</v>
          </cell>
        </row>
        <row r="484">
          <cell r="A484">
            <v>38316</v>
          </cell>
          <cell r="B484" t="str">
            <v>247</v>
          </cell>
          <cell r="C484" t="str">
            <v>PVD</v>
          </cell>
          <cell r="D484" t="str">
            <v>43</v>
          </cell>
          <cell r="E484">
            <v>94.14</v>
          </cell>
          <cell r="F484">
            <v>10.26</v>
          </cell>
          <cell r="G484">
            <v>87.55</v>
          </cell>
          <cell r="H484">
            <v>97.56</v>
          </cell>
          <cell r="I484">
            <v>0.12</v>
          </cell>
          <cell r="J484" t="str">
            <v>A</v>
          </cell>
        </row>
        <row r="485">
          <cell r="A485">
            <v>38318</v>
          </cell>
          <cell r="B485" t="str">
            <v>275</v>
          </cell>
          <cell r="C485" t="str">
            <v>SM2</v>
          </cell>
          <cell r="D485" t="str">
            <v>43</v>
          </cell>
          <cell r="E485">
            <v>92.77</v>
          </cell>
          <cell r="F485">
            <v>11.13</v>
          </cell>
          <cell r="G485">
            <v>86.28</v>
          </cell>
          <cell r="H485">
            <v>97.08</v>
          </cell>
          <cell r="I485">
            <v>0.13</v>
          </cell>
          <cell r="J485" t="str">
            <v>A</v>
          </cell>
        </row>
        <row r="486">
          <cell r="A486">
            <v>38318</v>
          </cell>
          <cell r="B486" t="str">
            <v>276</v>
          </cell>
          <cell r="C486" t="str">
            <v>KLS</v>
          </cell>
          <cell r="D486" t="str">
            <v>49</v>
          </cell>
          <cell r="E486">
            <v>93.67</v>
          </cell>
          <cell r="F486">
            <v>10.77</v>
          </cell>
          <cell r="G486">
            <v>87.11</v>
          </cell>
          <cell r="H486">
            <v>97.63</v>
          </cell>
          <cell r="I486">
            <v>0.12</v>
          </cell>
          <cell r="J486" t="str">
            <v>A</v>
          </cell>
        </row>
        <row r="487">
          <cell r="A487">
            <v>38319</v>
          </cell>
          <cell r="B487" t="str">
            <v>277</v>
          </cell>
          <cell r="C487" t="str">
            <v>THW</v>
          </cell>
          <cell r="D487" t="str">
            <v>12</v>
          </cell>
          <cell r="E487">
            <v>92.75</v>
          </cell>
          <cell r="F487">
            <v>12.48</v>
          </cell>
          <cell r="G487">
            <v>86.26</v>
          </cell>
          <cell r="H487">
            <v>98.56</v>
          </cell>
          <cell r="I487">
            <v>0.15</v>
          </cell>
          <cell r="J487" t="str">
            <v>A</v>
          </cell>
        </row>
        <row r="488">
          <cell r="A488">
            <v>38319</v>
          </cell>
          <cell r="B488" t="str">
            <v>278</v>
          </cell>
          <cell r="C488" t="str">
            <v>SMI</v>
          </cell>
          <cell r="D488" t="str">
            <v>39</v>
          </cell>
          <cell r="E488">
            <v>92.74</v>
          </cell>
          <cell r="F488">
            <v>11.11</v>
          </cell>
          <cell r="G488">
            <v>86.25</v>
          </cell>
          <cell r="H488">
            <v>97.03</v>
          </cell>
          <cell r="I488">
            <v>0.13</v>
          </cell>
          <cell r="J488" t="str">
            <v>A</v>
          </cell>
        </row>
        <row r="489">
          <cell r="A489">
            <v>38320</v>
          </cell>
          <cell r="B489" t="str">
            <v>249</v>
          </cell>
          <cell r="C489" t="str">
            <v>SM2</v>
          </cell>
          <cell r="D489" t="str">
            <v>35</v>
          </cell>
          <cell r="E489">
            <v>94.12</v>
          </cell>
          <cell r="F489">
            <v>10.27</v>
          </cell>
          <cell r="G489">
            <v>87.53</v>
          </cell>
          <cell r="H489">
            <v>97.55</v>
          </cell>
          <cell r="I489">
            <v>0.14000000000000001</v>
          </cell>
          <cell r="J489" t="str">
            <v>A</v>
          </cell>
        </row>
        <row r="490">
          <cell r="A490">
            <v>38320</v>
          </cell>
          <cell r="B490" t="str">
            <v>251</v>
          </cell>
          <cell r="C490" t="str">
            <v>PVD</v>
          </cell>
          <cell r="D490" t="str">
            <v>44</v>
          </cell>
          <cell r="E490">
            <v>94.17</v>
          </cell>
          <cell r="F490">
            <v>10.41</v>
          </cell>
          <cell r="G490">
            <v>87.58</v>
          </cell>
          <cell r="H490">
            <v>97.75</v>
          </cell>
          <cell r="I490">
            <v>0.16</v>
          </cell>
          <cell r="J490" t="str">
            <v>A</v>
          </cell>
        </row>
        <row r="491">
          <cell r="A491">
            <v>38321</v>
          </cell>
          <cell r="B491" t="str">
            <v>246</v>
          </cell>
          <cell r="C491" t="str">
            <v>KR</v>
          </cell>
          <cell r="D491" t="str">
            <v>12</v>
          </cell>
          <cell r="E491">
            <v>93.26</v>
          </cell>
          <cell r="F491">
            <v>11.36</v>
          </cell>
          <cell r="G491">
            <v>86.73</v>
          </cell>
          <cell r="H491">
            <v>97.85</v>
          </cell>
          <cell r="I491">
            <v>0.13</v>
          </cell>
          <cell r="J491" t="str">
            <v>A</v>
          </cell>
        </row>
        <row r="492">
          <cell r="A492">
            <v>38321</v>
          </cell>
          <cell r="B492" t="str">
            <v>248</v>
          </cell>
          <cell r="C492" t="str">
            <v>KLS</v>
          </cell>
          <cell r="D492" t="str">
            <v>42</v>
          </cell>
          <cell r="E492">
            <v>93.23</v>
          </cell>
          <cell r="F492">
            <v>11.71</v>
          </cell>
          <cell r="G492">
            <v>86.7</v>
          </cell>
          <cell r="H492">
            <v>98.2</v>
          </cell>
          <cell r="I492">
            <v>0.11</v>
          </cell>
          <cell r="J492" t="str">
            <v>A</v>
          </cell>
        </row>
        <row r="493">
          <cell r="A493">
            <v>38321</v>
          </cell>
          <cell r="B493" t="str">
            <v>250</v>
          </cell>
          <cell r="C493" t="str">
            <v>THW</v>
          </cell>
          <cell r="D493" t="str">
            <v>6</v>
          </cell>
          <cell r="E493">
            <v>94.11</v>
          </cell>
          <cell r="F493">
            <v>10.84</v>
          </cell>
          <cell r="G493">
            <v>87.52</v>
          </cell>
          <cell r="H493">
            <v>98.16</v>
          </cell>
          <cell r="I493">
            <v>0.14000000000000001</v>
          </cell>
          <cell r="J493" t="str">
            <v>A</v>
          </cell>
        </row>
        <row r="494">
          <cell r="A494">
            <v>38321</v>
          </cell>
          <cell r="B494" t="str">
            <v>252</v>
          </cell>
          <cell r="C494" t="str">
            <v>SM2</v>
          </cell>
          <cell r="D494" t="str">
            <v>34</v>
          </cell>
          <cell r="E494">
            <v>94.09</v>
          </cell>
          <cell r="F494">
            <v>10.81</v>
          </cell>
          <cell r="G494">
            <v>87.5</v>
          </cell>
          <cell r="H494">
            <v>98.11</v>
          </cell>
          <cell r="I494">
            <v>0.19</v>
          </cell>
          <cell r="J494" t="str">
            <v>A</v>
          </cell>
        </row>
        <row r="495">
          <cell r="A495">
            <v>38321</v>
          </cell>
          <cell r="B495" t="str">
            <v>253</v>
          </cell>
          <cell r="C495" t="str">
            <v>SM2</v>
          </cell>
          <cell r="D495" t="str">
            <v>35</v>
          </cell>
          <cell r="E495">
            <v>93.2</v>
          </cell>
          <cell r="F495">
            <v>11.54</v>
          </cell>
          <cell r="G495">
            <v>86.68</v>
          </cell>
          <cell r="H495">
            <v>97.98</v>
          </cell>
          <cell r="I495">
            <v>0.13</v>
          </cell>
          <cell r="J495" t="str">
            <v>A</v>
          </cell>
        </row>
        <row r="496">
          <cell r="A496">
            <v>38321</v>
          </cell>
          <cell r="B496" t="str">
            <v>254</v>
          </cell>
          <cell r="C496" t="str">
            <v>SM2</v>
          </cell>
          <cell r="D496" t="str">
            <v>36</v>
          </cell>
          <cell r="E496">
            <v>93.24</v>
          </cell>
          <cell r="F496">
            <v>11.59</v>
          </cell>
          <cell r="G496">
            <v>86.71</v>
          </cell>
          <cell r="H496">
            <v>98.08</v>
          </cell>
          <cell r="I496">
            <v>0.14000000000000001</v>
          </cell>
          <cell r="J496" t="str">
            <v>A</v>
          </cell>
        </row>
        <row r="497">
          <cell r="A497">
            <v>38321</v>
          </cell>
          <cell r="B497" t="str">
            <v>255</v>
          </cell>
          <cell r="C497" t="str">
            <v>THW</v>
          </cell>
          <cell r="D497" t="str">
            <v>7</v>
          </cell>
          <cell r="E497">
            <v>94.111000000000004</v>
          </cell>
          <cell r="F497">
            <v>10.81</v>
          </cell>
          <cell r="G497">
            <v>87.52</v>
          </cell>
          <cell r="H497">
            <v>98.13</v>
          </cell>
          <cell r="I497">
            <v>0.1</v>
          </cell>
          <cell r="J497" t="str">
            <v>A</v>
          </cell>
        </row>
        <row r="498">
          <cell r="A498">
            <v>38321</v>
          </cell>
          <cell r="B498" t="str">
            <v>269</v>
          </cell>
          <cell r="C498" t="str">
            <v>KR</v>
          </cell>
          <cell r="D498" t="str">
            <v>15</v>
          </cell>
          <cell r="E498">
            <v>92.79</v>
          </cell>
          <cell r="F498">
            <v>11.81</v>
          </cell>
          <cell r="G498">
            <v>86.29</v>
          </cell>
          <cell r="H498">
            <v>97.85</v>
          </cell>
          <cell r="I498">
            <v>0.1</v>
          </cell>
          <cell r="J498" t="str">
            <v>A</v>
          </cell>
        </row>
        <row r="499">
          <cell r="A499">
            <v>38321</v>
          </cell>
          <cell r="B499" t="str">
            <v>279</v>
          </cell>
          <cell r="C499" t="str">
            <v>KLS</v>
          </cell>
          <cell r="D499" t="str">
            <v>50</v>
          </cell>
          <cell r="E499">
            <v>93.66</v>
          </cell>
          <cell r="F499">
            <v>10.78</v>
          </cell>
          <cell r="G499">
            <v>87.1</v>
          </cell>
          <cell r="H499">
            <v>97.63</v>
          </cell>
          <cell r="I499">
            <v>0.1</v>
          </cell>
          <cell r="J499" t="str">
            <v>A</v>
          </cell>
        </row>
        <row r="500">
          <cell r="A500">
            <v>38321</v>
          </cell>
          <cell r="B500" t="str">
            <v>280</v>
          </cell>
          <cell r="C500" t="str">
            <v>SMI</v>
          </cell>
          <cell r="D500" t="str">
            <v>40</v>
          </cell>
          <cell r="E500">
            <v>93.61</v>
          </cell>
          <cell r="F500">
            <v>11.13</v>
          </cell>
          <cell r="G500">
            <v>87.06</v>
          </cell>
          <cell r="H500">
            <v>97.96</v>
          </cell>
          <cell r="I500">
            <v>0.13</v>
          </cell>
          <cell r="J500" t="str">
            <v>A</v>
          </cell>
        </row>
        <row r="501">
          <cell r="A501">
            <v>38321</v>
          </cell>
          <cell r="B501" t="str">
            <v>281</v>
          </cell>
          <cell r="C501" t="str">
            <v>THW</v>
          </cell>
          <cell r="D501" t="str">
            <v>13</v>
          </cell>
          <cell r="E501">
            <v>92.28</v>
          </cell>
          <cell r="F501">
            <v>12.42</v>
          </cell>
          <cell r="G501">
            <v>85.82</v>
          </cell>
          <cell r="H501">
            <v>97.99</v>
          </cell>
          <cell r="I501">
            <v>0.15</v>
          </cell>
          <cell r="J501" t="str">
            <v>R</v>
          </cell>
        </row>
        <row r="502">
          <cell r="A502">
            <v>38328</v>
          </cell>
          <cell r="B502" t="str">
            <v>256</v>
          </cell>
          <cell r="C502" t="str">
            <v>SM2</v>
          </cell>
          <cell r="D502" t="str">
            <v>37</v>
          </cell>
          <cell r="E502">
            <v>93.21</v>
          </cell>
          <cell r="F502">
            <v>11.86</v>
          </cell>
          <cell r="G502">
            <v>86.69</v>
          </cell>
          <cell r="H502">
            <v>98.35</v>
          </cell>
          <cell r="I502">
            <v>0.14000000000000001</v>
          </cell>
          <cell r="J502" t="str">
            <v>A</v>
          </cell>
        </row>
        <row r="503">
          <cell r="A503">
            <v>38328</v>
          </cell>
          <cell r="B503" t="str">
            <v>257</v>
          </cell>
          <cell r="C503" t="str">
            <v>KR</v>
          </cell>
          <cell r="D503" t="str">
            <v>13</v>
          </cell>
          <cell r="E503">
            <v>94.17</v>
          </cell>
          <cell r="F503">
            <v>10.55</v>
          </cell>
          <cell r="G503">
            <v>87.58</v>
          </cell>
          <cell r="H503">
            <v>97.91</v>
          </cell>
          <cell r="I503">
            <v>0.12</v>
          </cell>
          <cell r="J503" t="str">
            <v>A</v>
          </cell>
        </row>
        <row r="504">
          <cell r="A504">
            <v>38328</v>
          </cell>
          <cell r="B504" t="str">
            <v>258</v>
          </cell>
          <cell r="C504" t="str">
            <v>THW</v>
          </cell>
          <cell r="D504" t="str">
            <v>8</v>
          </cell>
          <cell r="E504">
            <v>93.23</v>
          </cell>
          <cell r="F504">
            <v>12.06</v>
          </cell>
          <cell r="G504">
            <v>86.7</v>
          </cell>
          <cell r="H504">
            <v>98.59</v>
          </cell>
          <cell r="I504">
            <v>0.15</v>
          </cell>
          <cell r="J504" t="str">
            <v>A</v>
          </cell>
        </row>
        <row r="505">
          <cell r="A505">
            <v>38328</v>
          </cell>
          <cell r="B505" t="str">
            <v>259</v>
          </cell>
          <cell r="C505" t="str">
            <v>KLS</v>
          </cell>
          <cell r="D505" t="str">
            <v>43</v>
          </cell>
          <cell r="E505">
            <v>93.26</v>
          </cell>
          <cell r="F505">
            <v>11.41</v>
          </cell>
          <cell r="G505">
            <v>86.73</v>
          </cell>
          <cell r="H505">
            <v>97.9</v>
          </cell>
          <cell r="I505">
            <v>0.09</v>
          </cell>
          <cell r="J505" t="str">
            <v>A</v>
          </cell>
        </row>
        <row r="506">
          <cell r="A506">
            <v>38329</v>
          </cell>
          <cell r="B506" t="str">
            <v>260</v>
          </cell>
          <cell r="C506" t="str">
            <v>SM2</v>
          </cell>
          <cell r="D506" t="str">
            <v>38</v>
          </cell>
          <cell r="E506">
            <v>94.1</v>
          </cell>
          <cell r="F506">
            <v>11.07</v>
          </cell>
          <cell r="G506">
            <v>87.51</v>
          </cell>
          <cell r="H506">
            <v>98.41</v>
          </cell>
          <cell r="I506">
            <v>0.15</v>
          </cell>
          <cell r="J506" t="str">
            <v>A</v>
          </cell>
        </row>
        <row r="507">
          <cell r="A507">
            <v>38334</v>
          </cell>
          <cell r="B507" t="str">
            <v>261</v>
          </cell>
          <cell r="C507" t="str">
            <v>KLS</v>
          </cell>
          <cell r="D507" t="str">
            <v>44</v>
          </cell>
          <cell r="E507">
            <v>94.28</v>
          </cell>
          <cell r="F507">
            <v>10.119999999999999</v>
          </cell>
          <cell r="G507">
            <v>87.68</v>
          </cell>
          <cell r="H507">
            <v>97.55</v>
          </cell>
          <cell r="I507">
            <v>0.12</v>
          </cell>
          <cell r="J507" t="str">
            <v>A</v>
          </cell>
        </row>
        <row r="508">
          <cell r="A508">
            <v>38334</v>
          </cell>
          <cell r="B508" t="str">
            <v>263</v>
          </cell>
          <cell r="C508" t="str">
            <v>THW</v>
          </cell>
          <cell r="D508" t="str">
            <v>9</v>
          </cell>
          <cell r="E508">
            <v>92.62</v>
          </cell>
          <cell r="F508">
            <v>12.01</v>
          </cell>
          <cell r="G508">
            <v>86.14</v>
          </cell>
          <cell r="H508">
            <v>97.89</v>
          </cell>
          <cell r="I508">
            <v>0.15</v>
          </cell>
          <cell r="J508" t="str">
            <v>A</v>
          </cell>
        </row>
        <row r="509">
          <cell r="A509">
            <v>38334</v>
          </cell>
          <cell r="B509" t="str">
            <v>264</v>
          </cell>
          <cell r="C509" t="str">
            <v>SM2</v>
          </cell>
          <cell r="D509" t="str">
            <v>39</v>
          </cell>
          <cell r="E509">
            <v>94.27</v>
          </cell>
          <cell r="F509">
            <v>10.45</v>
          </cell>
          <cell r="G509">
            <v>87.67</v>
          </cell>
          <cell r="H509">
            <v>97.9</v>
          </cell>
          <cell r="I509">
            <v>0.14000000000000001</v>
          </cell>
          <cell r="J509" t="str">
            <v>A</v>
          </cell>
        </row>
        <row r="510">
          <cell r="A510">
            <v>38336</v>
          </cell>
          <cell r="B510" t="str">
            <v>265</v>
          </cell>
          <cell r="C510" t="str">
            <v>KLS</v>
          </cell>
          <cell r="D510" t="str">
            <v>45</v>
          </cell>
          <cell r="E510">
            <v>94.24</v>
          </cell>
          <cell r="F510">
            <v>10.39</v>
          </cell>
          <cell r="G510">
            <v>87.64</v>
          </cell>
          <cell r="H510">
            <v>97.81</v>
          </cell>
          <cell r="I510">
            <v>0.13</v>
          </cell>
          <cell r="J510" t="str">
            <v>A</v>
          </cell>
        </row>
        <row r="511">
          <cell r="A511">
            <v>38338</v>
          </cell>
          <cell r="B511" t="str">
            <v>262</v>
          </cell>
          <cell r="C511" t="str">
            <v>KR</v>
          </cell>
          <cell r="D511" t="str">
            <v>14</v>
          </cell>
          <cell r="E511">
            <v>94.16</v>
          </cell>
          <cell r="F511">
            <v>10.73</v>
          </cell>
          <cell r="G511">
            <v>87.57</v>
          </cell>
          <cell r="H511">
            <v>98.09</v>
          </cell>
          <cell r="I511">
            <v>0.15</v>
          </cell>
          <cell r="J511" t="str">
            <v>A</v>
          </cell>
        </row>
        <row r="512">
          <cell r="A512">
            <v>38339</v>
          </cell>
          <cell r="B512" t="str">
            <v>266</v>
          </cell>
          <cell r="C512" t="str">
            <v>THW</v>
          </cell>
          <cell r="D512" t="str">
            <v>10</v>
          </cell>
          <cell r="E512">
            <v>94.14</v>
          </cell>
          <cell r="F512">
            <v>11.38</v>
          </cell>
          <cell r="G512">
            <v>87.55</v>
          </cell>
          <cell r="H512">
            <v>98.79</v>
          </cell>
          <cell r="I512">
            <v>0.14000000000000001</v>
          </cell>
          <cell r="J512" t="str">
            <v>A</v>
          </cell>
        </row>
        <row r="513">
          <cell r="A513">
            <v>38339</v>
          </cell>
          <cell r="B513" t="str">
            <v>267</v>
          </cell>
          <cell r="C513" t="str">
            <v>SM2</v>
          </cell>
          <cell r="D513" t="str">
            <v>40</v>
          </cell>
          <cell r="E513">
            <v>94.94</v>
          </cell>
          <cell r="F513">
            <v>9.8800000000000008</v>
          </cell>
          <cell r="G513">
            <v>88.29</v>
          </cell>
          <cell r="H513">
            <v>97.97</v>
          </cell>
          <cell r="I513">
            <v>0.17</v>
          </cell>
          <cell r="J513" t="str">
            <v>A</v>
          </cell>
        </row>
        <row r="514">
          <cell r="A514">
            <v>38339</v>
          </cell>
          <cell r="B514" t="str">
            <v>268</v>
          </cell>
          <cell r="C514" t="str">
            <v>KLS</v>
          </cell>
          <cell r="D514" t="str">
            <v>46</v>
          </cell>
          <cell r="E514">
            <v>94.86</v>
          </cell>
          <cell r="F514">
            <v>9.5399999999999991</v>
          </cell>
          <cell r="G514">
            <v>88.22</v>
          </cell>
          <cell r="H514">
            <v>97.52</v>
          </cell>
          <cell r="I514">
            <v>0.15</v>
          </cell>
          <cell r="J514" t="str">
            <v>A</v>
          </cell>
        </row>
        <row r="515">
          <cell r="A515">
            <v>38343</v>
          </cell>
          <cell r="B515" t="str">
            <v>270</v>
          </cell>
          <cell r="C515" t="str">
            <v>KLS</v>
          </cell>
          <cell r="D515" t="str">
            <v>47</v>
          </cell>
          <cell r="E515">
            <v>94.91</v>
          </cell>
          <cell r="F515">
            <v>10.18</v>
          </cell>
          <cell r="G515">
            <v>88.27</v>
          </cell>
          <cell r="H515">
            <v>98.27</v>
          </cell>
          <cell r="I515">
            <v>0.13</v>
          </cell>
          <cell r="J515" t="str">
            <v>A</v>
          </cell>
        </row>
        <row r="516">
          <cell r="A516">
            <v>38343</v>
          </cell>
          <cell r="B516" t="str">
            <v>271</v>
          </cell>
          <cell r="C516" t="str">
            <v>SM2</v>
          </cell>
          <cell r="D516" t="str">
            <v>41</v>
          </cell>
          <cell r="E516">
            <v>94.12</v>
          </cell>
          <cell r="F516">
            <v>10.7</v>
          </cell>
          <cell r="G516">
            <v>87.53</v>
          </cell>
          <cell r="H516">
            <v>98.02</v>
          </cell>
          <cell r="I516">
            <v>0.16</v>
          </cell>
          <cell r="J516" t="str">
            <v>A</v>
          </cell>
        </row>
        <row r="517">
          <cell r="A517">
            <v>38345</v>
          </cell>
          <cell r="B517" t="str">
            <v>274</v>
          </cell>
          <cell r="C517" t="str">
            <v>SM2</v>
          </cell>
          <cell r="D517" t="str">
            <v>42</v>
          </cell>
          <cell r="E517">
            <v>94.11</v>
          </cell>
          <cell r="F517">
            <v>11.12</v>
          </cell>
          <cell r="G517">
            <v>87.52</v>
          </cell>
          <cell r="H517">
            <v>98.47</v>
          </cell>
          <cell r="I517">
            <v>0.15</v>
          </cell>
          <cell r="J517" t="str">
            <v>A</v>
          </cell>
        </row>
        <row r="518">
          <cell r="A518">
            <v>38346</v>
          </cell>
          <cell r="B518" t="str">
            <v>273</v>
          </cell>
          <cell r="C518" t="str">
            <v>KLS</v>
          </cell>
          <cell r="D518" t="str">
            <v>48</v>
          </cell>
          <cell r="E518">
            <v>94.11</v>
          </cell>
          <cell r="F518">
            <v>10.72</v>
          </cell>
          <cell r="G518">
            <v>87.52</v>
          </cell>
          <cell r="H518">
            <v>98.03</v>
          </cell>
          <cell r="I518">
            <v>0.13</v>
          </cell>
          <cell r="J518" t="str">
            <v>A</v>
          </cell>
        </row>
        <row r="519">
          <cell r="A519">
            <v>38347</v>
          </cell>
          <cell r="B519" t="str">
            <v>272</v>
          </cell>
          <cell r="C519" t="str">
            <v>THW</v>
          </cell>
          <cell r="D519" t="str">
            <v>11</v>
          </cell>
          <cell r="E519">
            <v>93.26</v>
          </cell>
          <cell r="F519">
            <v>12.48</v>
          </cell>
          <cell r="G519">
            <v>86.73</v>
          </cell>
          <cell r="H519">
            <v>99.1</v>
          </cell>
          <cell r="I519">
            <v>0.15</v>
          </cell>
          <cell r="J519" t="str">
            <v>A</v>
          </cell>
        </row>
        <row r="520">
          <cell r="A520">
            <v>38348</v>
          </cell>
          <cell r="B520" t="str">
            <v>275</v>
          </cell>
          <cell r="C520" t="str">
            <v>SM2</v>
          </cell>
          <cell r="D520" t="str">
            <v>43</v>
          </cell>
          <cell r="E520">
            <v>92.77</v>
          </cell>
          <cell r="F520">
            <v>11.13</v>
          </cell>
          <cell r="G520">
            <v>86.28</v>
          </cell>
          <cell r="H520">
            <v>97.08</v>
          </cell>
          <cell r="I520">
            <v>0.13</v>
          </cell>
          <cell r="J520" t="str">
            <v>A</v>
          </cell>
        </row>
        <row r="521">
          <cell r="A521">
            <v>38348</v>
          </cell>
          <cell r="B521" t="str">
            <v>276</v>
          </cell>
          <cell r="C521" t="str">
            <v>KLS</v>
          </cell>
          <cell r="D521" t="str">
            <v>49</v>
          </cell>
          <cell r="E521">
            <v>93.67</v>
          </cell>
          <cell r="F521">
            <v>10.77</v>
          </cell>
          <cell r="G521">
            <v>87.11</v>
          </cell>
          <cell r="H521">
            <v>97.63</v>
          </cell>
          <cell r="I521">
            <v>0.12</v>
          </cell>
          <cell r="J521" t="str">
            <v>A</v>
          </cell>
        </row>
        <row r="522">
          <cell r="A522">
            <v>38349</v>
          </cell>
          <cell r="B522" t="str">
            <v>277</v>
          </cell>
          <cell r="C522" t="str">
            <v>THW</v>
          </cell>
          <cell r="D522" t="str">
            <v>12</v>
          </cell>
          <cell r="E522">
            <v>92.75</v>
          </cell>
          <cell r="F522">
            <v>12.48</v>
          </cell>
          <cell r="G522">
            <v>86.26</v>
          </cell>
          <cell r="H522">
            <v>98.56</v>
          </cell>
          <cell r="I522">
            <v>0.15</v>
          </cell>
          <cell r="J522" t="str">
            <v>A</v>
          </cell>
        </row>
        <row r="523">
          <cell r="A523">
            <v>38349</v>
          </cell>
          <cell r="B523" t="str">
            <v>278</v>
          </cell>
          <cell r="C523" t="str">
            <v>SMI</v>
          </cell>
          <cell r="D523" t="str">
            <v>39</v>
          </cell>
          <cell r="E523">
            <v>92.74</v>
          </cell>
          <cell r="F523">
            <v>11.11</v>
          </cell>
          <cell r="G523">
            <v>86.25</v>
          </cell>
          <cell r="H523">
            <v>97.03</v>
          </cell>
          <cell r="I523">
            <v>0.13</v>
          </cell>
          <cell r="J523" t="str">
            <v>A</v>
          </cell>
        </row>
        <row r="524">
          <cell r="A524">
            <v>38351</v>
          </cell>
          <cell r="B524" t="str">
            <v>269</v>
          </cell>
          <cell r="C524" t="str">
            <v>KR</v>
          </cell>
          <cell r="D524" t="str">
            <v>15</v>
          </cell>
          <cell r="E524">
            <v>92.79</v>
          </cell>
          <cell r="F524">
            <v>11.81</v>
          </cell>
          <cell r="G524">
            <v>86.29</v>
          </cell>
          <cell r="H524">
            <v>97.85</v>
          </cell>
          <cell r="I524">
            <v>0.1</v>
          </cell>
          <cell r="J524" t="str">
            <v>A</v>
          </cell>
        </row>
        <row r="525">
          <cell r="A525">
            <v>38351</v>
          </cell>
          <cell r="B525" t="str">
            <v>279</v>
          </cell>
          <cell r="C525" t="str">
            <v>KLS</v>
          </cell>
          <cell r="D525" t="str">
            <v>50</v>
          </cell>
          <cell r="E525">
            <v>93.66</v>
          </cell>
          <cell r="F525">
            <v>10.78</v>
          </cell>
          <cell r="G525">
            <v>87.1</v>
          </cell>
          <cell r="H525">
            <v>97.63</v>
          </cell>
          <cell r="I525">
            <v>0.1</v>
          </cell>
          <cell r="J525" t="str">
            <v>A</v>
          </cell>
        </row>
        <row r="526">
          <cell r="A526">
            <v>38351</v>
          </cell>
          <cell r="B526" t="str">
            <v>280</v>
          </cell>
          <cell r="C526" t="str">
            <v>SMI</v>
          </cell>
          <cell r="D526" t="str">
            <v>40</v>
          </cell>
          <cell r="E526">
            <v>93.61</v>
          </cell>
          <cell r="F526">
            <v>11.13</v>
          </cell>
          <cell r="G526">
            <v>87.06</v>
          </cell>
          <cell r="H526">
            <v>97.96</v>
          </cell>
          <cell r="I526">
            <v>0.13</v>
          </cell>
          <cell r="J526" t="str">
            <v>A</v>
          </cell>
        </row>
        <row r="527">
          <cell r="A527">
            <v>38351</v>
          </cell>
          <cell r="B527" t="str">
            <v>281</v>
          </cell>
          <cell r="C527" t="str">
            <v>THW</v>
          </cell>
          <cell r="D527" t="str">
            <v>13</v>
          </cell>
          <cell r="E527">
            <v>92.28</v>
          </cell>
          <cell r="F527">
            <v>12.42</v>
          </cell>
          <cell r="G527">
            <v>85.82</v>
          </cell>
          <cell r="H527">
            <v>97.99</v>
          </cell>
          <cell r="I527">
            <v>0.15</v>
          </cell>
          <cell r="J527" t="str">
            <v>A</v>
          </cell>
        </row>
        <row r="528">
          <cell r="A528">
            <v>38365</v>
          </cell>
          <cell r="B528" t="str">
            <v>01</v>
          </cell>
          <cell r="C528" t="str">
            <v>THW</v>
          </cell>
          <cell r="D528" t="str">
            <v>1</v>
          </cell>
          <cell r="E528">
            <v>93.31</v>
          </cell>
          <cell r="F528">
            <v>12.04</v>
          </cell>
          <cell r="G528">
            <v>86.78</v>
          </cell>
          <cell r="H528">
            <v>98.66</v>
          </cell>
          <cell r="I528">
            <v>0.16</v>
          </cell>
          <cell r="J528" t="str">
            <v>A</v>
          </cell>
        </row>
        <row r="529">
          <cell r="A529">
            <v>38365</v>
          </cell>
          <cell r="B529" t="str">
            <v>02</v>
          </cell>
          <cell r="C529" t="str">
            <v>KR</v>
          </cell>
          <cell r="D529" t="str">
            <v>1</v>
          </cell>
          <cell r="E529">
            <v>94.15</v>
          </cell>
          <cell r="F529">
            <v>11.49</v>
          </cell>
          <cell r="G529">
            <v>87.56</v>
          </cell>
          <cell r="H529">
            <v>98.93</v>
          </cell>
          <cell r="I529">
            <v>0.13</v>
          </cell>
          <cell r="J529" t="str">
            <v>A</v>
          </cell>
        </row>
        <row r="530">
          <cell r="A530">
            <v>38366</v>
          </cell>
          <cell r="B530" t="str">
            <v>03</v>
          </cell>
          <cell r="C530" t="str">
            <v>KLS</v>
          </cell>
          <cell r="D530" t="str">
            <v>1</v>
          </cell>
          <cell r="E530">
            <v>94.15</v>
          </cell>
          <cell r="F530">
            <v>11.12</v>
          </cell>
          <cell r="G530">
            <v>87.56</v>
          </cell>
          <cell r="H530">
            <v>98.51</v>
          </cell>
          <cell r="I530">
            <v>0.12</v>
          </cell>
          <cell r="J530" t="str">
            <v>A</v>
          </cell>
        </row>
        <row r="531">
          <cell r="A531">
            <v>38376</v>
          </cell>
          <cell r="B531" t="str">
            <v>06</v>
          </cell>
          <cell r="C531" t="str">
            <v>THW</v>
          </cell>
          <cell r="D531" t="str">
            <v>2</v>
          </cell>
          <cell r="E531">
            <v>94.18</v>
          </cell>
          <cell r="F531">
            <v>11.46</v>
          </cell>
          <cell r="G531">
            <v>87.59</v>
          </cell>
          <cell r="H531">
            <v>98.92</v>
          </cell>
          <cell r="I531">
            <v>0.08</v>
          </cell>
          <cell r="J531" t="str">
            <v>A</v>
          </cell>
        </row>
        <row r="532">
          <cell r="A532">
            <v>38378</v>
          </cell>
          <cell r="B532" t="str">
            <v>04</v>
          </cell>
          <cell r="C532" t="str">
            <v>SMI</v>
          </cell>
          <cell r="D532" t="str">
            <v>1</v>
          </cell>
          <cell r="E532">
            <v>94.12</v>
          </cell>
          <cell r="F532">
            <v>11.79</v>
          </cell>
          <cell r="G532">
            <v>87.53</v>
          </cell>
          <cell r="H532">
            <v>99.23</v>
          </cell>
          <cell r="I532">
            <v>0.13</v>
          </cell>
          <cell r="J532" t="str">
            <v>A</v>
          </cell>
        </row>
        <row r="533">
          <cell r="A533">
            <v>38379</v>
          </cell>
          <cell r="B533" t="str">
            <v>05</v>
          </cell>
          <cell r="C533" t="str">
            <v>SMI</v>
          </cell>
          <cell r="D533" t="str">
            <v>2</v>
          </cell>
          <cell r="E533">
            <v>94.1</v>
          </cell>
          <cell r="F533">
            <v>11.76</v>
          </cell>
          <cell r="G533">
            <v>87.51</v>
          </cell>
          <cell r="H533">
            <v>99.18</v>
          </cell>
          <cell r="I533">
            <v>0.14000000000000001</v>
          </cell>
          <cell r="J533" t="str">
            <v>A</v>
          </cell>
        </row>
        <row r="534">
          <cell r="A534">
            <v>38380</v>
          </cell>
          <cell r="B534" t="str">
            <v>08</v>
          </cell>
          <cell r="C534" t="str">
            <v>SMI</v>
          </cell>
          <cell r="D534" t="str">
            <v>3</v>
          </cell>
          <cell r="E534">
            <v>92.96</v>
          </cell>
          <cell r="F534">
            <v>11.77</v>
          </cell>
          <cell r="G534">
            <v>86.45</v>
          </cell>
          <cell r="H534">
            <v>97.99</v>
          </cell>
          <cell r="I534">
            <v>0.11</v>
          </cell>
          <cell r="J534" t="str">
            <v>A</v>
          </cell>
        </row>
        <row r="535">
          <cell r="A535">
            <v>38381</v>
          </cell>
          <cell r="B535" t="str">
            <v>07</v>
          </cell>
          <cell r="C535" t="str">
            <v>SM2</v>
          </cell>
          <cell r="D535" t="str">
            <v>1</v>
          </cell>
          <cell r="E535">
            <v>92.96</v>
          </cell>
          <cell r="F535">
            <v>11.86</v>
          </cell>
          <cell r="G535">
            <v>86.45</v>
          </cell>
          <cell r="H535">
            <v>98.09</v>
          </cell>
          <cell r="I535">
            <v>0.1</v>
          </cell>
          <cell r="J535" t="str">
            <v>A</v>
          </cell>
        </row>
        <row r="536">
          <cell r="A536">
            <v>38381</v>
          </cell>
          <cell r="B536" t="str">
            <v>09</v>
          </cell>
          <cell r="C536" t="str">
            <v>SMI</v>
          </cell>
          <cell r="D536" t="str">
            <v>4</v>
          </cell>
          <cell r="E536">
            <v>93.82</v>
          </cell>
          <cell r="F536">
            <v>11.13</v>
          </cell>
          <cell r="G536">
            <v>87.25</v>
          </cell>
          <cell r="H536">
            <v>98.18</v>
          </cell>
          <cell r="I536">
            <v>0.17</v>
          </cell>
          <cell r="J536" t="str">
            <v>A</v>
          </cell>
        </row>
        <row r="537">
          <cell r="A537">
            <v>38381</v>
          </cell>
          <cell r="B537" t="str">
            <v>10</v>
          </cell>
          <cell r="C537" t="str">
            <v>SMI</v>
          </cell>
          <cell r="D537" t="str">
            <v>5</v>
          </cell>
          <cell r="E537">
            <v>92.86</v>
          </cell>
          <cell r="F537">
            <v>11.79</v>
          </cell>
          <cell r="G537">
            <v>86.36</v>
          </cell>
          <cell r="H537">
            <v>97.9</v>
          </cell>
          <cell r="I537">
            <v>0.11</v>
          </cell>
          <cell r="J537" t="str">
            <v>A</v>
          </cell>
        </row>
        <row r="538">
          <cell r="A538">
            <v>38381</v>
          </cell>
          <cell r="B538" t="str">
            <v>11</v>
          </cell>
          <cell r="C538" t="str">
            <v>SMI</v>
          </cell>
          <cell r="D538" t="str">
            <v>6</v>
          </cell>
          <cell r="E538">
            <v>93.79</v>
          </cell>
          <cell r="F538">
            <v>11.12</v>
          </cell>
          <cell r="G538">
            <v>87.22</v>
          </cell>
          <cell r="H538">
            <v>98.14</v>
          </cell>
          <cell r="I538">
            <v>0.11</v>
          </cell>
          <cell r="J538" t="str">
            <v>A</v>
          </cell>
        </row>
        <row r="539">
          <cell r="A539">
            <v>38381</v>
          </cell>
          <cell r="B539" t="str">
            <v>12</v>
          </cell>
          <cell r="C539" t="str">
            <v>SMI</v>
          </cell>
          <cell r="D539" t="str">
            <v>7</v>
          </cell>
          <cell r="E539">
            <v>92.92</v>
          </cell>
          <cell r="F539">
            <v>11.22</v>
          </cell>
          <cell r="G539">
            <v>86.42</v>
          </cell>
          <cell r="H539">
            <v>97.34</v>
          </cell>
          <cell r="I539">
            <v>0.15</v>
          </cell>
          <cell r="J539" t="str">
            <v>A</v>
          </cell>
        </row>
        <row r="540">
          <cell r="A540">
            <v>38387</v>
          </cell>
          <cell r="B540" t="str">
            <v>15</v>
          </cell>
          <cell r="C540" t="str">
            <v>SM2</v>
          </cell>
          <cell r="D540" t="str">
            <v>2</v>
          </cell>
          <cell r="E540">
            <v>93.61</v>
          </cell>
          <cell r="F540">
            <v>11.86</v>
          </cell>
          <cell r="G540">
            <v>87.06</v>
          </cell>
          <cell r="H540">
            <v>98.77</v>
          </cell>
          <cell r="I540">
            <v>0.16</v>
          </cell>
          <cell r="J540" t="str">
            <v>A</v>
          </cell>
        </row>
        <row r="541">
          <cell r="A541">
            <v>38388</v>
          </cell>
          <cell r="B541" t="str">
            <v>14</v>
          </cell>
          <cell r="C541" t="str">
            <v>SMI</v>
          </cell>
          <cell r="D541" t="str">
            <v>8</v>
          </cell>
          <cell r="E541">
            <v>93.64</v>
          </cell>
          <cell r="F541">
            <v>11.17</v>
          </cell>
          <cell r="G541">
            <v>87.09</v>
          </cell>
          <cell r="H541">
            <v>98.04</v>
          </cell>
          <cell r="I541">
            <v>0.12</v>
          </cell>
          <cell r="J541" t="str">
            <v>A</v>
          </cell>
        </row>
        <row r="542">
          <cell r="A542">
            <v>38391</v>
          </cell>
          <cell r="B542" t="str">
            <v>16</v>
          </cell>
          <cell r="C542" t="str">
            <v>SMI</v>
          </cell>
          <cell r="D542" t="str">
            <v>9</v>
          </cell>
          <cell r="E542">
            <v>98.45</v>
          </cell>
          <cell r="F542">
            <v>6.14</v>
          </cell>
          <cell r="G542">
            <v>91.56</v>
          </cell>
          <cell r="H542">
            <v>97.55</v>
          </cell>
          <cell r="I542">
            <v>0.12</v>
          </cell>
          <cell r="J542" t="str">
            <v>A</v>
          </cell>
        </row>
        <row r="543">
          <cell r="A543">
            <v>38391</v>
          </cell>
          <cell r="B543" t="str">
            <v>17</v>
          </cell>
          <cell r="C543" t="str">
            <v>SM2</v>
          </cell>
          <cell r="D543" t="str">
            <v>3</v>
          </cell>
          <cell r="E543">
            <v>93.64</v>
          </cell>
          <cell r="F543">
            <v>11.14</v>
          </cell>
          <cell r="G543">
            <v>87.09</v>
          </cell>
          <cell r="H543">
            <v>98</v>
          </cell>
          <cell r="I543">
            <v>0.11</v>
          </cell>
          <cell r="J543" t="str">
            <v>A</v>
          </cell>
        </row>
        <row r="544">
          <cell r="A544">
            <v>38392</v>
          </cell>
          <cell r="B544" t="str">
            <v>18</v>
          </cell>
          <cell r="C544" t="str">
            <v>SMI</v>
          </cell>
          <cell r="D544" t="str">
            <v>10</v>
          </cell>
          <cell r="E544">
            <v>98.44</v>
          </cell>
          <cell r="F544">
            <v>6.18</v>
          </cell>
          <cell r="G544">
            <v>91.55</v>
          </cell>
          <cell r="H544">
            <v>97.58</v>
          </cell>
          <cell r="I544">
            <v>0.18</v>
          </cell>
          <cell r="J544" t="str">
            <v>A</v>
          </cell>
        </row>
        <row r="545">
          <cell r="A545">
            <v>38395</v>
          </cell>
          <cell r="B545" t="str">
            <v>19</v>
          </cell>
          <cell r="C545" t="str">
            <v>SM2</v>
          </cell>
          <cell r="D545" t="str">
            <v>4</v>
          </cell>
          <cell r="E545">
            <v>92.7</v>
          </cell>
          <cell r="F545">
            <v>12.62</v>
          </cell>
          <cell r="G545">
            <v>86.21</v>
          </cell>
          <cell r="H545">
            <v>98.66</v>
          </cell>
          <cell r="I545">
            <v>0.09</v>
          </cell>
          <cell r="J545" t="str">
            <v>A</v>
          </cell>
        </row>
        <row r="546">
          <cell r="A546">
            <v>38395</v>
          </cell>
          <cell r="B546" t="str">
            <v>20</v>
          </cell>
          <cell r="C546" t="str">
            <v>SMI</v>
          </cell>
          <cell r="D546" t="str">
            <v>11</v>
          </cell>
          <cell r="E546">
            <v>93.64</v>
          </cell>
          <cell r="F546">
            <v>11.32</v>
          </cell>
          <cell r="G546">
            <v>87.09</v>
          </cell>
          <cell r="H546">
            <v>98.2</v>
          </cell>
          <cell r="I546">
            <v>0.17</v>
          </cell>
          <cell r="J546" t="str">
            <v>A</v>
          </cell>
        </row>
        <row r="547">
          <cell r="A547">
            <v>38400</v>
          </cell>
          <cell r="B547" t="str">
            <v>13</v>
          </cell>
          <cell r="C547" t="str">
            <v>AS</v>
          </cell>
          <cell r="D547" t="str">
            <v>1</v>
          </cell>
          <cell r="E547">
            <v>92.71</v>
          </cell>
          <cell r="F547">
            <v>12.11</v>
          </cell>
          <cell r="G547">
            <v>86.22</v>
          </cell>
          <cell r="H547">
            <v>98.1</v>
          </cell>
          <cell r="I547">
            <v>0.15</v>
          </cell>
          <cell r="J547" t="str">
            <v>A</v>
          </cell>
        </row>
        <row r="548">
          <cell r="A548">
            <v>38400</v>
          </cell>
          <cell r="B548" t="str">
            <v>21</v>
          </cell>
          <cell r="C548" t="str">
            <v>SMI</v>
          </cell>
          <cell r="D548" t="str">
            <v>12</v>
          </cell>
          <cell r="E548">
            <v>92.7</v>
          </cell>
          <cell r="F548">
            <v>11.7</v>
          </cell>
          <cell r="G548">
            <v>86.21</v>
          </cell>
          <cell r="H548">
            <v>97.63</v>
          </cell>
          <cell r="I548">
            <v>0.16</v>
          </cell>
          <cell r="J548" t="str">
            <v>A</v>
          </cell>
        </row>
        <row r="549">
          <cell r="A549">
            <v>38400</v>
          </cell>
          <cell r="B549" t="str">
            <v>22</v>
          </cell>
          <cell r="C549" t="str">
            <v>SM2</v>
          </cell>
          <cell r="D549" t="str">
            <v>5</v>
          </cell>
          <cell r="E549">
            <v>92.67</v>
          </cell>
          <cell r="F549">
            <v>11.24</v>
          </cell>
          <cell r="G549">
            <v>86.18</v>
          </cell>
          <cell r="H549">
            <v>97.1</v>
          </cell>
          <cell r="I549">
            <v>0.15</v>
          </cell>
          <cell r="J549" t="str">
            <v>A</v>
          </cell>
        </row>
        <row r="550">
          <cell r="A550">
            <v>38402</v>
          </cell>
          <cell r="B550" t="str">
            <v>23</v>
          </cell>
          <cell r="C550" t="str">
            <v>SMI</v>
          </cell>
          <cell r="D550" t="str">
            <v>13</v>
          </cell>
          <cell r="E550">
            <v>96.88</v>
          </cell>
          <cell r="F550">
            <v>6.46</v>
          </cell>
          <cell r="G550">
            <v>90.1</v>
          </cell>
          <cell r="H550">
            <v>96.32</v>
          </cell>
          <cell r="I550">
            <v>0.17</v>
          </cell>
          <cell r="J550" t="str">
            <v>A</v>
          </cell>
        </row>
        <row r="551">
          <cell r="A551">
            <v>38402</v>
          </cell>
          <cell r="B551" t="str">
            <v>24</v>
          </cell>
          <cell r="C551" t="str">
            <v>SM2</v>
          </cell>
          <cell r="D551" t="str">
            <v>6</v>
          </cell>
          <cell r="E551">
            <v>92.56</v>
          </cell>
          <cell r="F551">
            <v>12.44</v>
          </cell>
          <cell r="G551">
            <v>86.08</v>
          </cell>
          <cell r="H551">
            <v>98.31</v>
          </cell>
          <cell r="I551">
            <v>0.17</v>
          </cell>
          <cell r="J551" t="str">
            <v>A</v>
          </cell>
        </row>
        <row r="552">
          <cell r="A552">
            <v>38403</v>
          </cell>
          <cell r="B552" t="str">
            <v>25</v>
          </cell>
          <cell r="C552" t="str">
            <v>SMI</v>
          </cell>
          <cell r="D552" t="str">
            <v>14</v>
          </cell>
          <cell r="E552">
            <v>96.89</v>
          </cell>
          <cell r="F552">
            <v>6.52</v>
          </cell>
          <cell r="G552">
            <v>90.11</v>
          </cell>
          <cell r="H552">
            <v>96.39</v>
          </cell>
          <cell r="I552">
            <v>0.1</v>
          </cell>
          <cell r="J552" t="str">
            <v>A</v>
          </cell>
        </row>
        <row r="553">
          <cell r="A553">
            <v>38404</v>
          </cell>
          <cell r="B553" t="str">
            <v>26</v>
          </cell>
          <cell r="C553" t="str">
            <v>SM2</v>
          </cell>
          <cell r="D553" t="str">
            <v>7</v>
          </cell>
          <cell r="E553">
            <v>92.56</v>
          </cell>
          <cell r="F553">
            <v>11.14</v>
          </cell>
          <cell r="G553">
            <v>86.08</v>
          </cell>
          <cell r="H553">
            <v>96.87</v>
          </cell>
          <cell r="I553">
            <v>0.17</v>
          </cell>
          <cell r="J553" t="str">
            <v>A</v>
          </cell>
        </row>
        <row r="554">
          <cell r="A554">
            <v>38407</v>
          </cell>
          <cell r="B554" t="str">
            <v>27</v>
          </cell>
          <cell r="C554" t="str">
            <v>SMI</v>
          </cell>
          <cell r="D554" t="str">
            <v>15</v>
          </cell>
          <cell r="E554">
            <v>95.41</v>
          </cell>
          <cell r="F554">
            <v>10.14</v>
          </cell>
          <cell r="G554">
            <v>88.73</v>
          </cell>
          <cell r="H554">
            <v>98.74</v>
          </cell>
          <cell r="I554">
            <v>0.16</v>
          </cell>
          <cell r="J554" t="str">
            <v>A</v>
          </cell>
        </row>
        <row r="555">
          <cell r="A555">
            <v>38407</v>
          </cell>
          <cell r="B555" t="str">
            <v>28</v>
          </cell>
          <cell r="C555" t="str">
            <v>SM2</v>
          </cell>
          <cell r="D555" t="str">
            <v>8</v>
          </cell>
          <cell r="E555">
            <v>95.4</v>
          </cell>
          <cell r="F555">
            <v>10.19</v>
          </cell>
          <cell r="G555">
            <v>88.72</v>
          </cell>
          <cell r="H555">
            <v>98.79</v>
          </cell>
          <cell r="I555">
            <v>0.12</v>
          </cell>
          <cell r="J555" t="str">
            <v>A</v>
          </cell>
        </row>
        <row r="556">
          <cell r="A556">
            <v>38411</v>
          </cell>
          <cell r="B556" t="str">
            <v>29</v>
          </cell>
          <cell r="C556" t="str">
            <v>SM2</v>
          </cell>
          <cell r="D556" t="str">
            <v>9</v>
          </cell>
          <cell r="E556">
            <v>95.37</v>
          </cell>
          <cell r="F556">
            <v>10.29</v>
          </cell>
          <cell r="G556">
            <v>88.69</v>
          </cell>
          <cell r="H556">
            <v>98.87</v>
          </cell>
          <cell r="I556">
            <v>0.12</v>
          </cell>
          <cell r="J556" t="str">
            <v>A</v>
          </cell>
        </row>
        <row r="557">
          <cell r="A557">
            <v>38411</v>
          </cell>
          <cell r="B557" t="str">
            <v>30</v>
          </cell>
          <cell r="C557" t="str">
            <v>SMI</v>
          </cell>
          <cell r="D557" t="str">
            <v>16</v>
          </cell>
          <cell r="E557">
            <v>95.42</v>
          </cell>
          <cell r="F557">
            <v>9.25</v>
          </cell>
          <cell r="G557">
            <v>88.74</v>
          </cell>
          <cell r="H557">
            <v>97.79</v>
          </cell>
          <cell r="I557">
            <v>0.16</v>
          </cell>
          <cell r="J557" t="str">
            <v>A</v>
          </cell>
        </row>
        <row r="558">
          <cell r="A558">
            <v>38411</v>
          </cell>
          <cell r="B558" t="str">
            <v>31</v>
          </cell>
          <cell r="C558" t="str">
            <v>SMI</v>
          </cell>
          <cell r="D558" t="str">
            <v>17</v>
          </cell>
          <cell r="E558">
            <v>95.39</v>
          </cell>
          <cell r="F558">
            <v>9.18</v>
          </cell>
          <cell r="G558">
            <v>88.71</v>
          </cell>
          <cell r="H558">
            <v>97.68</v>
          </cell>
          <cell r="I558">
            <v>0.11</v>
          </cell>
          <cell r="J558" t="str">
            <v>A</v>
          </cell>
        </row>
        <row r="559">
          <cell r="A559">
            <v>38411</v>
          </cell>
          <cell r="B559" t="str">
            <v>32</v>
          </cell>
          <cell r="C559" t="str">
            <v>SM2</v>
          </cell>
          <cell r="D559" t="str">
            <v>10</v>
          </cell>
          <cell r="E559">
            <v>94.61</v>
          </cell>
          <cell r="F559">
            <v>10.28</v>
          </cell>
          <cell r="G559">
            <v>87.99</v>
          </cell>
          <cell r="H559">
            <v>98.07</v>
          </cell>
          <cell r="I559">
            <v>0.1</v>
          </cell>
          <cell r="J559" t="str">
            <v>A</v>
          </cell>
        </row>
        <row r="560">
          <cell r="A560">
            <v>38415</v>
          </cell>
          <cell r="B560" t="str">
            <v>33</v>
          </cell>
          <cell r="C560" t="str">
            <v>SM2</v>
          </cell>
          <cell r="D560" t="str">
            <v>11</v>
          </cell>
          <cell r="E560">
            <v>97.63</v>
          </cell>
          <cell r="F560">
            <v>8.2899999999999991</v>
          </cell>
          <cell r="G560">
            <v>90.8</v>
          </cell>
          <cell r="H560">
            <v>99</v>
          </cell>
          <cell r="I560">
            <v>0.15</v>
          </cell>
          <cell r="J560" t="str">
            <v>A</v>
          </cell>
        </row>
        <row r="561">
          <cell r="A561">
            <v>38416</v>
          </cell>
          <cell r="B561" t="str">
            <v>34</v>
          </cell>
          <cell r="C561" t="str">
            <v>AS</v>
          </cell>
          <cell r="D561" t="str">
            <v>2</v>
          </cell>
          <cell r="E561">
            <v>94.24</v>
          </cell>
          <cell r="F561">
            <v>10.6</v>
          </cell>
          <cell r="G561">
            <v>87.64</v>
          </cell>
          <cell r="H561">
            <v>98.03</v>
          </cell>
          <cell r="I561">
            <v>0.2</v>
          </cell>
          <cell r="J561" t="str">
            <v>A</v>
          </cell>
        </row>
        <row r="562">
          <cell r="A562">
            <v>38418</v>
          </cell>
          <cell r="B562" t="str">
            <v>35</v>
          </cell>
          <cell r="C562" t="str">
            <v>UD</v>
          </cell>
          <cell r="D562" t="str">
            <v>1</v>
          </cell>
          <cell r="E562">
            <v>92.56</v>
          </cell>
          <cell r="F562">
            <v>11.43</v>
          </cell>
          <cell r="G562">
            <v>86.08</v>
          </cell>
          <cell r="H562">
            <v>97.19</v>
          </cell>
          <cell r="I562">
            <v>0.22</v>
          </cell>
          <cell r="J562" t="str">
            <v>A</v>
          </cell>
          <cell r="L562" t="str">
            <v>NCR RM-04/063</v>
          </cell>
        </row>
        <row r="563">
          <cell r="A563">
            <v>38418</v>
          </cell>
          <cell r="B563" t="str">
            <v>36</v>
          </cell>
          <cell r="C563" t="str">
            <v>SM2</v>
          </cell>
          <cell r="D563" t="str">
            <v>12</v>
          </cell>
          <cell r="E563">
            <v>92.54</v>
          </cell>
          <cell r="F563">
            <v>10.89</v>
          </cell>
          <cell r="G563">
            <v>86.06</v>
          </cell>
          <cell r="H563">
            <v>96.58</v>
          </cell>
          <cell r="I563">
            <v>0.16</v>
          </cell>
          <cell r="J563" t="str">
            <v>A</v>
          </cell>
        </row>
        <row r="564">
          <cell r="A564">
            <v>38420</v>
          </cell>
          <cell r="B564" t="str">
            <v>37</v>
          </cell>
          <cell r="C564" t="str">
            <v>AS</v>
          </cell>
          <cell r="D564" t="str">
            <v>3</v>
          </cell>
          <cell r="E564">
            <v>94.57</v>
          </cell>
          <cell r="F564">
            <v>10.74</v>
          </cell>
          <cell r="G564">
            <v>87.95</v>
          </cell>
          <cell r="H564">
            <v>98.53</v>
          </cell>
          <cell r="I564">
            <v>0.17</v>
          </cell>
          <cell r="J564" t="str">
            <v>A</v>
          </cell>
        </row>
        <row r="565">
          <cell r="A565">
            <v>38421</v>
          </cell>
          <cell r="B565" t="str">
            <v>39</v>
          </cell>
          <cell r="C565" t="str">
            <v>AS</v>
          </cell>
          <cell r="D565" t="str">
            <v>4</v>
          </cell>
          <cell r="E565">
            <v>94.57</v>
          </cell>
          <cell r="F565">
            <v>10.73</v>
          </cell>
          <cell r="G565">
            <v>87.95</v>
          </cell>
          <cell r="H565">
            <v>98.52</v>
          </cell>
          <cell r="I565">
            <v>0.18</v>
          </cell>
          <cell r="J565" t="str">
            <v>A</v>
          </cell>
        </row>
        <row r="566">
          <cell r="A566">
            <v>38421</v>
          </cell>
          <cell r="B566" t="str">
            <v>40</v>
          </cell>
          <cell r="C566" t="str">
            <v>UD</v>
          </cell>
          <cell r="D566" t="str">
            <v>2</v>
          </cell>
          <cell r="E566">
            <v>92.95</v>
          </cell>
          <cell r="F566">
            <v>12.4</v>
          </cell>
          <cell r="G566">
            <v>86.44</v>
          </cell>
          <cell r="H566">
            <v>98.68</v>
          </cell>
          <cell r="I566">
            <v>0.13</v>
          </cell>
          <cell r="J566" t="str">
            <v>A</v>
          </cell>
        </row>
        <row r="567">
          <cell r="A567">
            <v>38422</v>
          </cell>
          <cell r="B567" t="str">
            <v>41</v>
          </cell>
          <cell r="C567" t="str">
            <v>AS</v>
          </cell>
          <cell r="D567" t="str">
            <v>5</v>
          </cell>
          <cell r="E567">
            <v>94.55</v>
          </cell>
          <cell r="F567">
            <v>10.72</v>
          </cell>
          <cell r="G567">
            <v>87.93</v>
          </cell>
          <cell r="H567">
            <v>98.49</v>
          </cell>
          <cell r="I567">
            <v>0.17</v>
          </cell>
          <cell r="J567" t="str">
            <v>A</v>
          </cell>
        </row>
        <row r="568">
          <cell r="A568">
            <v>38425</v>
          </cell>
          <cell r="B568" t="str">
            <v>42</v>
          </cell>
          <cell r="C568" t="str">
            <v>UD</v>
          </cell>
          <cell r="D568" t="str">
            <v>3</v>
          </cell>
          <cell r="E568">
            <v>92.91</v>
          </cell>
          <cell r="F568">
            <v>11.4</v>
          </cell>
          <cell r="G568">
            <v>86.41</v>
          </cell>
          <cell r="H568">
            <v>97.52</v>
          </cell>
          <cell r="I568">
            <v>0.16</v>
          </cell>
          <cell r="J568" t="str">
            <v>A</v>
          </cell>
        </row>
        <row r="569">
          <cell r="A569">
            <v>38425</v>
          </cell>
          <cell r="B569" t="str">
            <v>43</v>
          </cell>
          <cell r="C569" t="str">
            <v>AS</v>
          </cell>
          <cell r="D569" t="str">
            <v>6</v>
          </cell>
          <cell r="E569">
            <v>94.59</v>
          </cell>
          <cell r="F569">
            <v>10.81</v>
          </cell>
          <cell r="G569">
            <v>87.97</v>
          </cell>
          <cell r="H569">
            <v>98.63</v>
          </cell>
          <cell r="I569">
            <v>0.17</v>
          </cell>
          <cell r="J569" t="str">
            <v>A</v>
          </cell>
        </row>
        <row r="570">
          <cell r="A570">
            <v>38427</v>
          </cell>
          <cell r="B570" t="str">
            <v>44</v>
          </cell>
          <cell r="C570" t="str">
            <v>AS</v>
          </cell>
          <cell r="D570" t="str">
            <v>7</v>
          </cell>
          <cell r="E570">
            <v>94.56</v>
          </cell>
          <cell r="F570">
            <v>10.83</v>
          </cell>
          <cell r="G570">
            <v>87.94</v>
          </cell>
          <cell r="H570">
            <v>98.62</v>
          </cell>
          <cell r="I570">
            <v>0.2</v>
          </cell>
          <cell r="J570" t="str">
            <v>A</v>
          </cell>
        </row>
        <row r="571">
          <cell r="A571">
            <v>38428</v>
          </cell>
          <cell r="B571" t="str">
            <v>38</v>
          </cell>
          <cell r="C571" t="str">
            <v>SMI</v>
          </cell>
          <cell r="D571" t="str">
            <v>18</v>
          </cell>
          <cell r="E571">
            <v>93.76</v>
          </cell>
          <cell r="F571">
            <v>11.67</v>
          </cell>
          <cell r="G571">
            <v>87.2</v>
          </cell>
          <cell r="H571">
            <v>98.72</v>
          </cell>
          <cell r="I571">
            <v>0.06</v>
          </cell>
          <cell r="J571" t="str">
            <v>A</v>
          </cell>
        </row>
        <row r="572">
          <cell r="A572">
            <v>38428</v>
          </cell>
          <cell r="B572" t="str">
            <v>45</v>
          </cell>
          <cell r="C572" t="str">
            <v>UD</v>
          </cell>
          <cell r="D572" t="str">
            <v>4</v>
          </cell>
          <cell r="E572">
            <v>92.94</v>
          </cell>
          <cell r="F572">
            <v>12.23</v>
          </cell>
          <cell r="G572">
            <v>86.43</v>
          </cell>
          <cell r="H572">
            <v>98.48</v>
          </cell>
          <cell r="I572">
            <v>0.16</v>
          </cell>
          <cell r="J572" t="str">
            <v>A</v>
          </cell>
        </row>
        <row r="573">
          <cell r="A573">
            <v>38428</v>
          </cell>
          <cell r="B573" t="str">
            <v>46</v>
          </cell>
          <cell r="C573" t="str">
            <v>PVD</v>
          </cell>
          <cell r="D573" t="str">
            <v>1</v>
          </cell>
          <cell r="E573">
            <v>93.72</v>
          </cell>
          <cell r="F573">
            <v>11.74</v>
          </cell>
          <cell r="G573">
            <v>87.16</v>
          </cell>
          <cell r="H573">
            <v>98.75</v>
          </cell>
          <cell r="I573">
            <v>0.2</v>
          </cell>
          <cell r="J573" t="str">
            <v>A</v>
          </cell>
        </row>
        <row r="574">
          <cell r="A574">
            <v>38429</v>
          </cell>
          <cell r="B574" t="str">
            <v>47</v>
          </cell>
          <cell r="C574" t="str">
            <v>AS</v>
          </cell>
          <cell r="D574" t="str">
            <v>8</v>
          </cell>
          <cell r="E574">
            <v>94.61</v>
          </cell>
          <cell r="F574">
            <v>10.93</v>
          </cell>
          <cell r="G574">
            <v>87.99</v>
          </cell>
          <cell r="H574">
            <v>98.78</v>
          </cell>
          <cell r="I574">
            <v>0.12</v>
          </cell>
          <cell r="J574" t="str">
            <v>A</v>
          </cell>
        </row>
        <row r="575">
          <cell r="A575">
            <v>38429</v>
          </cell>
          <cell r="B575" t="str">
            <v>48</v>
          </cell>
          <cell r="C575" t="str">
            <v>SMI</v>
          </cell>
          <cell r="D575" t="str">
            <v>19</v>
          </cell>
          <cell r="E575">
            <v>93.41</v>
          </cell>
          <cell r="F575">
            <v>11.85</v>
          </cell>
          <cell r="G575">
            <v>86.87</v>
          </cell>
          <cell r="H575">
            <v>98.55</v>
          </cell>
          <cell r="I575">
            <v>0.1</v>
          </cell>
          <cell r="J575" t="str">
            <v>A</v>
          </cell>
        </row>
        <row r="576">
          <cell r="A576">
            <v>38432</v>
          </cell>
          <cell r="B576" t="str">
            <v>49</v>
          </cell>
          <cell r="C576" t="str">
            <v>PVD</v>
          </cell>
          <cell r="D576" t="str">
            <v>2</v>
          </cell>
          <cell r="E576">
            <v>93.47</v>
          </cell>
          <cell r="F576">
            <v>11.74</v>
          </cell>
          <cell r="G576">
            <v>86.93</v>
          </cell>
          <cell r="H576">
            <v>98.49</v>
          </cell>
          <cell r="I576">
            <v>0.11</v>
          </cell>
          <cell r="J576" t="str">
            <v>A</v>
          </cell>
        </row>
        <row r="577">
          <cell r="A577">
            <v>38432</v>
          </cell>
          <cell r="B577" t="str">
            <v>50</v>
          </cell>
          <cell r="C577" t="str">
            <v>SMI</v>
          </cell>
          <cell r="D577" t="str">
            <v>20</v>
          </cell>
          <cell r="E577">
            <v>93.39</v>
          </cell>
          <cell r="F577">
            <v>11.84</v>
          </cell>
          <cell r="G577">
            <v>86.85</v>
          </cell>
          <cell r="H577">
            <v>98.52</v>
          </cell>
          <cell r="I577">
            <v>0.09</v>
          </cell>
          <cell r="J577" t="str">
            <v>A</v>
          </cell>
        </row>
        <row r="578">
          <cell r="A578">
            <v>38432</v>
          </cell>
          <cell r="B578" t="str">
            <v>51</v>
          </cell>
          <cell r="C578" t="str">
            <v>PVD</v>
          </cell>
          <cell r="D578" t="str">
            <v>3</v>
          </cell>
          <cell r="E578">
            <v>93.41</v>
          </cell>
          <cell r="F578">
            <v>11.76</v>
          </cell>
          <cell r="G578">
            <v>86.87</v>
          </cell>
          <cell r="H578">
            <v>98.45</v>
          </cell>
          <cell r="I578">
            <v>0.1</v>
          </cell>
          <cell r="J578" t="str">
            <v>A</v>
          </cell>
        </row>
        <row r="579">
          <cell r="A579">
            <v>38433</v>
          </cell>
          <cell r="B579" t="str">
            <v>52</v>
          </cell>
          <cell r="C579" t="str">
            <v>PVD</v>
          </cell>
          <cell r="D579" t="str">
            <v>4</v>
          </cell>
          <cell r="E579">
            <v>91.06</v>
          </cell>
          <cell r="F579">
            <v>13.22</v>
          </cell>
          <cell r="G579">
            <v>84.69</v>
          </cell>
          <cell r="H579">
            <v>97.59</v>
          </cell>
          <cell r="I579">
            <v>0.11</v>
          </cell>
          <cell r="J579" t="str">
            <v>A</v>
          </cell>
          <cell r="L579" t="str">
            <v>NCR RM-04/070</v>
          </cell>
        </row>
        <row r="580">
          <cell r="A580">
            <v>38435</v>
          </cell>
          <cell r="B580" t="str">
            <v>53</v>
          </cell>
          <cell r="C580" t="str">
            <v>SMI</v>
          </cell>
          <cell r="D580" t="str">
            <v>21</v>
          </cell>
          <cell r="E580">
            <v>92.92</v>
          </cell>
          <cell r="F580">
            <v>11.96</v>
          </cell>
          <cell r="G580">
            <v>86.42</v>
          </cell>
          <cell r="H580">
            <v>98.15</v>
          </cell>
          <cell r="I580">
            <v>0.11</v>
          </cell>
          <cell r="J580" t="str">
            <v>A</v>
          </cell>
        </row>
        <row r="581">
          <cell r="A581">
            <v>38436</v>
          </cell>
          <cell r="B581" t="str">
            <v>54</v>
          </cell>
          <cell r="C581" t="str">
            <v>PVD</v>
          </cell>
          <cell r="D581" t="str">
            <v>5</v>
          </cell>
          <cell r="E581">
            <v>91.1</v>
          </cell>
          <cell r="F581">
            <v>13.24</v>
          </cell>
          <cell r="G581">
            <v>84.72</v>
          </cell>
          <cell r="H581">
            <v>97.65</v>
          </cell>
          <cell r="I581">
            <v>0.1</v>
          </cell>
          <cell r="J581" t="str">
            <v>A</v>
          </cell>
          <cell r="L581" t="str">
            <v>NCR RM-04/070</v>
          </cell>
        </row>
        <row r="582">
          <cell r="A582">
            <v>38436</v>
          </cell>
          <cell r="B582" t="str">
            <v>55</v>
          </cell>
          <cell r="C582" t="str">
            <v>PVD</v>
          </cell>
          <cell r="D582" t="str">
            <v>6</v>
          </cell>
          <cell r="E582">
            <v>91.1</v>
          </cell>
          <cell r="F582">
            <v>13.22</v>
          </cell>
          <cell r="G582">
            <v>84.72</v>
          </cell>
          <cell r="H582">
            <v>97.63</v>
          </cell>
          <cell r="I582">
            <v>0.2</v>
          </cell>
          <cell r="J582" t="str">
            <v>A</v>
          </cell>
          <cell r="L582" t="str">
            <v>NCR RM-04/070</v>
          </cell>
        </row>
        <row r="583">
          <cell r="A583">
            <v>38439</v>
          </cell>
          <cell r="B583" t="str">
            <v>56</v>
          </cell>
          <cell r="C583" t="str">
            <v>SMI</v>
          </cell>
          <cell r="D583" t="str">
            <v>22</v>
          </cell>
          <cell r="E583">
            <v>92.92</v>
          </cell>
          <cell r="F583">
            <v>11.75</v>
          </cell>
          <cell r="G583">
            <v>86.42</v>
          </cell>
          <cell r="H583">
            <v>97.92</v>
          </cell>
          <cell r="I583">
            <v>0.15</v>
          </cell>
          <cell r="J583" t="str">
            <v>A</v>
          </cell>
        </row>
        <row r="584">
          <cell r="A584">
            <v>38439</v>
          </cell>
          <cell r="B584" t="str">
            <v>57</v>
          </cell>
          <cell r="C584" t="str">
            <v>PVD</v>
          </cell>
          <cell r="D584" t="str">
            <v>7</v>
          </cell>
          <cell r="E584">
            <v>92.08</v>
          </cell>
          <cell r="F584">
            <v>13.16</v>
          </cell>
          <cell r="G584">
            <v>85.63</v>
          </cell>
          <cell r="H584">
            <v>98.61</v>
          </cell>
          <cell r="I584">
            <v>0.15</v>
          </cell>
          <cell r="J584" t="str">
            <v>A</v>
          </cell>
          <cell r="L584" t="str">
            <v>NCR RM-04/070</v>
          </cell>
        </row>
        <row r="585">
          <cell r="A585">
            <v>38439</v>
          </cell>
          <cell r="B585" t="str">
            <v>58</v>
          </cell>
          <cell r="C585" t="str">
            <v>PVD</v>
          </cell>
          <cell r="D585" t="str">
            <v>8</v>
          </cell>
          <cell r="E585">
            <v>92.09</v>
          </cell>
          <cell r="F585">
            <v>13.03</v>
          </cell>
          <cell r="G585">
            <v>85.64</v>
          </cell>
          <cell r="H585">
            <v>98.47</v>
          </cell>
          <cell r="I585">
            <v>0.12</v>
          </cell>
          <cell r="J585" t="str">
            <v>A</v>
          </cell>
          <cell r="L585" t="str">
            <v>NCR RM-04/070</v>
          </cell>
        </row>
        <row r="586">
          <cell r="A586">
            <v>38439</v>
          </cell>
          <cell r="B586" t="str">
            <v>59</v>
          </cell>
          <cell r="C586" t="str">
            <v>PVD</v>
          </cell>
          <cell r="D586" t="str">
            <v>9</v>
          </cell>
          <cell r="E586">
            <v>92.9</v>
          </cell>
          <cell r="F586">
            <v>12.33</v>
          </cell>
          <cell r="G586">
            <v>86.4</v>
          </cell>
          <cell r="H586">
            <v>98.55</v>
          </cell>
          <cell r="I586">
            <v>0.12</v>
          </cell>
          <cell r="J586" t="str">
            <v>A</v>
          </cell>
        </row>
        <row r="587">
          <cell r="A587">
            <v>38440</v>
          </cell>
          <cell r="B587" t="str">
            <v>60</v>
          </cell>
          <cell r="C587" t="str">
            <v>PVD</v>
          </cell>
          <cell r="D587" t="str">
            <v>10</v>
          </cell>
          <cell r="E587">
            <v>92.89</v>
          </cell>
          <cell r="F587">
            <v>12.39</v>
          </cell>
          <cell r="G587">
            <v>86.39</v>
          </cell>
          <cell r="H587">
            <v>98.6</v>
          </cell>
          <cell r="I587">
            <v>0.14000000000000001</v>
          </cell>
          <cell r="J587" t="str">
            <v>A</v>
          </cell>
        </row>
        <row r="588">
          <cell r="A588">
            <v>38442</v>
          </cell>
          <cell r="B588" t="str">
            <v>61</v>
          </cell>
          <cell r="C588" t="str">
            <v>PVD</v>
          </cell>
          <cell r="D588" t="str">
            <v>11</v>
          </cell>
          <cell r="E588">
            <v>92.74</v>
          </cell>
          <cell r="F588">
            <v>12.5</v>
          </cell>
          <cell r="G588">
            <v>86.25</v>
          </cell>
          <cell r="H588">
            <v>98.57</v>
          </cell>
          <cell r="I588">
            <v>0.12</v>
          </cell>
          <cell r="J588" t="str">
            <v>A</v>
          </cell>
        </row>
        <row r="589">
          <cell r="A589">
            <v>38442</v>
          </cell>
          <cell r="B589" t="str">
            <v>62</v>
          </cell>
          <cell r="C589" t="str">
            <v>SMI</v>
          </cell>
          <cell r="D589" t="str">
            <v>23</v>
          </cell>
          <cell r="E589">
            <v>93.6</v>
          </cell>
          <cell r="F589">
            <v>11.89</v>
          </cell>
          <cell r="G589">
            <v>87.05</v>
          </cell>
          <cell r="H589">
            <v>98.79</v>
          </cell>
          <cell r="I589">
            <v>0.13</v>
          </cell>
          <cell r="J589" t="str">
            <v>A</v>
          </cell>
        </row>
        <row r="590">
          <cell r="A590">
            <v>38442</v>
          </cell>
          <cell r="B590" t="str">
            <v>63</v>
          </cell>
          <cell r="C590" t="str">
            <v>PVD</v>
          </cell>
          <cell r="D590" t="str">
            <v>12</v>
          </cell>
          <cell r="E590">
            <v>93.62</v>
          </cell>
          <cell r="F590">
            <v>11.83</v>
          </cell>
          <cell r="G590">
            <v>87.07</v>
          </cell>
          <cell r="H590">
            <v>98.75</v>
          </cell>
          <cell r="I590">
            <v>0.14000000000000001</v>
          </cell>
          <cell r="J590" t="str">
            <v>A</v>
          </cell>
        </row>
        <row r="591">
          <cell r="A591">
            <v>38444</v>
          </cell>
          <cell r="B591" t="str">
            <v>64</v>
          </cell>
          <cell r="C591" t="str">
            <v>PVD</v>
          </cell>
          <cell r="D591" t="str">
            <v>13</v>
          </cell>
          <cell r="E591">
            <v>92.63</v>
          </cell>
          <cell r="F591">
            <v>12.79</v>
          </cell>
          <cell r="G591">
            <v>86.15</v>
          </cell>
          <cell r="H591">
            <v>98.78</v>
          </cell>
          <cell r="I591">
            <v>0.12</v>
          </cell>
          <cell r="J591" t="str">
            <v>A</v>
          </cell>
        </row>
        <row r="592">
          <cell r="A592">
            <v>38444</v>
          </cell>
          <cell r="B592" t="str">
            <v>65</v>
          </cell>
          <cell r="C592" t="str">
            <v>SMI</v>
          </cell>
          <cell r="D592" t="str">
            <v>24</v>
          </cell>
          <cell r="E592">
            <v>93.2</v>
          </cell>
          <cell r="F592">
            <v>11.83</v>
          </cell>
          <cell r="G592">
            <v>86.68</v>
          </cell>
          <cell r="H592">
            <v>98.31</v>
          </cell>
          <cell r="I592">
            <v>0.13</v>
          </cell>
          <cell r="J592" t="str">
            <v>A</v>
          </cell>
        </row>
        <row r="593">
          <cell r="A593">
            <v>38445</v>
          </cell>
          <cell r="B593" t="str">
            <v>67</v>
          </cell>
          <cell r="C593" t="str">
            <v>SMI</v>
          </cell>
          <cell r="D593" t="str">
            <v>25</v>
          </cell>
          <cell r="E593">
            <v>93.21</v>
          </cell>
          <cell r="F593">
            <v>11.83</v>
          </cell>
          <cell r="G593">
            <v>86.69</v>
          </cell>
          <cell r="H593">
            <v>98.32</v>
          </cell>
          <cell r="I593">
            <v>0.15</v>
          </cell>
          <cell r="J593" t="str">
            <v>A</v>
          </cell>
        </row>
        <row r="594">
          <cell r="A594">
            <v>38445</v>
          </cell>
          <cell r="B594" t="str">
            <v>68</v>
          </cell>
          <cell r="C594" t="str">
            <v>SMI</v>
          </cell>
          <cell r="D594" t="str">
            <v>26</v>
          </cell>
          <cell r="E594">
            <v>93.15</v>
          </cell>
          <cell r="F594">
            <v>11.82</v>
          </cell>
          <cell r="G594">
            <v>86.63</v>
          </cell>
          <cell r="H594">
            <v>98.24</v>
          </cell>
          <cell r="I594">
            <v>0.18</v>
          </cell>
          <cell r="J594" t="str">
            <v>A</v>
          </cell>
        </row>
        <row r="595">
          <cell r="A595">
            <v>38447</v>
          </cell>
          <cell r="B595" t="str">
            <v>66</v>
          </cell>
          <cell r="C595" t="str">
            <v>NE</v>
          </cell>
          <cell r="D595" t="str">
            <v>1</v>
          </cell>
          <cell r="E595">
            <v>91.07</v>
          </cell>
          <cell r="F595">
            <v>14.24</v>
          </cell>
          <cell r="G595">
            <v>84.7</v>
          </cell>
          <cell r="H595">
            <v>98.76</v>
          </cell>
          <cell r="I595">
            <v>0.11</v>
          </cell>
          <cell r="J595" t="str">
            <v>A</v>
          </cell>
          <cell r="L595" t="str">
            <v>NCR RM-05/002</v>
          </cell>
        </row>
        <row r="596">
          <cell r="A596">
            <v>38447</v>
          </cell>
          <cell r="B596" t="str">
            <v>70</v>
          </cell>
          <cell r="C596" t="str">
            <v>SMI</v>
          </cell>
          <cell r="D596" t="str">
            <v>27</v>
          </cell>
          <cell r="E596">
            <v>93.23</v>
          </cell>
          <cell r="F596">
            <v>11.61</v>
          </cell>
          <cell r="G596">
            <v>86.7</v>
          </cell>
          <cell r="H596">
            <v>98.09</v>
          </cell>
          <cell r="I596">
            <v>0.16</v>
          </cell>
          <cell r="J596" t="str">
            <v>A</v>
          </cell>
        </row>
        <row r="597">
          <cell r="A597">
            <v>38449</v>
          </cell>
          <cell r="B597" t="str">
            <v>71</v>
          </cell>
          <cell r="C597" t="str">
            <v>SMI</v>
          </cell>
          <cell r="D597" t="str">
            <v>28</v>
          </cell>
          <cell r="E597">
            <v>93.22</v>
          </cell>
          <cell r="F597">
            <v>11.62</v>
          </cell>
          <cell r="G597">
            <v>86.69</v>
          </cell>
          <cell r="H597">
            <v>98.09</v>
          </cell>
          <cell r="I597">
            <v>0.16</v>
          </cell>
          <cell r="J597" t="str">
            <v>A</v>
          </cell>
        </row>
        <row r="598">
          <cell r="A598">
            <v>38449</v>
          </cell>
          <cell r="B598" t="str">
            <v>73</v>
          </cell>
          <cell r="C598" t="str">
            <v>SMI</v>
          </cell>
          <cell r="D598" t="str">
            <v>29</v>
          </cell>
          <cell r="E598">
            <v>93.2</v>
          </cell>
          <cell r="F598">
            <v>11.65</v>
          </cell>
          <cell r="G598">
            <v>86.68</v>
          </cell>
          <cell r="H598">
            <v>98.11</v>
          </cell>
          <cell r="I598">
            <v>0.17</v>
          </cell>
          <cell r="J598" t="str">
            <v>A</v>
          </cell>
        </row>
        <row r="599">
          <cell r="A599">
            <v>38450</v>
          </cell>
          <cell r="B599" t="str">
            <v>74</v>
          </cell>
          <cell r="C599" t="str">
            <v>SMI</v>
          </cell>
          <cell r="D599" t="str">
            <v>30</v>
          </cell>
          <cell r="E599">
            <v>93.75</v>
          </cell>
          <cell r="F599">
            <v>11.51</v>
          </cell>
          <cell r="G599">
            <v>87.19</v>
          </cell>
          <cell r="H599">
            <v>98.53</v>
          </cell>
          <cell r="I599">
            <v>0.17</v>
          </cell>
          <cell r="J599" t="str">
            <v>A</v>
          </cell>
        </row>
        <row r="600">
          <cell r="A600">
            <v>38451</v>
          </cell>
          <cell r="B600" t="str">
            <v>72</v>
          </cell>
          <cell r="C600" t="str">
            <v>NE</v>
          </cell>
          <cell r="D600" t="str">
            <v>2</v>
          </cell>
          <cell r="E600">
            <v>93.77</v>
          </cell>
          <cell r="F600">
            <v>11.15</v>
          </cell>
          <cell r="G600">
            <v>87.21</v>
          </cell>
          <cell r="H600">
            <v>98.15</v>
          </cell>
          <cell r="I600">
            <v>0.18</v>
          </cell>
          <cell r="J600" t="str">
            <v>A</v>
          </cell>
        </row>
        <row r="601">
          <cell r="A601">
            <v>38453</v>
          </cell>
          <cell r="B601" t="str">
            <v>75</v>
          </cell>
          <cell r="C601" t="str">
            <v>SMI</v>
          </cell>
          <cell r="D601" t="str">
            <v>31</v>
          </cell>
          <cell r="E601">
            <v>93.79</v>
          </cell>
          <cell r="F601">
            <v>11.59</v>
          </cell>
          <cell r="G601">
            <v>87.22</v>
          </cell>
          <cell r="H601">
            <v>98.66</v>
          </cell>
          <cell r="I601">
            <v>0.15</v>
          </cell>
          <cell r="J601" t="str">
            <v>A</v>
          </cell>
        </row>
        <row r="602">
          <cell r="A602">
            <v>38453</v>
          </cell>
          <cell r="B602" t="str">
            <v>77</v>
          </cell>
          <cell r="C602" t="str">
            <v>SMI</v>
          </cell>
          <cell r="D602" t="str">
            <v>32</v>
          </cell>
          <cell r="E602">
            <v>93.76</v>
          </cell>
          <cell r="F602">
            <v>11.5</v>
          </cell>
          <cell r="G602">
            <v>87.2</v>
          </cell>
          <cell r="H602">
            <v>98.53</v>
          </cell>
          <cell r="I602">
            <v>0.15</v>
          </cell>
          <cell r="J602" t="str">
            <v>A</v>
          </cell>
        </row>
        <row r="603">
          <cell r="A603">
            <v>38453</v>
          </cell>
          <cell r="B603" t="str">
            <v>79</v>
          </cell>
          <cell r="C603" t="str">
            <v>SMI</v>
          </cell>
          <cell r="D603" t="str">
            <v>33</v>
          </cell>
          <cell r="E603">
            <v>94.61</v>
          </cell>
          <cell r="F603">
            <v>10.81</v>
          </cell>
          <cell r="G603">
            <v>87.99</v>
          </cell>
          <cell r="H603">
            <v>98.65</v>
          </cell>
          <cell r="I603">
            <v>0.12</v>
          </cell>
          <cell r="J603" t="str">
            <v>A</v>
          </cell>
        </row>
        <row r="604">
          <cell r="A604">
            <v>38454</v>
          </cell>
          <cell r="B604" t="str">
            <v>69</v>
          </cell>
          <cell r="C604" t="str">
            <v>AS</v>
          </cell>
          <cell r="D604" t="str">
            <v>9</v>
          </cell>
          <cell r="E604">
            <v>93.79</v>
          </cell>
          <cell r="F604">
            <v>11.59</v>
          </cell>
          <cell r="G604">
            <v>87.22</v>
          </cell>
          <cell r="H604">
            <v>98.66</v>
          </cell>
          <cell r="I604">
            <v>0.12</v>
          </cell>
          <cell r="J604" t="str">
            <v>A</v>
          </cell>
        </row>
        <row r="605">
          <cell r="A605">
            <v>38455</v>
          </cell>
          <cell r="B605" t="str">
            <v>81</v>
          </cell>
          <cell r="C605" t="str">
            <v>AS</v>
          </cell>
          <cell r="D605" t="str">
            <v>10</v>
          </cell>
          <cell r="E605">
            <v>93.78</v>
          </cell>
          <cell r="F605">
            <v>11.66</v>
          </cell>
          <cell r="G605">
            <v>87.22</v>
          </cell>
          <cell r="H605">
            <v>98.73</v>
          </cell>
          <cell r="I605">
            <v>0.13</v>
          </cell>
          <cell r="J605" t="str">
            <v>A</v>
          </cell>
        </row>
        <row r="606">
          <cell r="A606">
            <v>38460</v>
          </cell>
          <cell r="B606" t="str">
            <v>76</v>
          </cell>
          <cell r="C606" t="str">
            <v>NE</v>
          </cell>
          <cell r="D606" t="str">
            <v>3</v>
          </cell>
          <cell r="E606">
            <v>91.07</v>
          </cell>
          <cell r="F606">
            <v>14.05</v>
          </cell>
          <cell r="G606">
            <v>84.7</v>
          </cell>
          <cell r="H606">
            <v>98.54</v>
          </cell>
          <cell r="I606">
            <v>0.12</v>
          </cell>
          <cell r="J606" t="str">
            <v>A</v>
          </cell>
          <cell r="L606" t="str">
            <v>NCR RM-05/003</v>
          </cell>
        </row>
        <row r="607">
          <cell r="A607">
            <v>38460</v>
          </cell>
          <cell r="B607" t="str">
            <v>78</v>
          </cell>
          <cell r="C607" t="str">
            <v>PVD</v>
          </cell>
          <cell r="D607" t="str">
            <v>14</v>
          </cell>
          <cell r="E607">
            <v>92.87</v>
          </cell>
          <cell r="F607">
            <v>12.36</v>
          </cell>
          <cell r="G607">
            <v>86.37</v>
          </cell>
          <cell r="H607">
            <v>98.55</v>
          </cell>
          <cell r="I607">
            <v>0.12</v>
          </cell>
          <cell r="J607" t="str">
            <v>A</v>
          </cell>
        </row>
        <row r="608">
          <cell r="A608">
            <v>38462</v>
          </cell>
          <cell r="B608" t="str">
            <v>80</v>
          </cell>
          <cell r="C608" t="str">
            <v>SMI</v>
          </cell>
          <cell r="D608" t="str">
            <v>34</v>
          </cell>
          <cell r="E608">
            <v>92.91</v>
          </cell>
          <cell r="F608">
            <v>12.35</v>
          </cell>
          <cell r="G608">
            <v>86.41</v>
          </cell>
          <cell r="H608">
            <v>98.58</v>
          </cell>
          <cell r="I608">
            <v>0.14000000000000001</v>
          </cell>
          <cell r="J608" t="str">
            <v>A</v>
          </cell>
        </row>
        <row r="609">
          <cell r="A609">
            <v>38462</v>
          </cell>
          <cell r="B609" t="str">
            <v>82</v>
          </cell>
          <cell r="C609" t="str">
            <v>PVD</v>
          </cell>
          <cell r="D609" t="str">
            <v>15</v>
          </cell>
          <cell r="E609">
            <v>94.59</v>
          </cell>
          <cell r="F609">
            <v>11.11</v>
          </cell>
          <cell r="G609">
            <v>87.97</v>
          </cell>
          <cell r="H609">
            <v>98.96</v>
          </cell>
          <cell r="I609">
            <v>0.13</v>
          </cell>
          <cell r="J609" t="str">
            <v>A</v>
          </cell>
        </row>
        <row r="610">
          <cell r="A610">
            <v>38464</v>
          </cell>
          <cell r="B610" t="str">
            <v>83</v>
          </cell>
          <cell r="C610" t="str">
            <v>NE</v>
          </cell>
          <cell r="D610" t="str">
            <v>4</v>
          </cell>
          <cell r="E610">
            <v>92.94</v>
          </cell>
          <cell r="F610">
            <v>12.25</v>
          </cell>
          <cell r="G610">
            <v>86.43</v>
          </cell>
          <cell r="H610">
            <v>98.5</v>
          </cell>
          <cell r="I610">
            <v>0.17</v>
          </cell>
          <cell r="J610" t="str">
            <v>A</v>
          </cell>
        </row>
        <row r="611">
          <cell r="A611">
            <v>38464</v>
          </cell>
          <cell r="B611" t="str">
            <v>84</v>
          </cell>
          <cell r="C611" t="str">
            <v>PVD</v>
          </cell>
          <cell r="D611" t="str">
            <v>16</v>
          </cell>
          <cell r="E611">
            <v>93.81</v>
          </cell>
          <cell r="F611">
            <v>11.53</v>
          </cell>
          <cell r="G611">
            <v>87.24</v>
          </cell>
          <cell r="H611">
            <v>98.61</v>
          </cell>
          <cell r="I611">
            <v>0.17</v>
          </cell>
          <cell r="J611" t="str">
            <v>A</v>
          </cell>
        </row>
        <row r="612">
          <cell r="A612">
            <v>38465</v>
          </cell>
          <cell r="B612" t="str">
            <v>85</v>
          </cell>
          <cell r="C612" t="str">
            <v>SMI</v>
          </cell>
          <cell r="D612" t="str">
            <v>55</v>
          </cell>
          <cell r="E612">
            <v>94.1</v>
          </cell>
          <cell r="F612">
            <v>10.74</v>
          </cell>
          <cell r="G612">
            <v>87.51</v>
          </cell>
          <cell r="H612">
            <v>98.04</v>
          </cell>
          <cell r="I612">
            <v>0.15</v>
          </cell>
          <cell r="J612" t="str">
            <v>A</v>
          </cell>
        </row>
        <row r="613">
          <cell r="A613">
            <v>38468</v>
          </cell>
          <cell r="B613" t="str">
            <v>86</v>
          </cell>
          <cell r="C613" t="str">
            <v>SMI</v>
          </cell>
          <cell r="D613" t="str">
            <v>36</v>
          </cell>
          <cell r="E613">
            <v>93.21</v>
          </cell>
          <cell r="F613">
            <v>12.05</v>
          </cell>
          <cell r="G613">
            <v>86.69</v>
          </cell>
          <cell r="H613">
            <v>98.56</v>
          </cell>
          <cell r="I613">
            <v>0.17</v>
          </cell>
          <cell r="J613" t="str">
            <v>A</v>
          </cell>
        </row>
        <row r="614">
          <cell r="A614">
            <v>38468</v>
          </cell>
          <cell r="B614" t="str">
            <v>87</v>
          </cell>
          <cell r="C614" t="str">
            <v>PVD</v>
          </cell>
          <cell r="D614" t="str">
            <v>17</v>
          </cell>
          <cell r="E614">
            <v>94.1</v>
          </cell>
          <cell r="F614">
            <v>11.18</v>
          </cell>
          <cell r="G614">
            <v>87.51</v>
          </cell>
          <cell r="H614">
            <v>98.53</v>
          </cell>
          <cell r="I614">
            <v>0.19</v>
          </cell>
          <cell r="J614" t="str">
            <v>A</v>
          </cell>
        </row>
        <row r="615">
          <cell r="A615">
            <v>38468</v>
          </cell>
          <cell r="B615" t="str">
            <v>88</v>
          </cell>
          <cell r="C615" t="str">
            <v>PVD</v>
          </cell>
          <cell r="D615" t="str">
            <v>18</v>
          </cell>
          <cell r="E615">
            <v>93.22</v>
          </cell>
          <cell r="F615">
            <v>12.11</v>
          </cell>
          <cell r="G615">
            <v>86.69</v>
          </cell>
          <cell r="H615">
            <v>98.64</v>
          </cell>
          <cell r="I615">
            <v>0.19</v>
          </cell>
          <cell r="J615" t="str">
            <v>A</v>
          </cell>
        </row>
        <row r="616">
          <cell r="A616">
            <v>38470</v>
          </cell>
          <cell r="B616" t="str">
            <v>90</v>
          </cell>
          <cell r="C616" t="str">
            <v>PVD</v>
          </cell>
          <cell r="D616" t="str">
            <v>19</v>
          </cell>
          <cell r="E616">
            <v>94.03</v>
          </cell>
          <cell r="F616">
            <v>12.15</v>
          </cell>
          <cell r="G616">
            <v>87.45</v>
          </cell>
          <cell r="H616">
            <v>99.54</v>
          </cell>
          <cell r="I616">
            <v>0.19</v>
          </cell>
          <cell r="J616" t="str">
            <v>A</v>
          </cell>
        </row>
        <row r="617">
          <cell r="A617">
            <v>38471</v>
          </cell>
          <cell r="B617" t="str">
            <v>91</v>
          </cell>
          <cell r="C617" t="str">
            <v>PVD</v>
          </cell>
          <cell r="D617" t="str">
            <v>20</v>
          </cell>
          <cell r="E617">
            <v>93.14</v>
          </cell>
          <cell r="F617">
            <v>12.19</v>
          </cell>
          <cell r="G617">
            <v>86.62</v>
          </cell>
          <cell r="H617">
            <v>98.65</v>
          </cell>
          <cell r="I617">
            <v>0.13</v>
          </cell>
          <cell r="J617" t="str">
            <v>A</v>
          </cell>
        </row>
        <row r="618">
          <cell r="A618">
            <v>38472</v>
          </cell>
          <cell r="B618" t="str">
            <v>89</v>
          </cell>
          <cell r="C618" t="str">
            <v>SMI</v>
          </cell>
          <cell r="D618" t="str">
            <v>37</v>
          </cell>
          <cell r="E618">
            <v>93.19</v>
          </cell>
          <cell r="F618">
            <v>11.6</v>
          </cell>
          <cell r="G618">
            <v>86.67</v>
          </cell>
          <cell r="H618">
            <v>98.04</v>
          </cell>
          <cell r="I618">
            <v>0.15</v>
          </cell>
          <cell r="J618" t="str">
            <v>A</v>
          </cell>
        </row>
        <row r="619">
          <cell r="A619">
            <v>38472</v>
          </cell>
          <cell r="B619" t="str">
            <v>92</v>
          </cell>
          <cell r="C619" t="str">
            <v>PVD</v>
          </cell>
          <cell r="D619" t="str">
            <v>21</v>
          </cell>
          <cell r="E619">
            <v>94.04</v>
          </cell>
          <cell r="F619">
            <v>12.09</v>
          </cell>
          <cell r="G619">
            <v>87.46</v>
          </cell>
          <cell r="H619">
            <v>99.48</v>
          </cell>
          <cell r="I619">
            <v>0.16</v>
          </cell>
          <cell r="J619" t="str">
            <v>A</v>
          </cell>
        </row>
        <row r="620">
          <cell r="A620">
            <v>38481</v>
          </cell>
          <cell r="B620" t="str">
            <v>93</v>
          </cell>
          <cell r="C620" t="str">
            <v>SMI</v>
          </cell>
          <cell r="D620" t="str">
            <v>38</v>
          </cell>
          <cell r="E620">
            <v>92.68</v>
          </cell>
          <cell r="F620">
            <v>11.24</v>
          </cell>
          <cell r="G620">
            <v>86.19</v>
          </cell>
          <cell r="H620">
            <v>97.11</v>
          </cell>
          <cell r="I620">
            <v>0.11</v>
          </cell>
          <cell r="J620" t="str">
            <v>A</v>
          </cell>
        </row>
        <row r="621">
          <cell r="A621">
            <v>38481</v>
          </cell>
          <cell r="B621" t="str">
            <v>94</v>
          </cell>
          <cell r="C621" t="str">
            <v>PVD</v>
          </cell>
          <cell r="D621" t="str">
            <v>22</v>
          </cell>
          <cell r="E621">
            <v>92.71</v>
          </cell>
          <cell r="F621">
            <v>12.34</v>
          </cell>
          <cell r="G621">
            <v>86.22</v>
          </cell>
          <cell r="H621">
            <v>98.36</v>
          </cell>
          <cell r="I621">
            <v>0.11</v>
          </cell>
          <cell r="J621" t="str">
            <v>A</v>
          </cell>
        </row>
        <row r="622">
          <cell r="A622">
            <v>38481</v>
          </cell>
          <cell r="B622" t="str">
            <v>95</v>
          </cell>
          <cell r="C622" t="str">
            <v>NE</v>
          </cell>
          <cell r="D622" t="str">
            <v>5</v>
          </cell>
          <cell r="E622">
            <v>93.61</v>
          </cell>
          <cell r="F622">
            <v>12.05</v>
          </cell>
          <cell r="G622">
            <v>87.06</v>
          </cell>
          <cell r="H622">
            <v>98.98</v>
          </cell>
          <cell r="I622">
            <v>0.12</v>
          </cell>
          <cell r="J622" t="str">
            <v>A</v>
          </cell>
        </row>
        <row r="623">
          <cell r="A623">
            <v>38481</v>
          </cell>
          <cell r="B623" t="str">
            <v>96</v>
          </cell>
          <cell r="C623" t="str">
            <v>KR</v>
          </cell>
          <cell r="D623" t="str">
            <v>2</v>
          </cell>
          <cell r="E623">
            <v>93.67</v>
          </cell>
          <cell r="F623">
            <v>11.43</v>
          </cell>
          <cell r="G623">
            <v>87.11</v>
          </cell>
          <cell r="H623">
            <v>98.36</v>
          </cell>
          <cell r="I623">
            <v>0.11</v>
          </cell>
          <cell r="J623" t="str">
            <v>A</v>
          </cell>
        </row>
        <row r="624">
          <cell r="A624">
            <v>38481</v>
          </cell>
          <cell r="B624" t="str">
            <v>97</v>
          </cell>
          <cell r="C624" t="str">
            <v>PVD</v>
          </cell>
          <cell r="D624" t="str">
            <v>23</v>
          </cell>
          <cell r="E624">
            <v>93.65</v>
          </cell>
          <cell r="F624">
            <v>12.4</v>
          </cell>
          <cell r="G624">
            <v>87.09</v>
          </cell>
          <cell r="H624">
            <v>99.42</v>
          </cell>
          <cell r="I624">
            <v>0.11</v>
          </cell>
          <cell r="J624" t="str">
            <v>A</v>
          </cell>
        </row>
        <row r="625">
          <cell r="A625">
            <v>38483</v>
          </cell>
          <cell r="B625" t="str">
            <v>101</v>
          </cell>
          <cell r="C625" t="str">
            <v>KR</v>
          </cell>
          <cell r="D625" t="str">
            <v>3</v>
          </cell>
          <cell r="E625">
            <v>92.63</v>
          </cell>
          <cell r="F625">
            <v>12.08</v>
          </cell>
          <cell r="G625">
            <v>86.15</v>
          </cell>
          <cell r="H625">
            <v>97.98</v>
          </cell>
          <cell r="I625">
            <v>0.13</v>
          </cell>
          <cell r="J625" t="str">
            <v>A</v>
          </cell>
        </row>
        <row r="626">
          <cell r="A626">
            <v>38483</v>
          </cell>
          <cell r="B626" t="str">
            <v>98</v>
          </cell>
          <cell r="C626" t="str">
            <v>PVD</v>
          </cell>
          <cell r="D626" t="str">
            <v>24</v>
          </cell>
          <cell r="E626">
            <v>92.75</v>
          </cell>
          <cell r="F626">
            <v>12.34</v>
          </cell>
          <cell r="G626">
            <v>86.26</v>
          </cell>
          <cell r="H626">
            <v>98.4</v>
          </cell>
          <cell r="I626">
            <v>0.12</v>
          </cell>
          <cell r="J626" t="str">
            <v>A</v>
          </cell>
        </row>
        <row r="627">
          <cell r="A627">
            <v>38485</v>
          </cell>
          <cell r="B627" t="str">
            <v>102</v>
          </cell>
          <cell r="C627" t="str">
            <v>PVD</v>
          </cell>
          <cell r="D627" t="str">
            <v>25</v>
          </cell>
          <cell r="E627">
            <v>92.79</v>
          </cell>
          <cell r="F627">
            <v>12.05</v>
          </cell>
          <cell r="G627">
            <v>86.29</v>
          </cell>
          <cell r="H627">
            <v>98.12</v>
          </cell>
          <cell r="I627">
            <v>0.12</v>
          </cell>
          <cell r="J627" t="str">
            <v>A</v>
          </cell>
        </row>
        <row r="628">
          <cell r="A628">
            <v>38485</v>
          </cell>
          <cell r="B628" t="str">
            <v>99</v>
          </cell>
          <cell r="C628" t="str">
            <v>SMI</v>
          </cell>
          <cell r="D628" t="str">
            <v>39</v>
          </cell>
          <cell r="E628">
            <v>93.6</v>
          </cell>
          <cell r="F628">
            <v>11.03</v>
          </cell>
          <cell r="G628">
            <v>87.05</v>
          </cell>
          <cell r="H628">
            <v>97.84</v>
          </cell>
          <cell r="I628">
            <v>0.15</v>
          </cell>
          <cell r="J628" t="str">
            <v>A</v>
          </cell>
        </row>
        <row r="629">
          <cell r="A629">
            <v>38489</v>
          </cell>
          <cell r="B629" t="str">
            <v>100</v>
          </cell>
          <cell r="C629" t="str">
            <v>NE</v>
          </cell>
          <cell r="D629" t="str">
            <v>6</v>
          </cell>
          <cell r="E629">
            <v>92.75</v>
          </cell>
          <cell r="F629">
            <v>12.9</v>
          </cell>
          <cell r="G629">
            <v>86.26</v>
          </cell>
          <cell r="H629">
            <v>99.03</v>
          </cell>
          <cell r="I629">
            <v>0.1</v>
          </cell>
          <cell r="J629" t="str">
            <v>A</v>
          </cell>
        </row>
        <row r="630">
          <cell r="A630">
            <v>38489</v>
          </cell>
          <cell r="B630" t="str">
            <v>103</v>
          </cell>
          <cell r="C630" t="str">
            <v>AS</v>
          </cell>
          <cell r="D630" t="str">
            <v>11</v>
          </cell>
          <cell r="E630">
            <v>92.65</v>
          </cell>
          <cell r="F630">
            <v>12.56</v>
          </cell>
          <cell r="G630">
            <v>86.16</v>
          </cell>
          <cell r="H630">
            <v>98.54</v>
          </cell>
          <cell r="I630">
            <v>0.11</v>
          </cell>
          <cell r="J630" t="str">
            <v>A</v>
          </cell>
        </row>
        <row r="631">
          <cell r="A631">
            <v>38489</v>
          </cell>
          <cell r="B631" t="str">
            <v>104</v>
          </cell>
          <cell r="C631" t="str">
            <v>KR</v>
          </cell>
          <cell r="D631" t="str">
            <v>4</v>
          </cell>
          <cell r="E631">
            <v>92.67</v>
          </cell>
          <cell r="F631">
            <v>12.54</v>
          </cell>
          <cell r="G631">
            <v>86.18</v>
          </cell>
          <cell r="H631">
            <v>98.54</v>
          </cell>
          <cell r="I631">
            <v>0.09</v>
          </cell>
          <cell r="J631" t="str">
            <v>A</v>
          </cell>
        </row>
        <row r="632">
          <cell r="A632">
            <v>38489</v>
          </cell>
          <cell r="B632" t="str">
            <v>105</v>
          </cell>
          <cell r="C632" t="str">
            <v>NE</v>
          </cell>
          <cell r="D632" t="str">
            <v>7</v>
          </cell>
          <cell r="E632">
            <v>92.72</v>
          </cell>
          <cell r="F632">
            <v>13</v>
          </cell>
          <cell r="G632">
            <v>86.23</v>
          </cell>
          <cell r="H632">
            <v>99.11</v>
          </cell>
          <cell r="I632">
            <v>0.11</v>
          </cell>
          <cell r="J632" t="str">
            <v>A</v>
          </cell>
        </row>
        <row r="633">
          <cell r="A633">
            <v>38489</v>
          </cell>
          <cell r="B633" t="str">
            <v>107</v>
          </cell>
          <cell r="C633" t="str">
            <v>PVD</v>
          </cell>
          <cell r="D633" t="str">
            <v>26</v>
          </cell>
          <cell r="E633">
            <v>92.69</v>
          </cell>
          <cell r="F633">
            <v>12.62</v>
          </cell>
          <cell r="G633">
            <v>86.2</v>
          </cell>
          <cell r="H633">
            <v>98.65</v>
          </cell>
          <cell r="I633">
            <v>0.14000000000000001</v>
          </cell>
          <cell r="J633" t="str">
            <v>A</v>
          </cell>
        </row>
        <row r="634">
          <cell r="A634">
            <v>38489</v>
          </cell>
          <cell r="B634" t="str">
            <v>109</v>
          </cell>
          <cell r="C634" t="str">
            <v>PVD</v>
          </cell>
          <cell r="D634" t="str">
            <v>27</v>
          </cell>
          <cell r="E634">
            <v>92.68</v>
          </cell>
          <cell r="F634">
            <v>12.59</v>
          </cell>
          <cell r="G634">
            <v>86.19</v>
          </cell>
          <cell r="H634">
            <v>98.61</v>
          </cell>
          <cell r="I634">
            <v>0.13</v>
          </cell>
          <cell r="J634" t="str">
            <v>A</v>
          </cell>
        </row>
        <row r="635">
          <cell r="A635">
            <v>38490</v>
          </cell>
          <cell r="B635" t="str">
            <v>106</v>
          </cell>
          <cell r="C635" t="str">
            <v>SMI</v>
          </cell>
          <cell r="D635" t="str">
            <v>40</v>
          </cell>
          <cell r="E635">
            <v>92.68</v>
          </cell>
          <cell r="F635">
            <v>11.5</v>
          </cell>
          <cell r="G635">
            <v>86.19</v>
          </cell>
          <cell r="H635">
            <v>97.39</v>
          </cell>
          <cell r="I635">
            <v>0.14000000000000001</v>
          </cell>
          <cell r="J635" t="str">
            <v>A</v>
          </cell>
        </row>
        <row r="636">
          <cell r="A636">
            <v>38496</v>
          </cell>
          <cell r="B636" t="str">
            <v>108</v>
          </cell>
          <cell r="C636" t="str">
            <v>NE</v>
          </cell>
          <cell r="D636" t="str">
            <v>8</v>
          </cell>
          <cell r="E636">
            <v>93.62</v>
          </cell>
          <cell r="F636">
            <v>11.69</v>
          </cell>
          <cell r="G636">
            <v>87.07</v>
          </cell>
          <cell r="H636">
            <v>98.59</v>
          </cell>
          <cell r="I636">
            <v>0.1</v>
          </cell>
          <cell r="J636" t="str">
            <v>A</v>
          </cell>
        </row>
        <row r="637">
          <cell r="A637">
            <v>38496</v>
          </cell>
          <cell r="B637" t="str">
            <v>110</v>
          </cell>
          <cell r="C637" t="str">
            <v>KR</v>
          </cell>
          <cell r="D637" t="str">
            <v>5</v>
          </cell>
          <cell r="E637">
            <v>92.8</v>
          </cell>
          <cell r="F637">
            <v>12</v>
          </cell>
          <cell r="G637">
            <v>86.3</v>
          </cell>
          <cell r="H637">
            <v>98.07</v>
          </cell>
          <cell r="I637">
            <v>0.14000000000000001</v>
          </cell>
          <cell r="J637" t="str">
            <v>A</v>
          </cell>
        </row>
        <row r="638">
          <cell r="A638">
            <v>38496</v>
          </cell>
          <cell r="B638" t="str">
            <v>113</v>
          </cell>
          <cell r="C638" t="str">
            <v>SMI</v>
          </cell>
          <cell r="D638" t="str">
            <v>41</v>
          </cell>
          <cell r="E638">
            <v>92.78</v>
          </cell>
          <cell r="F638">
            <v>11.7</v>
          </cell>
          <cell r="G638">
            <v>86.29</v>
          </cell>
          <cell r="H638">
            <v>97.72</v>
          </cell>
          <cell r="I638">
            <v>0.1</v>
          </cell>
          <cell r="J638" t="str">
            <v>A</v>
          </cell>
        </row>
        <row r="639">
          <cell r="A639">
            <v>38497</v>
          </cell>
          <cell r="B639" t="str">
            <v>111</v>
          </cell>
          <cell r="C639" t="str">
            <v>PVD</v>
          </cell>
          <cell r="D639" t="str">
            <v>28</v>
          </cell>
          <cell r="E639">
            <v>93.63</v>
          </cell>
          <cell r="F639">
            <v>9.9700000000000006</v>
          </cell>
          <cell r="G639">
            <v>87.08</v>
          </cell>
          <cell r="H639">
            <v>96.72</v>
          </cell>
          <cell r="I639">
            <v>0.17</v>
          </cell>
          <cell r="J639" t="str">
            <v>A</v>
          </cell>
        </row>
        <row r="640">
          <cell r="A640">
            <v>38497</v>
          </cell>
          <cell r="B640" t="str">
            <v>114</v>
          </cell>
          <cell r="C640" t="str">
            <v>NE</v>
          </cell>
          <cell r="D640" t="str">
            <v>9</v>
          </cell>
          <cell r="E640">
            <v>93.65</v>
          </cell>
          <cell r="F640">
            <v>10.59</v>
          </cell>
          <cell r="G640">
            <v>87.09</v>
          </cell>
          <cell r="H640">
            <v>97.41</v>
          </cell>
          <cell r="I640">
            <v>7.0000000000000007E-2</v>
          </cell>
          <cell r="J640" t="str">
            <v>A</v>
          </cell>
        </row>
        <row r="641">
          <cell r="A641">
            <v>38497</v>
          </cell>
          <cell r="B641" t="str">
            <v>115</v>
          </cell>
          <cell r="C641" t="str">
            <v>KR</v>
          </cell>
          <cell r="D641" t="str">
            <v>6</v>
          </cell>
          <cell r="E641">
            <v>93.67</v>
          </cell>
          <cell r="F641">
            <v>10.69</v>
          </cell>
          <cell r="G641">
            <v>87.11</v>
          </cell>
          <cell r="H641">
            <v>97.54</v>
          </cell>
          <cell r="I641">
            <v>0.14000000000000001</v>
          </cell>
          <cell r="J641" t="str">
            <v>A</v>
          </cell>
        </row>
        <row r="642">
          <cell r="A642">
            <v>38497</v>
          </cell>
          <cell r="B642" t="str">
            <v>116</v>
          </cell>
          <cell r="C642" t="str">
            <v>PVD</v>
          </cell>
          <cell r="D642" t="str">
            <v>29</v>
          </cell>
          <cell r="E642">
            <v>92.79</v>
          </cell>
          <cell r="F642">
            <v>9.8800000000000008</v>
          </cell>
          <cell r="G642">
            <v>86.29</v>
          </cell>
          <cell r="H642">
            <v>95.76</v>
          </cell>
          <cell r="I642">
            <v>0.13</v>
          </cell>
          <cell r="J642" t="str">
            <v>A</v>
          </cell>
        </row>
        <row r="643">
          <cell r="A643">
            <v>38497</v>
          </cell>
          <cell r="B643" t="str">
            <v>117</v>
          </cell>
          <cell r="C643" t="str">
            <v>PVD</v>
          </cell>
          <cell r="D643" t="str">
            <v>30</v>
          </cell>
          <cell r="E643">
            <v>92.79</v>
          </cell>
          <cell r="F643">
            <v>10.01</v>
          </cell>
          <cell r="G643">
            <v>86.29</v>
          </cell>
          <cell r="H643">
            <v>95.89</v>
          </cell>
          <cell r="I643">
            <v>0.16</v>
          </cell>
          <cell r="J643" t="str">
            <v>A</v>
          </cell>
        </row>
        <row r="644">
          <cell r="A644">
            <v>38498</v>
          </cell>
          <cell r="B644" t="str">
            <v>112</v>
          </cell>
          <cell r="C644" t="str">
            <v>AS</v>
          </cell>
          <cell r="D644" t="str">
            <v>12</v>
          </cell>
          <cell r="E644">
            <v>92.67</v>
          </cell>
          <cell r="F644">
            <v>10.31</v>
          </cell>
          <cell r="G644">
            <v>86.18</v>
          </cell>
          <cell r="H644">
            <v>96.09</v>
          </cell>
          <cell r="I644">
            <v>0.12</v>
          </cell>
          <cell r="J644" t="str">
            <v>A</v>
          </cell>
        </row>
        <row r="645">
          <cell r="A645">
            <v>38498</v>
          </cell>
          <cell r="B645" t="str">
            <v>120</v>
          </cell>
          <cell r="C645" t="str">
            <v>PVD</v>
          </cell>
          <cell r="D645" t="str">
            <v>31</v>
          </cell>
          <cell r="E645">
            <v>93.58</v>
          </cell>
          <cell r="F645">
            <v>9.09</v>
          </cell>
          <cell r="G645">
            <v>87.03</v>
          </cell>
          <cell r="H645">
            <v>95.73</v>
          </cell>
          <cell r="I645">
            <v>0.19</v>
          </cell>
          <cell r="J645" t="str">
            <v>A</v>
          </cell>
        </row>
        <row r="646">
          <cell r="A646">
            <v>38502</v>
          </cell>
          <cell r="B646" t="str">
            <v>118</v>
          </cell>
          <cell r="C646" t="str">
            <v>NE</v>
          </cell>
          <cell r="D646" t="str">
            <v>5</v>
          </cell>
          <cell r="E646">
            <v>92.74</v>
          </cell>
          <cell r="F646">
            <v>12.71</v>
          </cell>
          <cell r="G646">
            <v>86.25</v>
          </cell>
          <cell r="H646">
            <v>98.81</v>
          </cell>
          <cell r="I646">
            <v>0.1</v>
          </cell>
          <cell r="J646" t="str">
            <v>A</v>
          </cell>
        </row>
        <row r="647">
          <cell r="A647">
            <v>38502</v>
          </cell>
          <cell r="B647" t="str">
            <v>119</v>
          </cell>
          <cell r="C647" t="str">
            <v>KR</v>
          </cell>
          <cell r="D647" t="str">
            <v>7</v>
          </cell>
          <cell r="E647">
            <v>93.53</v>
          </cell>
          <cell r="F647">
            <v>10.34</v>
          </cell>
          <cell r="G647">
            <v>86.98</v>
          </cell>
          <cell r="H647">
            <v>97.01</v>
          </cell>
          <cell r="I647">
            <v>0.16</v>
          </cell>
          <cell r="J647" t="str">
            <v>A</v>
          </cell>
        </row>
        <row r="648">
          <cell r="A648">
            <v>38502</v>
          </cell>
          <cell r="B648" t="str">
            <v>121</v>
          </cell>
          <cell r="C648" t="str">
            <v>PVD</v>
          </cell>
          <cell r="D648" t="str">
            <v>32</v>
          </cell>
          <cell r="E648">
            <v>93.52</v>
          </cell>
          <cell r="F648">
            <v>9.2799999999999994</v>
          </cell>
          <cell r="G648">
            <v>86.97</v>
          </cell>
          <cell r="H648">
            <v>95.87</v>
          </cell>
          <cell r="I648">
            <v>0.19</v>
          </cell>
          <cell r="J648" t="str">
            <v>A</v>
          </cell>
        </row>
        <row r="649">
          <cell r="A649">
            <v>38503</v>
          </cell>
          <cell r="B649" t="str">
            <v>122</v>
          </cell>
          <cell r="C649" t="str">
            <v>AS</v>
          </cell>
          <cell r="D649" t="str">
            <v>13</v>
          </cell>
          <cell r="E649">
            <v>93.66</v>
          </cell>
          <cell r="F649">
            <v>11.01</v>
          </cell>
          <cell r="G649">
            <v>87.1</v>
          </cell>
          <cell r="H649">
            <v>97.88</v>
          </cell>
          <cell r="I649">
            <v>0.1</v>
          </cell>
          <cell r="J649" t="str">
            <v>A</v>
          </cell>
        </row>
        <row r="650">
          <cell r="A650">
            <v>38503</v>
          </cell>
          <cell r="B650" t="str">
            <v>123</v>
          </cell>
          <cell r="C650" t="str">
            <v>PVD</v>
          </cell>
          <cell r="D650" t="str">
            <v>33</v>
          </cell>
          <cell r="E650">
            <v>93.68</v>
          </cell>
          <cell r="F650">
            <v>9.91</v>
          </cell>
          <cell r="G650">
            <v>87.12</v>
          </cell>
          <cell r="H650">
            <v>96.71</v>
          </cell>
          <cell r="I650">
            <v>0.18</v>
          </cell>
          <cell r="J650" t="str">
            <v>A</v>
          </cell>
        </row>
        <row r="651">
          <cell r="A651">
            <v>38503</v>
          </cell>
          <cell r="B651" t="str">
            <v>124</v>
          </cell>
          <cell r="C651" t="str">
            <v>KR</v>
          </cell>
          <cell r="D651" t="str">
            <v>8</v>
          </cell>
          <cell r="E651">
            <v>93.67</v>
          </cell>
          <cell r="F651">
            <v>11</v>
          </cell>
          <cell r="G651">
            <v>87.11</v>
          </cell>
          <cell r="H651">
            <v>97.88</v>
          </cell>
          <cell r="I651">
            <v>0.13</v>
          </cell>
          <cell r="J651" t="str">
            <v>A</v>
          </cell>
        </row>
        <row r="652">
          <cell r="A652">
            <v>38503</v>
          </cell>
          <cell r="B652" t="str">
            <v>125</v>
          </cell>
          <cell r="C652" t="str">
            <v>NE</v>
          </cell>
          <cell r="D652" t="str">
            <v>11</v>
          </cell>
          <cell r="E652">
            <v>92.72</v>
          </cell>
          <cell r="F652">
            <v>13.3</v>
          </cell>
          <cell r="G652">
            <v>86.23</v>
          </cell>
          <cell r="H652">
            <v>99.46</v>
          </cell>
          <cell r="I652">
            <v>0.1</v>
          </cell>
          <cell r="J652" t="str">
            <v>R</v>
          </cell>
          <cell r="K652" t="str">
            <v>NCR  RM - 05 /009</v>
          </cell>
        </row>
        <row r="653">
          <cell r="A653">
            <v>38503</v>
          </cell>
          <cell r="B653" t="str">
            <v>126</v>
          </cell>
          <cell r="C653" t="str">
            <v>PVD</v>
          </cell>
          <cell r="D653" t="str">
            <v>34</v>
          </cell>
          <cell r="E653">
            <v>93.61</v>
          </cell>
          <cell r="F653">
            <v>9.8000000000000007</v>
          </cell>
          <cell r="G653">
            <v>87.06</v>
          </cell>
          <cell r="H653">
            <v>96.52</v>
          </cell>
          <cell r="I653">
            <v>0.17</v>
          </cell>
          <cell r="J653" t="str">
            <v>A</v>
          </cell>
        </row>
        <row r="654">
          <cell r="A654">
            <v>38506</v>
          </cell>
          <cell r="B654" t="str">
            <v>127</v>
          </cell>
          <cell r="C654" t="str">
            <v>PVD</v>
          </cell>
          <cell r="D654" t="str">
            <v>35</v>
          </cell>
          <cell r="E654">
            <v>92.72</v>
          </cell>
          <cell r="F654">
            <v>11.96</v>
          </cell>
          <cell r="G654">
            <v>86.23</v>
          </cell>
          <cell r="H654">
            <v>97.94</v>
          </cell>
          <cell r="I654">
            <v>0.13</v>
          </cell>
          <cell r="J654" t="str">
            <v>A</v>
          </cell>
        </row>
        <row r="655">
          <cell r="A655">
            <v>38509</v>
          </cell>
          <cell r="B655" t="str">
            <v>128</v>
          </cell>
          <cell r="C655" t="str">
            <v>NE</v>
          </cell>
          <cell r="D655" t="str">
            <v>12</v>
          </cell>
          <cell r="E655">
            <v>94.47</v>
          </cell>
          <cell r="F655">
            <v>9.5</v>
          </cell>
          <cell r="G655">
            <v>87.86</v>
          </cell>
          <cell r="H655">
            <v>97.08</v>
          </cell>
          <cell r="I655">
            <v>0.15</v>
          </cell>
          <cell r="J655" t="str">
            <v>A</v>
          </cell>
        </row>
        <row r="656">
          <cell r="A656">
            <v>38509</v>
          </cell>
          <cell r="B656" t="str">
            <v>131</v>
          </cell>
          <cell r="C656" t="str">
            <v>PVD</v>
          </cell>
          <cell r="D656" t="str">
            <v>36</v>
          </cell>
          <cell r="E656">
            <v>93.63</v>
          </cell>
          <cell r="F656">
            <v>9.8000000000000007</v>
          </cell>
          <cell r="G656">
            <v>87.08</v>
          </cell>
          <cell r="H656">
            <v>96.54</v>
          </cell>
          <cell r="I656">
            <v>0.11</v>
          </cell>
          <cell r="J656" t="str">
            <v>A</v>
          </cell>
        </row>
        <row r="657">
          <cell r="A657">
            <v>38510</v>
          </cell>
          <cell r="B657" t="str">
            <v>130</v>
          </cell>
          <cell r="C657" t="str">
            <v>KR</v>
          </cell>
          <cell r="D657" t="str">
            <v>9</v>
          </cell>
          <cell r="E657">
            <v>93.68</v>
          </cell>
          <cell r="F657">
            <v>9.0500000000000007</v>
          </cell>
          <cell r="G657">
            <v>87.12</v>
          </cell>
          <cell r="H657">
            <v>95.79</v>
          </cell>
          <cell r="I657">
            <v>0.11</v>
          </cell>
          <cell r="J657" t="str">
            <v>A</v>
          </cell>
        </row>
        <row r="658">
          <cell r="A658">
            <v>38510</v>
          </cell>
          <cell r="B658" t="str">
            <v>132</v>
          </cell>
          <cell r="C658" t="str">
            <v>PVD</v>
          </cell>
          <cell r="D658" t="str">
            <v>37</v>
          </cell>
          <cell r="E658">
            <v>92.78</v>
          </cell>
          <cell r="F658">
            <v>9.0299999999999994</v>
          </cell>
          <cell r="G658">
            <v>86.29</v>
          </cell>
          <cell r="H658">
            <v>94.85</v>
          </cell>
          <cell r="I658">
            <v>0.11</v>
          </cell>
          <cell r="J658" t="str">
            <v>A</v>
          </cell>
        </row>
        <row r="659">
          <cell r="A659">
            <v>38512</v>
          </cell>
          <cell r="B659" t="str">
            <v>134</v>
          </cell>
          <cell r="C659" t="str">
            <v>PVD</v>
          </cell>
          <cell r="D659" t="str">
            <v>38</v>
          </cell>
          <cell r="E659">
            <v>92.75</v>
          </cell>
          <cell r="F659">
            <v>10.88</v>
          </cell>
          <cell r="G659">
            <v>86.26</v>
          </cell>
          <cell r="H659">
            <v>96.79</v>
          </cell>
          <cell r="I659">
            <v>0.19</v>
          </cell>
          <cell r="J659" t="str">
            <v>A</v>
          </cell>
        </row>
        <row r="660">
          <cell r="A660">
            <v>38513</v>
          </cell>
          <cell r="B660" t="str">
            <v>129</v>
          </cell>
          <cell r="C660" t="str">
            <v>AS</v>
          </cell>
          <cell r="D660" t="str">
            <v>14</v>
          </cell>
          <cell r="E660">
            <v>93.16</v>
          </cell>
          <cell r="F660">
            <v>11.94</v>
          </cell>
          <cell r="G660">
            <v>86.64</v>
          </cell>
          <cell r="H660">
            <v>98.39</v>
          </cell>
          <cell r="I660">
            <v>0.16</v>
          </cell>
          <cell r="J660" t="str">
            <v>A</v>
          </cell>
        </row>
        <row r="661">
          <cell r="A661">
            <v>38516</v>
          </cell>
          <cell r="B661" t="str">
            <v>133</v>
          </cell>
          <cell r="C661" t="str">
            <v>NE</v>
          </cell>
          <cell r="D661" t="str">
            <v>13</v>
          </cell>
          <cell r="E661">
            <v>93.62</v>
          </cell>
          <cell r="F661">
            <v>12.05</v>
          </cell>
          <cell r="G661">
            <v>87.07</v>
          </cell>
          <cell r="H661">
            <v>99</v>
          </cell>
          <cell r="I661">
            <v>0.12</v>
          </cell>
          <cell r="J661" t="str">
            <v>A</v>
          </cell>
        </row>
        <row r="662">
          <cell r="A662">
            <v>38516</v>
          </cell>
          <cell r="B662" t="str">
            <v>135</v>
          </cell>
          <cell r="C662" t="str">
            <v>KR</v>
          </cell>
          <cell r="D662" t="str">
            <v>10</v>
          </cell>
          <cell r="E662">
            <v>93.7</v>
          </cell>
          <cell r="F662">
            <v>11.91</v>
          </cell>
          <cell r="G662">
            <v>87.14</v>
          </cell>
          <cell r="H662">
            <v>98.92</v>
          </cell>
          <cell r="I662">
            <v>0.12</v>
          </cell>
          <cell r="J662" t="str">
            <v>A</v>
          </cell>
        </row>
        <row r="663">
          <cell r="A663">
            <v>38516</v>
          </cell>
          <cell r="B663" t="str">
            <v>136</v>
          </cell>
          <cell r="C663" t="str">
            <v>PVD</v>
          </cell>
          <cell r="D663" t="str">
            <v>39</v>
          </cell>
          <cell r="E663">
            <v>93.59</v>
          </cell>
          <cell r="F663">
            <v>11.78</v>
          </cell>
          <cell r="G663">
            <v>87.04</v>
          </cell>
          <cell r="H663">
            <v>98.66</v>
          </cell>
          <cell r="I663">
            <v>0.13</v>
          </cell>
          <cell r="J663" t="str">
            <v>A</v>
          </cell>
        </row>
        <row r="664">
          <cell r="A664">
            <v>38516</v>
          </cell>
          <cell r="B664" t="str">
            <v>137</v>
          </cell>
          <cell r="C664" t="str">
            <v>PVD</v>
          </cell>
          <cell r="D664" t="str">
            <v>40</v>
          </cell>
          <cell r="E664">
            <v>93.58</v>
          </cell>
          <cell r="F664">
            <v>10.83</v>
          </cell>
          <cell r="G664">
            <v>87.03</v>
          </cell>
          <cell r="H664">
            <v>97.6</v>
          </cell>
          <cell r="I664">
            <v>0.16</v>
          </cell>
          <cell r="J664" t="str">
            <v>A</v>
          </cell>
        </row>
        <row r="665">
          <cell r="A665">
            <v>38518</v>
          </cell>
          <cell r="B665" t="str">
            <v>138</v>
          </cell>
          <cell r="C665" t="str">
            <v>AS</v>
          </cell>
          <cell r="D665" t="str">
            <v>15</v>
          </cell>
          <cell r="E665">
            <v>93.64</v>
          </cell>
          <cell r="F665">
            <v>11.75</v>
          </cell>
          <cell r="G665">
            <v>87.09</v>
          </cell>
          <cell r="H665">
            <v>98.68</v>
          </cell>
          <cell r="I665">
            <v>0.17</v>
          </cell>
          <cell r="J665" t="str">
            <v>A</v>
          </cell>
        </row>
        <row r="666">
          <cell r="A666">
            <v>38518</v>
          </cell>
          <cell r="B666" t="str">
            <v>139</v>
          </cell>
          <cell r="C666" t="str">
            <v>RSM</v>
          </cell>
          <cell r="D666" t="str">
            <v>1</v>
          </cell>
          <cell r="E666">
            <v>93.6</v>
          </cell>
          <cell r="F666">
            <v>11.49</v>
          </cell>
          <cell r="G666">
            <v>87.05</v>
          </cell>
          <cell r="H666">
            <v>98.35</v>
          </cell>
          <cell r="I666">
            <v>0.12</v>
          </cell>
          <cell r="J666" t="str">
            <v>A</v>
          </cell>
        </row>
        <row r="667">
          <cell r="A667">
            <v>38518</v>
          </cell>
          <cell r="B667" t="str">
            <v>140</v>
          </cell>
          <cell r="C667" t="str">
            <v>PVD</v>
          </cell>
          <cell r="D667" t="str">
            <v>41</v>
          </cell>
          <cell r="E667">
            <v>93.69</v>
          </cell>
          <cell r="F667">
            <v>11.23</v>
          </cell>
          <cell r="G667">
            <v>87.13</v>
          </cell>
          <cell r="H667">
            <v>98.15</v>
          </cell>
          <cell r="I667">
            <v>0.13</v>
          </cell>
          <cell r="J667" t="str">
            <v>A</v>
          </cell>
        </row>
        <row r="668">
          <cell r="A668">
            <v>38520</v>
          </cell>
          <cell r="B668" t="str">
            <v>141</v>
          </cell>
          <cell r="C668" t="str">
            <v>UD</v>
          </cell>
          <cell r="D668" t="str">
            <v>5</v>
          </cell>
          <cell r="E668">
            <v>93.53</v>
          </cell>
          <cell r="F668">
            <v>11.56</v>
          </cell>
          <cell r="G668">
            <v>86.98</v>
          </cell>
          <cell r="H668">
            <v>98.35</v>
          </cell>
          <cell r="I668">
            <v>0.18</v>
          </cell>
          <cell r="J668" t="str">
            <v>A</v>
          </cell>
        </row>
        <row r="669">
          <cell r="A669">
            <v>38520</v>
          </cell>
          <cell r="B669" t="str">
            <v>142</v>
          </cell>
          <cell r="C669" t="str">
            <v>RSM</v>
          </cell>
          <cell r="D669" t="str">
            <v>2</v>
          </cell>
          <cell r="E669">
            <v>93.68</v>
          </cell>
          <cell r="F669">
            <v>11.79</v>
          </cell>
          <cell r="G669">
            <v>87.12</v>
          </cell>
          <cell r="H669">
            <v>98.77</v>
          </cell>
          <cell r="I669">
            <v>0.11</v>
          </cell>
          <cell r="J669" t="str">
            <v>A</v>
          </cell>
        </row>
        <row r="670">
          <cell r="A670">
            <v>38520</v>
          </cell>
          <cell r="B670" t="str">
            <v>143</v>
          </cell>
          <cell r="C670" t="str">
            <v>PVD</v>
          </cell>
          <cell r="D670" t="str">
            <v>42</v>
          </cell>
          <cell r="E670">
            <v>94.32</v>
          </cell>
          <cell r="F670">
            <v>11.2</v>
          </cell>
          <cell r="G670">
            <v>87.72</v>
          </cell>
          <cell r="H670">
            <v>98.78</v>
          </cell>
          <cell r="I670">
            <v>0.14000000000000001</v>
          </cell>
          <cell r="J670" t="str">
            <v>A</v>
          </cell>
        </row>
        <row r="671">
          <cell r="A671">
            <v>38520</v>
          </cell>
          <cell r="B671" t="str">
            <v>144</v>
          </cell>
          <cell r="C671" t="str">
            <v>PVD</v>
          </cell>
          <cell r="D671" t="str">
            <v>43</v>
          </cell>
          <cell r="E671">
            <v>93.63</v>
          </cell>
          <cell r="F671">
            <v>9.08</v>
          </cell>
          <cell r="G671">
            <v>87.08</v>
          </cell>
          <cell r="H671">
            <v>95.77</v>
          </cell>
          <cell r="I671">
            <v>0.15</v>
          </cell>
          <cell r="J671" t="str">
            <v>A</v>
          </cell>
        </row>
        <row r="672">
          <cell r="A672">
            <v>38524</v>
          </cell>
          <cell r="B672" t="str">
            <v>145</v>
          </cell>
          <cell r="C672" t="str">
            <v>PVD</v>
          </cell>
          <cell r="D672" t="str">
            <v>44</v>
          </cell>
          <cell r="E672">
            <v>93.66</v>
          </cell>
          <cell r="F672">
            <v>11.95</v>
          </cell>
          <cell r="G672">
            <v>87.1</v>
          </cell>
          <cell r="H672">
            <v>98.93</v>
          </cell>
          <cell r="I672">
            <v>0.14000000000000001</v>
          </cell>
          <cell r="J672" t="str">
            <v>A</v>
          </cell>
        </row>
        <row r="673">
          <cell r="A673">
            <v>38526</v>
          </cell>
          <cell r="B673" t="str">
            <v>146</v>
          </cell>
          <cell r="C673" t="str">
            <v>RSM</v>
          </cell>
          <cell r="D673" t="str">
            <v>3</v>
          </cell>
          <cell r="E673">
            <v>93.96</v>
          </cell>
          <cell r="F673">
            <v>11.74</v>
          </cell>
          <cell r="G673">
            <v>87.38</v>
          </cell>
          <cell r="H673">
            <v>99.01</v>
          </cell>
          <cell r="I673">
            <v>0.14000000000000001</v>
          </cell>
          <cell r="J673" t="str">
            <v>A</v>
          </cell>
        </row>
        <row r="674">
          <cell r="A674">
            <v>38526</v>
          </cell>
          <cell r="B674" t="str">
            <v>147</v>
          </cell>
          <cell r="C674" t="str">
            <v>UD</v>
          </cell>
          <cell r="D674" t="str">
            <v>6</v>
          </cell>
          <cell r="E674">
            <v>93.09</v>
          </cell>
          <cell r="F674">
            <v>10.52</v>
          </cell>
          <cell r="G674">
            <v>86.57</v>
          </cell>
          <cell r="H674">
            <v>96.75</v>
          </cell>
          <cell r="I674">
            <v>0.18</v>
          </cell>
          <cell r="J674" t="str">
            <v>A</v>
          </cell>
        </row>
        <row r="675">
          <cell r="A675">
            <v>38526</v>
          </cell>
          <cell r="B675" t="str">
            <v>148</v>
          </cell>
          <cell r="C675" t="str">
            <v>PVD</v>
          </cell>
          <cell r="D675" t="str">
            <v>45</v>
          </cell>
          <cell r="E675">
            <v>93.86</v>
          </cell>
          <cell r="F675">
            <v>11.79</v>
          </cell>
          <cell r="G675">
            <v>87.29</v>
          </cell>
          <cell r="H675">
            <v>98.96</v>
          </cell>
          <cell r="I675">
            <v>0.13</v>
          </cell>
          <cell r="J675" t="str">
            <v>A</v>
          </cell>
        </row>
        <row r="676">
          <cell r="A676">
            <v>38528</v>
          </cell>
          <cell r="B676" t="str">
            <v>149</v>
          </cell>
          <cell r="C676" t="str">
            <v>PVD</v>
          </cell>
          <cell r="D676" t="str">
            <v>46</v>
          </cell>
          <cell r="E676">
            <v>92.98</v>
          </cell>
          <cell r="F676">
            <v>11.64</v>
          </cell>
          <cell r="G676">
            <v>86.47</v>
          </cell>
          <cell r="H676">
            <v>97.86</v>
          </cell>
          <cell r="I676">
            <v>0.13</v>
          </cell>
          <cell r="J676" t="str">
            <v>A</v>
          </cell>
        </row>
        <row r="677">
          <cell r="A677">
            <v>38530</v>
          </cell>
          <cell r="B677" t="str">
            <v>152</v>
          </cell>
          <cell r="C677" t="str">
            <v>PVD</v>
          </cell>
          <cell r="D677" t="str">
            <v>47</v>
          </cell>
          <cell r="E677">
            <v>92.98</v>
          </cell>
          <cell r="F677">
            <v>11.63</v>
          </cell>
          <cell r="G677">
            <v>86.47</v>
          </cell>
          <cell r="H677">
            <v>97.85</v>
          </cell>
          <cell r="I677">
            <v>0.12</v>
          </cell>
          <cell r="J677" t="str">
            <v>A</v>
          </cell>
        </row>
        <row r="678">
          <cell r="A678">
            <v>38531</v>
          </cell>
          <cell r="B678" t="str">
            <v>150</v>
          </cell>
          <cell r="C678" t="str">
            <v>RSM</v>
          </cell>
          <cell r="D678" t="str">
            <v>4</v>
          </cell>
          <cell r="E678">
            <v>92.98</v>
          </cell>
          <cell r="F678">
            <v>11.58</v>
          </cell>
          <cell r="G678">
            <v>86.47</v>
          </cell>
          <cell r="H678">
            <v>97.8</v>
          </cell>
          <cell r="I678">
            <v>0.13</v>
          </cell>
          <cell r="J678" t="str">
            <v>A</v>
          </cell>
        </row>
        <row r="679">
          <cell r="A679">
            <v>38532</v>
          </cell>
          <cell r="B679" t="str">
            <v>151</v>
          </cell>
          <cell r="C679" t="str">
            <v>UD</v>
          </cell>
          <cell r="D679" t="str">
            <v>7</v>
          </cell>
          <cell r="E679">
            <v>92.98</v>
          </cell>
          <cell r="F679">
            <v>11.5</v>
          </cell>
          <cell r="G679">
            <v>86.47</v>
          </cell>
          <cell r="H679">
            <v>97.71</v>
          </cell>
          <cell r="I679">
            <v>0.19</v>
          </cell>
          <cell r="J679" t="str">
            <v>A</v>
          </cell>
        </row>
        <row r="680">
          <cell r="A680">
            <v>38532</v>
          </cell>
          <cell r="B680" t="str">
            <v>153</v>
          </cell>
          <cell r="C680" t="str">
            <v>PVD</v>
          </cell>
          <cell r="D680" t="str">
            <v>48</v>
          </cell>
          <cell r="E680">
            <v>93.16</v>
          </cell>
          <cell r="F680">
            <v>11.68</v>
          </cell>
          <cell r="G680">
            <v>86.64</v>
          </cell>
          <cell r="H680">
            <v>98.1</v>
          </cell>
          <cell r="I680">
            <v>0.13</v>
          </cell>
          <cell r="J680" t="str">
            <v>A</v>
          </cell>
        </row>
        <row r="681">
          <cell r="A681">
            <v>38533</v>
          </cell>
          <cell r="B681" t="str">
            <v>154</v>
          </cell>
          <cell r="C681" t="str">
            <v>UD</v>
          </cell>
          <cell r="D681" t="str">
            <v>8</v>
          </cell>
          <cell r="E681">
            <v>93.16</v>
          </cell>
          <cell r="F681">
            <v>11.49</v>
          </cell>
          <cell r="G681">
            <v>86.64</v>
          </cell>
          <cell r="H681">
            <v>97.89</v>
          </cell>
          <cell r="I681">
            <v>0.12</v>
          </cell>
          <cell r="J681" t="str">
            <v>A</v>
          </cell>
        </row>
        <row r="682">
          <cell r="A682">
            <v>38533</v>
          </cell>
          <cell r="B682" t="str">
            <v>155</v>
          </cell>
          <cell r="C682" t="str">
            <v>RSM</v>
          </cell>
          <cell r="D682" t="str">
            <v>5</v>
          </cell>
          <cell r="E682">
            <v>93.13</v>
          </cell>
          <cell r="F682">
            <v>11.67</v>
          </cell>
          <cell r="G682">
            <v>86.61</v>
          </cell>
          <cell r="H682">
            <v>98.05</v>
          </cell>
          <cell r="I682">
            <v>0.14000000000000001</v>
          </cell>
          <cell r="J682" t="str">
            <v>A</v>
          </cell>
        </row>
        <row r="683">
          <cell r="A683">
            <v>38533</v>
          </cell>
          <cell r="B683" t="str">
            <v>156</v>
          </cell>
          <cell r="C683" t="str">
            <v>PVD</v>
          </cell>
          <cell r="D683" t="str">
            <v>49</v>
          </cell>
          <cell r="E683">
            <v>93.02</v>
          </cell>
          <cell r="F683">
            <v>11.44</v>
          </cell>
          <cell r="G683">
            <v>86.51</v>
          </cell>
          <cell r="H683">
            <v>97.68</v>
          </cell>
          <cell r="I683">
            <v>0.13</v>
          </cell>
          <cell r="J683" t="str">
            <v>A</v>
          </cell>
        </row>
        <row r="684">
          <cell r="A684">
            <v>38538</v>
          </cell>
          <cell r="B684" t="str">
            <v>157</v>
          </cell>
          <cell r="C684" t="str">
            <v>PVD</v>
          </cell>
          <cell r="D684" t="str">
            <v>50</v>
          </cell>
          <cell r="E684">
            <v>94.17</v>
          </cell>
          <cell r="F684">
            <v>11.69</v>
          </cell>
          <cell r="G684">
            <v>87.58</v>
          </cell>
          <cell r="H684">
            <v>99.17</v>
          </cell>
          <cell r="I684">
            <v>0.13</v>
          </cell>
          <cell r="J684" t="str">
            <v>A</v>
          </cell>
        </row>
        <row r="685">
          <cell r="A685">
            <v>38540</v>
          </cell>
          <cell r="B685" t="str">
            <v>158</v>
          </cell>
          <cell r="C685" t="str">
            <v>UD</v>
          </cell>
          <cell r="D685" t="str">
            <v>9</v>
          </cell>
          <cell r="E685">
            <v>94.01</v>
          </cell>
          <cell r="F685">
            <v>12.49</v>
          </cell>
          <cell r="G685">
            <v>87.43</v>
          </cell>
          <cell r="H685">
            <v>99.91</v>
          </cell>
          <cell r="I685">
            <v>0.13</v>
          </cell>
          <cell r="J685" t="str">
            <v>A</v>
          </cell>
        </row>
        <row r="686">
          <cell r="A686">
            <v>38540</v>
          </cell>
          <cell r="B686" t="str">
            <v>160</v>
          </cell>
          <cell r="C686" t="str">
            <v>PVD</v>
          </cell>
          <cell r="D686" t="str">
            <v>51</v>
          </cell>
          <cell r="E686">
            <v>94.18</v>
          </cell>
          <cell r="F686">
            <v>11.56</v>
          </cell>
          <cell r="G686">
            <v>87.59</v>
          </cell>
          <cell r="H686">
            <v>99.04</v>
          </cell>
          <cell r="I686">
            <v>0.15</v>
          </cell>
          <cell r="J686" t="str">
            <v>A</v>
          </cell>
        </row>
        <row r="687">
          <cell r="A687">
            <v>38541</v>
          </cell>
          <cell r="B687" t="str">
            <v>159</v>
          </cell>
          <cell r="C687" t="str">
            <v>RSM</v>
          </cell>
          <cell r="D687" t="str">
            <v>6</v>
          </cell>
          <cell r="E687">
            <v>94.06</v>
          </cell>
          <cell r="F687">
            <v>11.63</v>
          </cell>
          <cell r="G687">
            <v>87.48</v>
          </cell>
          <cell r="H687">
            <v>98.99</v>
          </cell>
          <cell r="I687">
            <v>0.13</v>
          </cell>
          <cell r="J687" t="str">
            <v>A</v>
          </cell>
        </row>
        <row r="688">
          <cell r="A688">
            <v>38544</v>
          </cell>
          <cell r="B688" t="str">
            <v>161</v>
          </cell>
          <cell r="C688" t="str">
            <v>PVD</v>
          </cell>
          <cell r="D688" t="str">
            <v>52</v>
          </cell>
          <cell r="E688">
            <v>94.09</v>
          </cell>
          <cell r="F688">
            <v>11.4</v>
          </cell>
          <cell r="G688">
            <v>87.5</v>
          </cell>
          <cell r="H688">
            <v>98.76</v>
          </cell>
          <cell r="I688">
            <v>0.14000000000000001</v>
          </cell>
          <cell r="J688" t="str">
            <v>A</v>
          </cell>
        </row>
        <row r="689">
          <cell r="A689">
            <v>38546</v>
          </cell>
          <cell r="B689" t="str">
            <v>162</v>
          </cell>
          <cell r="C689" t="str">
            <v>UD</v>
          </cell>
          <cell r="D689" t="str">
            <v>10</v>
          </cell>
          <cell r="E689">
            <v>94.2</v>
          </cell>
          <cell r="F689">
            <v>9.2100000000000009</v>
          </cell>
          <cell r="G689">
            <v>87.61</v>
          </cell>
          <cell r="H689">
            <v>96.49</v>
          </cell>
          <cell r="I689">
            <v>0.16</v>
          </cell>
          <cell r="J689" t="str">
            <v>A</v>
          </cell>
        </row>
        <row r="690">
          <cell r="A690">
            <v>38546</v>
          </cell>
          <cell r="B690" t="str">
            <v>163</v>
          </cell>
          <cell r="C690" t="str">
            <v>PVD</v>
          </cell>
          <cell r="D690" t="str">
            <v>53</v>
          </cell>
          <cell r="E690">
            <v>94.14</v>
          </cell>
          <cell r="F690">
            <v>9.69</v>
          </cell>
          <cell r="G690">
            <v>87.55</v>
          </cell>
          <cell r="H690">
            <v>96.94</v>
          </cell>
          <cell r="I690">
            <v>0.15</v>
          </cell>
          <cell r="J690" t="str">
            <v>A</v>
          </cell>
        </row>
        <row r="691">
          <cell r="A691">
            <v>38546</v>
          </cell>
          <cell r="B691" t="str">
            <v>165</v>
          </cell>
          <cell r="C691" t="str">
            <v>PVD</v>
          </cell>
          <cell r="D691" t="str">
            <v>54</v>
          </cell>
          <cell r="E691">
            <v>94.13</v>
          </cell>
          <cell r="F691">
            <v>9.7899999999999991</v>
          </cell>
          <cell r="G691">
            <v>87.54</v>
          </cell>
          <cell r="H691">
            <v>97.04</v>
          </cell>
          <cell r="I691">
            <v>0.15</v>
          </cell>
          <cell r="J691" t="str">
            <v>A</v>
          </cell>
        </row>
        <row r="692">
          <cell r="A692">
            <v>38548</v>
          </cell>
          <cell r="B692" t="str">
            <v>166</v>
          </cell>
          <cell r="C692" t="str">
            <v>PVD</v>
          </cell>
          <cell r="D692" t="str">
            <v>55</v>
          </cell>
          <cell r="E692">
            <v>93.91</v>
          </cell>
          <cell r="F692">
            <v>10.1</v>
          </cell>
          <cell r="G692">
            <v>87.34</v>
          </cell>
          <cell r="H692">
            <v>97.15</v>
          </cell>
          <cell r="I692">
            <v>0.14000000000000001</v>
          </cell>
          <cell r="J692" t="str">
            <v>A</v>
          </cell>
        </row>
        <row r="693">
          <cell r="A693">
            <v>38552</v>
          </cell>
          <cell r="B693" t="str">
            <v>164</v>
          </cell>
          <cell r="C693" t="str">
            <v>AS</v>
          </cell>
          <cell r="D693" t="str">
            <v>16</v>
          </cell>
          <cell r="E693">
            <v>93.04</v>
          </cell>
          <cell r="F693">
            <v>11.05</v>
          </cell>
          <cell r="G693">
            <v>86.53</v>
          </cell>
          <cell r="H693">
            <v>97.28</v>
          </cell>
          <cell r="I693">
            <v>0.15</v>
          </cell>
          <cell r="J693" t="str">
            <v>A</v>
          </cell>
        </row>
        <row r="694">
          <cell r="A694">
            <v>38552</v>
          </cell>
          <cell r="B694" t="str">
            <v>167</v>
          </cell>
          <cell r="C694" t="str">
            <v>UD</v>
          </cell>
          <cell r="D694" t="str">
            <v>11</v>
          </cell>
          <cell r="E694">
            <v>94.03</v>
          </cell>
          <cell r="F694">
            <v>9.6199999999999992</v>
          </cell>
          <cell r="G694">
            <v>87.45</v>
          </cell>
          <cell r="H694">
            <v>96.76</v>
          </cell>
          <cell r="I694">
            <v>0.19</v>
          </cell>
          <cell r="J694" t="str">
            <v>A</v>
          </cell>
        </row>
        <row r="695">
          <cell r="A695">
            <v>38552</v>
          </cell>
          <cell r="B695" t="str">
            <v>168</v>
          </cell>
          <cell r="C695" t="str">
            <v>PVD</v>
          </cell>
          <cell r="D695" t="str">
            <v>56</v>
          </cell>
          <cell r="E695">
            <v>93.95</v>
          </cell>
          <cell r="F695">
            <v>10.130000000000001</v>
          </cell>
          <cell r="G695">
            <v>87.37</v>
          </cell>
          <cell r="H695">
            <v>97.22</v>
          </cell>
          <cell r="I695">
            <v>0.13</v>
          </cell>
          <cell r="J695" t="str">
            <v>A</v>
          </cell>
        </row>
        <row r="696">
          <cell r="A696">
            <v>38552</v>
          </cell>
          <cell r="B696" t="str">
            <v>170</v>
          </cell>
          <cell r="C696" t="str">
            <v>PVD</v>
          </cell>
          <cell r="D696" t="str">
            <v>57</v>
          </cell>
          <cell r="E696">
            <v>93.07</v>
          </cell>
          <cell r="F696">
            <v>10.28</v>
          </cell>
          <cell r="G696">
            <v>86.56</v>
          </cell>
          <cell r="H696">
            <v>96.47</v>
          </cell>
          <cell r="I696">
            <v>0.14000000000000001</v>
          </cell>
          <cell r="J696" t="str">
            <v>A</v>
          </cell>
        </row>
        <row r="697">
          <cell r="A697">
            <v>38558</v>
          </cell>
          <cell r="B697" t="str">
            <v>171</v>
          </cell>
          <cell r="C697" t="str">
            <v>PVD</v>
          </cell>
          <cell r="D697" t="str">
            <v>58</v>
          </cell>
          <cell r="E697">
            <v>94.15</v>
          </cell>
          <cell r="F697">
            <v>12.29</v>
          </cell>
          <cell r="G697">
            <v>87.56</v>
          </cell>
          <cell r="H697">
            <v>99.83</v>
          </cell>
          <cell r="I697">
            <v>0.13</v>
          </cell>
          <cell r="J697" t="str">
            <v>A</v>
          </cell>
        </row>
        <row r="698">
          <cell r="A698">
            <v>38558</v>
          </cell>
          <cell r="B698" t="str">
            <v>173</v>
          </cell>
          <cell r="C698" t="str">
            <v>PVD</v>
          </cell>
          <cell r="D698" t="str">
            <v>59</v>
          </cell>
          <cell r="E698">
            <v>93.08</v>
          </cell>
          <cell r="F698">
            <v>11.4</v>
          </cell>
          <cell r="G698">
            <v>86.56</v>
          </cell>
          <cell r="H698">
            <v>97.7</v>
          </cell>
          <cell r="I698">
            <v>0.13</v>
          </cell>
          <cell r="J698" t="str">
            <v>A</v>
          </cell>
        </row>
        <row r="699">
          <cell r="A699">
            <v>38560</v>
          </cell>
          <cell r="B699" t="str">
            <v>169</v>
          </cell>
          <cell r="C699" t="str">
            <v>AS</v>
          </cell>
          <cell r="D699" t="str">
            <v>17</v>
          </cell>
          <cell r="E699">
            <v>94.04</v>
          </cell>
          <cell r="F699">
            <v>12.18</v>
          </cell>
          <cell r="G699">
            <v>87.46</v>
          </cell>
          <cell r="H699">
            <v>99.59</v>
          </cell>
          <cell r="I699">
            <v>0.1</v>
          </cell>
          <cell r="J699" t="str">
            <v>A</v>
          </cell>
        </row>
        <row r="700">
          <cell r="A700">
            <v>38560</v>
          </cell>
          <cell r="B700" t="str">
            <v>174</v>
          </cell>
          <cell r="C700" t="str">
            <v>SMI</v>
          </cell>
          <cell r="D700" t="str">
            <v>42</v>
          </cell>
          <cell r="E700">
            <v>94.12</v>
          </cell>
          <cell r="F700">
            <v>11.45</v>
          </cell>
          <cell r="G700">
            <v>87.53</v>
          </cell>
          <cell r="H700">
            <v>98.85</v>
          </cell>
          <cell r="I700">
            <v>0.12</v>
          </cell>
          <cell r="J700" t="str">
            <v>A</v>
          </cell>
        </row>
        <row r="701">
          <cell r="A701">
            <v>38560</v>
          </cell>
          <cell r="B701" t="str">
            <v>175</v>
          </cell>
          <cell r="C701" t="str">
            <v>PVD</v>
          </cell>
          <cell r="D701" t="str">
            <v>60</v>
          </cell>
          <cell r="E701">
            <v>94.05</v>
          </cell>
          <cell r="F701">
            <v>11.45</v>
          </cell>
          <cell r="G701">
            <v>87.47</v>
          </cell>
          <cell r="H701">
            <v>98.78</v>
          </cell>
          <cell r="I701">
            <v>0.12</v>
          </cell>
          <cell r="J701" t="str">
            <v>A</v>
          </cell>
        </row>
        <row r="702">
          <cell r="A702">
            <v>38560</v>
          </cell>
          <cell r="B702" t="str">
            <v>176</v>
          </cell>
          <cell r="C702" t="str">
            <v>PVD</v>
          </cell>
          <cell r="D702" t="str">
            <v>61</v>
          </cell>
          <cell r="E702">
            <v>93.73</v>
          </cell>
          <cell r="F702">
            <v>11.33</v>
          </cell>
          <cell r="G702">
            <v>87.17</v>
          </cell>
          <cell r="H702">
            <v>98.31</v>
          </cell>
          <cell r="I702">
            <v>0.11</v>
          </cell>
          <cell r="J702" t="str">
            <v>A</v>
          </cell>
        </row>
        <row r="703">
          <cell r="A703">
            <v>38560</v>
          </cell>
          <cell r="B703" t="str">
            <v>177</v>
          </cell>
          <cell r="C703" t="str">
            <v>SMI</v>
          </cell>
          <cell r="D703" t="str">
            <v>43</v>
          </cell>
          <cell r="E703">
            <v>93.77</v>
          </cell>
          <cell r="F703">
            <v>11.85</v>
          </cell>
          <cell r="G703">
            <v>87.21</v>
          </cell>
          <cell r="H703">
            <v>98.93</v>
          </cell>
          <cell r="I703">
            <v>0.12</v>
          </cell>
          <cell r="J703" t="str">
            <v>A</v>
          </cell>
        </row>
        <row r="704">
          <cell r="A704">
            <v>38562</v>
          </cell>
          <cell r="B704" t="str">
            <v>178</v>
          </cell>
          <cell r="C704" t="str">
            <v>SMI</v>
          </cell>
          <cell r="D704" t="str">
            <v>44</v>
          </cell>
          <cell r="E704">
            <v>94.07</v>
          </cell>
          <cell r="F704">
            <v>10.79</v>
          </cell>
          <cell r="G704">
            <v>87.49</v>
          </cell>
          <cell r="H704">
            <v>98.07</v>
          </cell>
          <cell r="I704">
            <v>0.12</v>
          </cell>
          <cell r="J704" t="str">
            <v>A</v>
          </cell>
        </row>
        <row r="705">
          <cell r="A705">
            <v>38565</v>
          </cell>
          <cell r="B705" t="str">
            <v>172</v>
          </cell>
          <cell r="C705" t="str">
            <v>UD</v>
          </cell>
          <cell r="D705" t="str">
            <v>12</v>
          </cell>
          <cell r="E705">
            <v>93.77</v>
          </cell>
          <cell r="F705">
            <v>10.199999999999999</v>
          </cell>
          <cell r="G705">
            <v>87.21</v>
          </cell>
          <cell r="H705">
            <v>97.11</v>
          </cell>
          <cell r="I705">
            <v>0.18</v>
          </cell>
          <cell r="J705" t="str">
            <v>A</v>
          </cell>
        </row>
        <row r="706">
          <cell r="A706">
            <v>38565</v>
          </cell>
          <cell r="B706" t="str">
            <v>179</v>
          </cell>
          <cell r="C706" t="str">
            <v>AS</v>
          </cell>
          <cell r="D706" t="str">
            <v>18</v>
          </cell>
          <cell r="E706">
            <v>93.11</v>
          </cell>
          <cell r="F706">
            <v>11.38</v>
          </cell>
          <cell r="G706">
            <v>86.59</v>
          </cell>
          <cell r="H706">
            <v>97.71</v>
          </cell>
          <cell r="I706">
            <v>0.11</v>
          </cell>
          <cell r="J706" t="str">
            <v>A</v>
          </cell>
        </row>
        <row r="707">
          <cell r="A707">
            <v>38565</v>
          </cell>
          <cell r="B707" t="str">
            <v>180</v>
          </cell>
          <cell r="C707" t="str">
            <v>SMI</v>
          </cell>
          <cell r="D707" t="str">
            <v>45</v>
          </cell>
          <cell r="E707">
            <v>93.52</v>
          </cell>
          <cell r="F707">
            <v>11.3</v>
          </cell>
          <cell r="G707">
            <v>86.97</v>
          </cell>
          <cell r="H707">
            <v>98.05</v>
          </cell>
          <cell r="I707">
            <v>0.13</v>
          </cell>
          <cell r="J707" t="str">
            <v>A</v>
          </cell>
        </row>
        <row r="708">
          <cell r="A708">
            <v>38565</v>
          </cell>
          <cell r="B708" t="str">
            <v>181</v>
          </cell>
          <cell r="C708" t="str">
            <v>PVD</v>
          </cell>
          <cell r="D708" t="str">
            <v>62</v>
          </cell>
          <cell r="E708">
            <v>92.77</v>
          </cell>
          <cell r="F708">
            <v>11.26</v>
          </cell>
          <cell r="G708">
            <v>86.28</v>
          </cell>
          <cell r="H708">
            <v>97.22</v>
          </cell>
          <cell r="I708">
            <v>0.14000000000000001</v>
          </cell>
          <cell r="J708" t="str">
            <v>A</v>
          </cell>
        </row>
        <row r="709">
          <cell r="A709">
            <v>38565</v>
          </cell>
          <cell r="B709" t="str">
            <v>182</v>
          </cell>
          <cell r="C709" t="str">
            <v>SMI</v>
          </cell>
          <cell r="D709" t="str">
            <v>46</v>
          </cell>
          <cell r="E709">
            <v>93.79</v>
          </cell>
          <cell r="F709">
            <v>11.25</v>
          </cell>
          <cell r="G709">
            <v>87.22</v>
          </cell>
          <cell r="H709">
            <v>98.28</v>
          </cell>
          <cell r="I709">
            <v>0.14000000000000001</v>
          </cell>
          <cell r="J709" t="str">
            <v>A</v>
          </cell>
        </row>
        <row r="710">
          <cell r="A710">
            <v>38565</v>
          </cell>
          <cell r="B710" t="str">
            <v>183</v>
          </cell>
          <cell r="C710" t="str">
            <v>SMI</v>
          </cell>
          <cell r="D710" t="str">
            <v>47</v>
          </cell>
          <cell r="E710">
            <v>93.86</v>
          </cell>
          <cell r="F710">
            <v>10.82</v>
          </cell>
          <cell r="G710">
            <v>87.29</v>
          </cell>
          <cell r="H710">
            <v>97.88</v>
          </cell>
          <cell r="I710">
            <v>0.13</v>
          </cell>
          <cell r="J710" t="str">
            <v>A</v>
          </cell>
        </row>
        <row r="711">
          <cell r="A711">
            <v>38566</v>
          </cell>
          <cell r="B711" t="str">
            <v>184</v>
          </cell>
          <cell r="C711" t="str">
            <v>SMI</v>
          </cell>
          <cell r="D711" t="str">
            <v>48</v>
          </cell>
          <cell r="E711">
            <v>93.82</v>
          </cell>
          <cell r="F711">
            <v>10.44</v>
          </cell>
          <cell r="G711">
            <v>87.25</v>
          </cell>
          <cell r="H711">
            <v>97.42</v>
          </cell>
          <cell r="I711">
            <v>0.14000000000000001</v>
          </cell>
          <cell r="J711" t="str">
            <v>A</v>
          </cell>
        </row>
        <row r="712">
          <cell r="A712">
            <v>38566</v>
          </cell>
          <cell r="B712" t="str">
            <v>185</v>
          </cell>
          <cell r="C712" t="str">
            <v>AS</v>
          </cell>
          <cell r="D712" t="str">
            <v>19</v>
          </cell>
          <cell r="E712">
            <v>93.91</v>
          </cell>
          <cell r="F712">
            <v>8.6999999999999993</v>
          </cell>
          <cell r="G712">
            <v>87.34</v>
          </cell>
          <cell r="H712">
            <v>95.66</v>
          </cell>
          <cell r="I712">
            <v>0.16</v>
          </cell>
          <cell r="J712" t="str">
            <v>A</v>
          </cell>
        </row>
        <row r="713">
          <cell r="A713">
            <v>38567</v>
          </cell>
          <cell r="B713" t="str">
            <v>186</v>
          </cell>
          <cell r="C713" t="str">
            <v>SMI</v>
          </cell>
          <cell r="D713" t="str">
            <v>49</v>
          </cell>
          <cell r="E713">
            <v>93.07</v>
          </cell>
          <cell r="F713">
            <v>10.98</v>
          </cell>
          <cell r="G713">
            <v>86.56</v>
          </cell>
          <cell r="H713">
            <v>97.23</v>
          </cell>
          <cell r="I713">
            <v>0.14000000000000001</v>
          </cell>
          <cell r="J713" t="str">
            <v>A</v>
          </cell>
        </row>
        <row r="714">
          <cell r="A714">
            <v>38569</v>
          </cell>
          <cell r="B714" t="str">
            <v>187</v>
          </cell>
          <cell r="C714" t="str">
            <v>SMI</v>
          </cell>
          <cell r="D714" t="str">
            <v>50</v>
          </cell>
          <cell r="E714">
            <v>93.63</v>
          </cell>
          <cell r="F714">
            <v>10.98</v>
          </cell>
          <cell r="G714">
            <v>87.08</v>
          </cell>
          <cell r="H714">
            <v>97.82</v>
          </cell>
          <cell r="I714">
            <v>0.13</v>
          </cell>
          <cell r="J714" t="str">
            <v>A</v>
          </cell>
        </row>
        <row r="715">
          <cell r="A715">
            <v>38569</v>
          </cell>
          <cell r="B715" t="str">
            <v>188</v>
          </cell>
          <cell r="C715" t="str">
            <v>SMI</v>
          </cell>
          <cell r="D715" t="str">
            <v>51</v>
          </cell>
          <cell r="E715">
            <v>93.65</v>
          </cell>
          <cell r="F715">
            <v>11.02</v>
          </cell>
          <cell r="G715">
            <v>87.09</v>
          </cell>
          <cell r="H715">
            <v>97.88</v>
          </cell>
          <cell r="I715">
            <v>0.12</v>
          </cell>
          <cell r="J715" t="str">
            <v>A</v>
          </cell>
        </row>
        <row r="716">
          <cell r="A716">
            <v>38570</v>
          </cell>
          <cell r="B716" t="str">
            <v>190</v>
          </cell>
          <cell r="C716" t="str">
            <v>SMI</v>
          </cell>
          <cell r="D716" t="str">
            <v>52</v>
          </cell>
          <cell r="E716">
            <v>94.18</v>
          </cell>
          <cell r="F716">
            <v>10.83</v>
          </cell>
          <cell r="G716">
            <v>87.59</v>
          </cell>
          <cell r="H716">
            <v>98.23</v>
          </cell>
          <cell r="I716">
            <v>0.12</v>
          </cell>
          <cell r="J716" t="str">
            <v>A</v>
          </cell>
        </row>
        <row r="717">
          <cell r="A717">
            <v>38570</v>
          </cell>
          <cell r="B717" t="str">
            <v>191</v>
          </cell>
          <cell r="C717" t="str">
            <v>SMI</v>
          </cell>
          <cell r="D717" t="str">
            <v>53</v>
          </cell>
          <cell r="E717">
            <v>94.14</v>
          </cell>
          <cell r="F717">
            <v>11.02</v>
          </cell>
          <cell r="G717">
            <v>87.55</v>
          </cell>
          <cell r="H717">
            <v>98.39</v>
          </cell>
          <cell r="I717">
            <v>0.13</v>
          </cell>
          <cell r="J717" t="str">
            <v>A</v>
          </cell>
        </row>
        <row r="718">
          <cell r="A718">
            <v>38573</v>
          </cell>
          <cell r="B718" t="str">
            <v>189</v>
          </cell>
          <cell r="C718" t="str">
            <v>KR</v>
          </cell>
          <cell r="D718" t="str">
            <v>11</v>
          </cell>
          <cell r="E718">
            <v>94.07</v>
          </cell>
          <cell r="F718">
            <v>10.42</v>
          </cell>
          <cell r="G718">
            <v>87.49</v>
          </cell>
          <cell r="H718">
            <v>97.66</v>
          </cell>
          <cell r="I718">
            <v>0.17</v>
          </cell>
          <cell r="J718" t="str">
            <v>A</v>
          </cell>
        </row>
        <row r="719">
          <cell r="A719">
            <v>38573</v>
          </cell>
          <cell r="B719" t="str">
            <v>192</v>
          </cell>
          <cell r="C719" t="str">
            <v>SMI</v>
          </cell>
          <cell r="D719" t="str">
            <v>54</v>
          </cell>
          <cell r="E719">
            <v>92.95</v>
          </cell>
          <cell r="F719">
            <v>11.61</v>
          </cell>
          <cell r="G719">
            <v>86.44</v>
          </cell>
          <cell r="H719">
            <v>97.8</v>
          </cell>
          <cell r="I719">
            <v>0.13</v>
          </cell>
          <cell r="J719" t="str">
            <v>A</v>
          </cell>
        </row>
        <row r="720">
          <cell r="A720">
            <v>38575</v>
          </cell>
          <cell r="B720" t="str">
            <v>193</v>
          </cell>
          <cell r="C720" t="str">
            <v>SMI</v>
          </cell>
          <cell r="D720" t="str">
            <v>55</v>
          </cell>
          <cell r="E720">
            <v>92.78</v>
          </cell>
          <cell r="F720">
            <v>10.56</v>
          </cell>
          <cell r="G720">
            <v>86.29</v>
          </cell>
          <cell r="H720">
            <v>96.47</v>
          </cell>
          <cell r="I720">
            <v>0.14000000000000001</v>
          </cell>
          <cell r="J720" t="str">
            <v>A</v>
          </cell>
        </row>
        <row r="721">
          <cell r="A721">
            <v>38576</v>
          </cell>
          <cell r="B721" t="str">
            <v>194</v>
          </cell>
          <cell r="C721" t="str">
            <v>SMI</v>
          </cell>
          <cell r="D721" t="str">
            <v>56</v>
          </cell>
          <cell r="E721">
            <v>92.98</v>
          </cell>
          <cell r="F721">
            <v>10.36</v>
          </cell>
          <cell r="G721">
            <v>86.47</v>
          </cell>
          <cell r="H721">
            <v>96.47</v>
          </cell>
          <cell r="I721">
            <v>0.14000000000000001</v>
          </cell>
          <cell r="J721" t="str">
            <v>A</v>
          </cell>
        </row>
        <row r="722">
          <cell r="A722">
            <v>38579</v>
          </cell>
          <cell r="B722" t="str">
            <v>196</v>
          </cell>
          <cell r="C722" t="str">
            <v>RE</v>
          </cell>
          <cell r="D722" t="str">
            <v>1</v>
          </cell>
          <cell r="E722">
            <v>93.65</v>
          </cell>
          <cell r="F722">
            <v>10.39</v>
          </cell>
          <cell r="G722">
            <v>87.09</v>
          </cell>
          <cell r="H722">
            <v>97.19</v>
          </cell>
          <cell r="I722">
            <v>0.14000000000000001</v>
          </cell>
          <cell r="J722" t="str">
            <v>A</v>
          </cell>
        </row>
        <row r="723">
          <cell r="A723">
            <v>38579</v>
          </cell>
          <cell r="B723" t="str">
            <v>197</v>
          </cell>
          <cell r="C723" t="str">
            <v>SMI</v>
          </cell>
          <cell r="D723" t="str">
            <v>57</v>
          </cell>
          <cell r="E723">
            <v>92.78</v>
          </cell>
          <cell r="F723">
            <v>9.92</v>
          </cell>
          <cell r="G723">
            <v>86.29</v>
          </cell>
          <cell r="H723">
            <v>95.79</v>
          </cell>
          <cell r="I723">
            <v>0.17</v>
          </cell>
          <cell r="J723" t="str">
            <v>A</v>
          </cell>
        </row>
        <row r="724">
          <cell r="A724">
            <v>38581</v>
          </cell>
          <cell r="B724" t="str">
            <v>195</v>
          </cell>
          <cell r="C724" t="str">
            <v>KR</v>
          </cell>
          <cell r="D724" t="str">
            <v>12</v>
          </cell>
          <cell r="E724">
            <v>94.11</v>
          </cell>
          <cell r="F724">
            <v>10.33</v>
          </cell>
          <cell r="G724">
            <v>87.52</v>
          </cell>
          <cell r="H724">
            <v>97.6</v>
          </cell>
          <cell r="I724">
            <v>0.16</v>
          </cell>
          <cell r="J724" t="str">
            <v>A</v>
          </cell>
        </row>
        <row r="725">
          <cell r="A725">
            <v>38581</v>
          </cell>
          <cell r="B725" t="str">
            <v>198</v>
          </cell>
          <cell r="C725" t="str">
            <v>RE</v>
          </cell>
          <cell r="D725" t="str">
            <v>2</v>
          </cell>
          <cell r="E725">
            <v>94.38</v>
          </cell>
          <cell r="F725">
            <v>11.44</v>
          </cell>
          <cell r="G725">
            <v>87.77</v>
          </cell>
          <cell r="H725">
            <v>99.11</v>
          </cell>
          <cell r="I725">
            <v>0.15</v>
          </cell>
          <cell r="J725" t="str">
            <v>A</v>
          </cell>
        </row>
        <row r="726">
          <cell r="A726">
            <v>38585</v>
          </cell>
          <cell r="B726" t="str">
            <v>199</v>
          </cell>
          <cell r="C726" t="str">
            <v>KLS</v>
          </cell>
          <cell r="D726" t="str">
            <v>1</v>
          </cell>
          <cell r="E726">
            <v>93.76</v>
          </cell>
          <cell r="F726">
            <v>10.53</v>
          </cell>
          <cell r="G726">
            <v>87.2</v>
          </cell>
          <cell r="H726">
            <v>97.46</v>
          </cell>
          <cell r="I726">
            <v>0.15</v>
          </cell>
          <cell r="J726" t="str">
            <v>A</v>
          </cell>
        </row>
        <row r="727">
          <cell r="A727">
            <v>38585</v>
          </cell>
          <cell r="B727" t="str">
            <v>200</v>
          </cell>
          <cell r="C727" t="str">
            <v>RE</v>
          </cell>
          <cell r="D727" t="str">
            <v>3</v>
          </cell>
          <cell r="E727">
            <v>93.92</v>
          </cell>
          <cell r="F727">
            <v>10.47</v>
          </cell>
          <cell r="G727">
            <v>87.35</v>
          </cell>
          <cell r="H727">
            <v>97.56</v>
          </cell>
          <cell r="I727">
            <v>0.14000000000000001</v>
          </cell>
          <cell r="J727" t="str">
            <v>A</v>
          </cell>
        </row>
        <row r="728">
          <cell r="A728">
            <v>38585</v>
          </cell>
          <cell r="B728" t="str">
            <v>202</v>
          </cell>
          <cell r="C728" t="str">
            <v>RE</v>
          </cell>
          <cell r="D728" t="str">
            <v>4</v>
          </cell>
          <cell r="E728">
            <v>93.64</v>
          </cell>
          <cell r="F728">
            <v>10.55</v>
          </cell>
          <cell r="G728">
            <v>87.09</v>
          </cell>
          <cell r="H728">
            <v>97.36</v>
          </cell>
          <cell r="I728">
            <v>0.15</v>
          </cell>
          <cell r="J728" t="str">
            <v>A</v>
          </cell>
        </row>
        <row r="729">
          <cell r="A729">
            <v>38586</v>
          </cell>
          <cell r="B729" t="str">
            <v>203</v>
          </cell>
          <cell r="C729" t="str">
            <v>RE</v>
          </cell>
          <cell r="D729" t="str">
            <v>5</v>
          </cell>
          <cell r="E729">
            <v>94.26</v>
          </cell>
          <cell r="F729">
            <v>9.74</v>
          </cell>
          <cell r="G729">
            <v>87.66</v>
          </cell>
          <cell r="H729">
            <v>97.12</v>
          </cell>
          <cell r="I729">
            <v>0.16</v>
          </cell>
          <cell r="J729" t="str">
            <v>A</v>
          </cell>
        </row>
        <row r="730">
          <cell r="A730">
            <v>38587</v>
          </cell>
          <cell r="B730" t="str">
            <v>205</v>
          </cell>
          <cell r="C730" t="str">
            <v>RE</v>
          </cell>
          <cell r="D730" t="str">
            <v>6</v>
          </cell>
          <cell r="E730">
            <v>94.28</v>
          </cell>
          <cell r="F730">
            <v>11.17</v>
          </cell>
          <cell r="G730">
            <v>87.68</v>
          </cell>
          <cell r="H730">
            <v>98.71</v>
          </cell>
          <cell r="I730">
            <v>0.16</v>
          </cell>
          <cell r="J730" t="str">
            <v>A</v>
          </cell>
        </row>
        <row r="731">
          <cell r="A731">
            <v>38588</v>
          </cell>
          <cell r="B731" t="str">
            <v>201</v>
          </cell>
          <cell r="C731" t="str">
            <v>KR</v>
          </cell>
          <cell r="D731" t="str">
            <v>13</v>
          </cell>
          <cell r="E731">
            <v>94.44</v>
          </cell>
          <cell r="F731">
            <v>9.44</v>
          </cell>
          <cell r="G731">
            <v>87.83</v>
          </cell>
          <cell r="H731">
            <v>96.98</v>
          </cell>
          <cell r="I731">
            <v>0.15</v>
          </cell>
          <cell r="J731" t="str">
            <v>A</v>
          </cell>
        </row>
        <row r="732">
          <cell r="A732">
            <v>38589</v>
          </cell>
          <cell r="B732" t="str">
            <v>204</v>
          </cell>
          <cell r="C732" t="str">
            <v>KLS</v>
          </cell>
          <cell r="D732" t="str">
            <v>2</v>
          </cell>
          <cell r="E732">
            <v>94.15</v>
          </cell>
          <cell r="F732">
            <v>10.72</v>
          </cell>
          <cell r="G732">
            <v>87.56</v>
          </cell>
          <cell r="H732">
            <v>98.07</v>
          </cell>
          <cell r="I732">
            <v>0.15</v>
          </cell>
          <cell r="J732" t="str">
            <v>A</v>
          </cell>
        </row>
        <row r="733">
          <cell r="A733">
            <v>38589</v>
          </cell>
          <cell r="B733" t="str">
            <v>206</v>
          </cell>
          <cell r="C733" t="str">
            <v>RE</v>
          </cell>
          <cell r="D733" t="str">
            <v>7</v>
          </cell>
          <cell r="E733">
            <v>94.42</v>
          </cell>
          <cell r="F733">
            <v>10.33</v>
          </cell>
          <cell r="G733">
            <v>87.81</v>
          </cell>
          <cell r="H733">
            <v>97.93</v>
          </cell>
          <cell r="I733">
            <v>0.16</v>
          </cell>
          <cell r="J733" t="str">
            <v>A</v>
          </cell>
        </row>
        <row r="734">
          <cell r="A734">
            <v>38589</v>
          </cell>
          <cell r="B734" t="str">
            <v>207</v>
          </cell>
          <cell r="C734" t="str">
            <v>RE</v>
          </cell>
          <cell r="D734" t="str">
            <v>8</v>
          </cell>
          <cell r="E734">
            <v>93.86</v>
          </cell>
          <cell r="F734">
            <v>10.28</v>
          </cell>
          <cell r="G734">
            <v>87.29</v>
          </cell>
          <cell r="H734">
            <v>97.29</v>
          </cell>
          <cell r="I734">
            <v>0.16</v>
          </cell>
          <cell r="J734" t="str">
            <v>A</v>
          </cell>
        </row>
        <row r="735">
          <cell r="A735">
            <v>38593</v>
          </cell>
          <cell r="B735" t="str">
            <v>209</v>
          </cell>
          <cell r="C735" t="str">
            <v>RE</v>
          </cell>
          <cell r="D735" t="str">
            <v>9</v>
          </cell>
          <cell r="E735">
            <v>93.48</v>
          </cell>
          <cell r="F735">
            <v>11.56</v>
          </cell>
          <cell r="G735">
            <v>86.94</v>
          </cell>
          <cell r="H735">
            <v>98.3</v>
          </cell>
          <cell r="I735">
            <v>0.13</v>
          </cell>
          <cell r="J735" t="str">
            <v>A</v>
          </cell>
        </row>
        <row r="736">
          <cell r="A736">
            <v>38594</v>
          </cell>
          <cell r="B736" t="str">
            <v>208</v>
          </cell>
          <cell r="C736" t="str">
            <v>KR</v>
          </cell>
          <cell r="D736" t="str">
            <v>14</v>
          </cell>
          <cell r="E736">
            <v>94.49</v>
          </cell>
          <cell r="F736">
            <v>10.62</v>
          </cell>
          <cell r="G736">
            <v>87.88</v>
          </cell>
          <cell r="H736">
            <v>98.32</v>
          </cell>
          <cell r="I736">
            <v>0.17</v>
          </cell>
          <cell r="J736" t="str">
            <v>A</v>
          </cell>
        </row>
        <row r="737">
          <cell r="A737">
            <v>38594</v>
          </cell>
          <cell r="B737" t="str">
            <v>210</v>
          </cell>
          <cell r="C737" t="str">
            <v>RE</v>
          </cell>
          <cell r="D737" t="str">
            <v>10</v>
          </cell>
          <cell r="E737">
            <v>94.02</v>
          </cell>
          <cell r="F737">
            <v>11.35</v>
          </cell>
          <cell r="G737">
            <v>87.44</v>
          </cell>
          <cell r="H737">
            <v>98.63</v>
          </cell>
          <cell r="I737">
            <v>0.13</v>
          </cell>
          <cell r="J737" t="str">
            <v>A</v>
          </cell>
        </row>
        <row r="738">
          <cell r="A738">
            <v>38595</v>
          </cell>
          <cell r="B738" t="str">
            <v>211</v>
          </cell>
          <cell r="C738" t="str">
            <v>KLS</v>
          </cell>
          <cell r="D738" t="str">
            <v>3</v>
          </cell>
          <cell r="E738">
            <v>93.73</v>
          </cell>
          <cell r="F738">
            <v>11.99</v>
          </cell>
          <cell r="G738">
            <v>87.17</v>
          </cell>
          <cell r="H738">
            <v>99.04</v>
          </cell>
          <cell r="I738">
            <v>0.16</v>
          </cell>
          <cell r="J738" t="str">
            <v>A</v>
          </cell>
        </row>
        <row r="739">
          <cell r="A739">
            <v>38595</v>
          </cell>
          <cell r="B739" t="str">
            <v>212</v>
          </cell>
          <cell r="C739" t="str">
            <v>RE</v>
          </cell>
          <cell r="D739" t="str">
            <v>11</v>
          </cell>
          <cell r="E739">
            <v>93.25</v>
          </cell>
          <cell r="F739">
            <v>11.31</v>
          </cell>
          <cell r="G739">
            <v>86.72</v>
          </cell>
          <cell r="H739">
            <v>97.78</v>
          </cell>
          <cell r="I739">
            <v>0.14000000000000001</v>
          </cell>
          <cell r="J739" t="str">
            <v>A</v>
          </cell>
        </row>
        <row r="740">
          <cell r="A740">
            <v>38597</v>
          </cell>
          <cell r="B740" t="str">
            <v>213</v>
          </cell>
          <cell r="C740" t="str">
            <v>RE</v>
          </cell>
          <cell r="D740" t="str">
            <v>12</v>
          </cell>
          <cell r="E740">
            <v>93.57</v>
          </cell>
          <cell r="F740">
            <v>11.52</v>
          </cell>
          <cell r="G740">
            <v>87.02</v>
          </cell>
          <cell r="H740">
            <v>98.35</v>
          </cell>
          <cell r="I740">
            <v>0.13</v>
          </cell>
          <cell r="J740" t="str">
            <v>A</v>
          </cell>
        </row>
        <row r="741">
          <cell r="A741">
            <v>38598</v>
          </cell>
          <cell r="B741" t="str">
            <v>215</v>
          </cell>
          <cell r="C741" t="str">
            <v>RE</v>
          </cell>
          <cell r="D741" t="str">
            <v>13</v>
          </cell>
          <cell r="E741">
            <v>92.98</v>
          </cell>
          <cell r="F741">
            <v>11.47</v>
          </cell>
          <cell r="G741">
            <v>86.47</v>
          </cell>
          <cell r="H741">
            <v>97.67</v>
          </cell>
          <cell r="I741">
            <v>0.14000000000000001</v>
          </cell>
          <cell r="J741" t="str">
            <v>A</v>
          </cell>
        </row>
        <row r="742">
          <cell r="A742">
            <v>38603</v>
          </cell>
          <cell r="B742" t="str">
            <v>214</v>
          </cell>
          <cell r="C742" t="str">
            <v>KLS</v>
          </cell>
          <cell r="D742" t="str">
            <v>4</v>
          </cell>
          <cell r="E742">
            <v>92.77</v>
          </cell>
          <cell r="F742">
            <v>12.05</v>
          </cell>
          <cell r="G742">
            <v>86.28</v>
          </cell>
          <cell r="H742">
            <v>98.1</v>
          </cell>
          <cell r="I742">
            <v>0.14000000000000001</v>
          </cell>
          <cell r="J742" t="str">
            <v>A</v>
          </cell>
        </row>
        <row r="743">
          <cell r="A743">
            <v>38898</v>
          </cell>
          <cell r="B743" t="str">
            <v>154</v>
          </cell>
          <cell r="C743" t="str">
            <v>UD</v>
          </cell>
          <cell r="D743" t="str">
            <v>8</v>
          </cell>
          <cell r="E743">
            <v>93.16</v>
          </cell>
          <cell r="F743">
            <v>11.49</v>
          </cell>
          <cell r="G743">
            <v>86.64</v>
          </cell>
          <cell r="H743">
            <v>97.89</v>
          </cell>
          <cell r="I743">
            <v>0.12</v>
          </cell>
          <cell r="J743" t="str">
            <v>A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ินทรา4-9"/>
      <sheetName val="เบคุ่ม4-9"/>
      <sheetName val="สัปดาห์ 4-9"/>
      <sheetName val="สินทรา 3-9"/>
      <sheetName val="เบคุ่ม3-9"/>
      <sheetName val="rejected"/>
      <sheetName val="0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มนูเอกสาร"/>
      <sheetName val="ExPense1.Detail"/>
      <sheetName val="ExPense2.สรุปคชจ."/>
      <sheetName val="ExPense3.ใบเบิกเงิน"/>
      <sheetName val="Memo"/>
      <sheetName val="ใบรับเงิน"/>
      <sheetName val="หนี้ค้าง"/>
      <sheetName val="รวบรวมบิล"/>
      <sheetName val="ไม่หักค่าคอม"/>
      <sheetName val="ขออนุมัติขาย"/>
      <sheetName val="เปิดลูกค้า_กุ้ง&amp;ปลา"/>
      <sheetName val="เปิดลูกค้า_หมู"/>
      <sheetName val="เปลี่ยนเงื่อนไข "/>
      <sheetName val="ติดตามหนี้"/>
      <sheetName val="เบิกถุง"/>
      <sheetName val="เบิกตย."/>
      <sheetName val="ข้อตกลง"/>
      <sheetName val="สัญญาซื้อ"/>
      <sheetName val="รับมอบงาน"/>
      <sheetName val="ขอเงื่อนไขพิเศษ"/>
      <sheetName val="ComP.คุณภาพ"/>
      <sheetName val="ComP.บริการ"/>
      <sheetName val="รับคืน"/>
      <sheetName val="แบบฟอร์มเอกสารฝ่ายขาย_Rev.10 พ"/>
    </sheetNames>
    <sheetDataSet>
      <sheetData sheetId="0"/>
      <sheetData sheetId="1">
        <row r="41">
          <cell r="E4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94"/>
  <sheetViews>
    <sheetView tabSelected="1" topLeftCell="B1" zoomScale="130" zoomScaleNormal="130" workbookViewId="0">
      <pane ySplit="1" topLeftCell="A2" activePane="bottomLeft" state="frozen"/>
      <selection pane="bottomLeft" activeCell="K12" sqref="K12"/>
    </sheetView>
  </sheetViews>
  <sheetFormatPr defaultRowHeight="12.75"/>
  <cols>
    <col min="1" max="1" width="20.140625" style="2" hidden="1" customWidth="1"/>
    <col min="2" max="2" width="16.140625" style="2" customWidth="1"/>
    <col min="3" max="3" width="10" style="2" customWidth="1"/>
    <col min="4" max="4" width="24.5703125" style="2" customWidth="1"/>
    <col min="5" max="5" width="13.85546875" style="13" customWidth="1"/>
    <col min="6" max="6" width="17.140625" style="13" customWidth="1"/>
    <col min="7" max="7" width="12.85546875" style="13" hidden="1" customWidth="1"/>
    <col min="8" max="8" width="12.85546875" style="13" customWidth="1"/>
    <col min="9" max="10" width="14.28515625" style="13" customWidth="1"/>
    <col min="11" max="11" width="14.28515625" style="24" customWidth="1"/>
    <col min="12" max="16384" width="9.140625" style="2"/>
  </cols>
  <sheetData>
    <row r="1" spans="1:11" ht="31.5" customHeight="1">
      <c r="A1" s="1" t="s">
        <v>2</v>
      </c>
      <c r="B1" s="39" t="s">
        <v>4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39" t="s">
        <v>11</v>
      </c>
      <c r="J1" s="39" t="s">
        <v>12</v>
      </c>
      <c r="K1" s="54" t="s">
        <v>28</v>
      </c>
    </row>
    <row r="2" spans="1:11" ht="12.75" customHeight="1">
      <c r="A2" s="52" t="s">
        <v>29</v>
      </c>
      <c r="B2" s="47" t="s">
        <v>30</v>
      </c>
      <c r="C2" s="38" t="s">
        <v>1</v>
      </c>
      <c r="D2" s="10" t="s">
        <v>3</v>
      </c>
      <c r="E2" s="11">
        <v>2</v>
      </c>
      <c r="F2" s="11"/>
      <c r="G2" s="11"/>
      <c r="H2" s="11">
        <v>1</v>
      </c>
      <c r="I2" s="34"/>
      <c r="J2" s="21"/>
      <c r="K2" s="2"/>
    </row>
    <row r="3" spans="1:11" ht="12.75" customHeight="1">
      <c r="A3" s="53"/>
      <c r="B3" s="48"/>
      <c r="C3" s="38"/>
      <c r="D3" s="10" t="s">
        <v>116</v>
      </c>
      <c r="E3" s="11"/>
      <c r="F3" s="11">
        <v>1</v>
      </c>
      <c r="G3" s="11"/>
      <c r="H3" s="11"/>
      <c r="I3" s="34"/>
      <c r="J3" s="21"/>
      <c r="K3" s="2"/>
    </row>
    <row r="4" spans="1:11" ht="12.75" customHeight="1">
      <c r="A4" s="53"/>
      <c r="B4" s="48"/>
      <c r="C4" s="10" t="s">
        <v>0</v>
      </c>
      <c r="D4" s="10" t="s">
        <v>118</v>
      </c>
      <c r="E4" s="11">
        <v>2</v>
      </c>
      <c r="F4" s="11"/>
      <c r="G4" s="11"/>
      <c r="H4" s="11">
        <v>1</v>
      </c>
      <c r="I4" s="34"/>
      <c r="J4" s="21"/>
      <c r="K4" s="2"/>
    </row>
    <row r="5" spans="1:11" ht="12.75" customHeight="1">
      <c r="A5" s="53"/>
      <c r="B5" s="48"/>
      <c r="C5" s="10"/>
      <c r="D5" s="10" t="s">
        <v>117</v>
      </c>
      <c r="E5" s="11"/>
      <c r="F5" s="11"/>
      <c r="G5" s="11"/>
      <c r="H5" s="11">
        <v>1</v>
      </c>
      <c r="I5" s="34"/>
      <c r="J5" s="21"/>
      <c r="K5" s="2"/>
    </row>
    <row r="6" spans="1:11" ht="12.75" customHeight="1">
      <c r="A6" s="53"/>
      <c r="B6" s="48"/>
      <c r="C6" s="19" t="s">
        <v>31</v>
      </c>
      <c r="D6" s="19" t="s">
        <v>13</v>
      </c>
      <c r="E6" s="7">
        <v>2</v>
      </c>
      <c r="F6" s="7"/>
      <c r="G6" s="7"/>
      <c r="H6" s="7">
        <v>1</v>
      </c>
      <c r="I6" s="36">
        <v>1</v>
      </c>
      <c r="J6" s="21"/>
      <c r="K6" s="2"/>
    </row>
    <row r="7" spans="1:11" ht="12.75" customHeight="1">
      <c r="A7" s="53"/>
      <c r="B7" s="48"/>
      <c r="C7" s="19"/>
      <c r="D7" s="19" t="s">
        <v>32</v>
      </c>
      <c r="E7" s="7"/>
      <c r="F7" s="7">
        <v>1</v>
      </c>
      <c r="G7" s="7"/>
      <c r="H7" s="7"/>
      <c r="I7" s="36"/>
      <c r="J7" s="21"/>
      <c r="K7" s="2"/>
    </row>
    <row r="8" spans="1:11" ht="12.75" customHeight="1">
      <c r="A8" s="53"/>
      <c r="B8" s="48"/>
      <c r="C8" s="19" t="s">
        <v>34</v>
      </c>
      <c r="D8" s="19" t="s">
        <v>15</v>
      </c>
      <c r="E8" s="7"/>
      <c r="F8" s="7">
        <v>2</v>
      </c>
      <c r="G8" s="7"/>
      <c r="H8" s="7">
        <v>1</v>
      </c>
      <c r="I8" s="36"/>
      <c r="J8" s="21"/>
      <c r="K8" s="2"/>
    </row>
    <row r="9" spans="1:11" ht="12.75" customHeight="1">
      <c r="A9" s="53"/>
      <c r="B9" s="48"/>
      <c r="C9" s="19" t="s">
        <v>35</v>
      </c>
      <c r="D9" s="19" t="s">
        <v>221</v>
      </c>
      <c r="E9" s="7"/>
      <c r="F9" s="7">
        <v>2</v>
      </c>
      <c r="G9" s="7"/>
      <c r="H9" s="7">
        <v>1</v>
      </c>
      <c r="I9" s="7"/>
      <c r="J9" s="1"/>
      <c r="K9" s="2"/>
    </row>
    <row r="10" spans="1:11" ht="12.75" customHeight="1">
      <c r="A10" s="53"/>
      <c r="B10" s="48"/>
      <c r="C10" s="19" t="s">
        <v>33</v>
      </c>
      <c r="D10" s="19" t="s">
        <v>15</v>
      </c>
      <c r="E10" s="7"/>
      <c r="F10" s="7">
        <v>2</v>
      </c>
      <c r="G10" s="7"/>
      <c r="H10" s="7">
        <v>1</v>
      </c>
      <c r="I10" s="7"/>
      <c r="J10" s="1"/>
      <c r="K10" s="2"/>
    </row>
    <row r="11" spans="1:11" ht="12.75" customHeight="1">
      <c r="A11" s="53"/>
      <c r="B11" s="48"/>
      <c r="C11" s="19" t="s">
        <v>222</v>
      </c>
      <c r="D11" s="19" t="s">
        <v>16</v>
      </c>
      <c r="E11" s="7">
        <v>2</v>
      </c>
      <c r="F11" s="7"/>
      <c r="G11" s="7"/>
      <c r="H11" s="7">
        <v>1</v>
      </c>
      <c r="I11" s="7"/>
      <c r="J11" s="1"/>
      <c r="K11" s="2"/>
    </row>
    <row r="12" spans="1:11" ht="12.75" customHeight="1">
      <c r="A12" s="53"/>
      <c r="B12" s="48"/>
      <c r="C12" s="19" t="s">
        <v>223</v>
      </c>
      <c r="D12" s="19" t="s">
        <v>15</v>
      </c>
      <c r="E12" s="7"/>
      <c r="F12" s="7">
        <v>2</v>
      </c>
      <c r="G12" s="7"/>
      <c r="H12" s="7">
        <v>1</v>
      </c>
      <c r="I12" s="1"/>
      <c r="J12" s="1"/>
      <c r="K12" s="2"/>
    </row>
    <row r="13" spans="1:11" ht="12.75" customHeight="1">
      <c r="A13" s="53"/>
      <c r="B13" s="48"/>
      <c r="C13" s="19" t="s">
        <v>224</v>
      </c>
      <c r="D13" s="19" t="s">
        <v>15</v>
      </c>
      <c r="E13" s="7"/>
      <c r="F13" s="7">
        <v>2</v>
      </c>
      <c r="G13" s="7"/>
      <c r="H13" s="7">
        <v>1</v>
      </c>
      <c r="I13" s="1"/>
      <c r="J13" s="1"/>
      <c r="K13" s="2"/>
    </row>
    <row r="14" spans="1:11" ht="12.75" customHeight="1">
      <c r="A14" s="53"/>
      <c r="B14" s="48"/>
      <c r="C14" s="4" t="s">
        <v>225</v>
      </c>
      <c r="D14" s="4" t="s">
        <v>3</v>
      </c>
      <c r="E14" s="18">
        <v>2</v>
      </c>
      <c r="F14" s="1"/>
      <c r="G14" s="1"/>
      <c r="H14" s="1">
        <v>1</v>
      </c>
      <c r="I14" s="1"/>
      <c r="J14" s="1"/>
      <c r="K14" s="2"/>
    </row>
    <row r="15" spans="1:11" ht="12.75" customHeight="1">
      <c r="A15" s="53"/>
      <c r="B15" s="48"/>
      <c r="C15" s="4"/>
      <c r="D15" s="4" t="s">
        <v>116</v>
      </c>
      <c r="E15" s="18"/>
      <c r="F15" s="1">
        <v>1</v>
      </c>
      <c r="G15" s="1"/>
      <c r="H15" s="1"/>
      <c r="I15" s="1"/>
      <c r="J15" s="1"/>
      <c r="K15" s="2"/>
    </row>
    <row r="16" spans="1:11" ht="12.75" customHeight="1">
      <c r="A16" s="53"/>
      <c r="B16" s="48"/>
      <c r="C16" s="19" t="s">
        <v>226</v>
      </c>
      <c r="D16" s="19" t="s">
        <v>15</v>
      </c>
      <c r="E16" s="7"/>
      <c r="F16" s="7">
        <v>2</v>
      </c>
      <c r="G16" s="7"/>
      <c r="H16" s="7">
        <v>1</v>
      </c>
      <c r="I16" s="1"/>
      <c r="J16" s="1"/>
      <c r="K16" s="2"/>
    </row>
    <row r="17" spans="1:11" ht="12.75" customHeight="1">
      <c r="A17" s="53"/>
      <c r="B17" s="48"/>
      <c r="C17" s="3"/>
      <c r="D17" s="4"/>
      <c r="E17" s="1"/>
      <c r="F17" s="1"/>
      <c r="G17" s="1"/>
      <c r="H17" s="1"/>
      <c r="I17" s="1"/>
      <c r="J17" s="1"/>
      <c r="K17" s="2"/>
    </row>
    <row r="18" spans="1:11" ht="12.75" customHeight="1">
      <c r="A18" s="53"/>
      <c r="B18" s="48"/>
      <c r="C18" s="4"/>
      <c r="D18" s="4"/>
      <c r="E18" s="1"/>
      <c r="F18" s="1"/>
      <c r="G18" s="1"/>
      <c r="H18" s="1"/>
      <c r="I18" s="1"/>
      <c r="J18" s="1"/>
      <c r="K18" s="2"/>
    </row>
    <row r="19" spans="1:11" ht="12.75" customHeight="1">
      <c r="A19" s="53"/>
      <c r="B19" s="48"/>
      <c r="C19" s="4"/>
      <c r="D19" s="4"/>
      <c r="E19" s="1"/>
      <c r="F19" s="1"/>
      <c r="G19" s="1"/>
      <c r="H19" s="1"/>
      <c r="I19" s="1"/>
      <c r="J19" s="1"/>
      <c r="K19" s="2"/>
    </row>
    <row r="20" spans="1:11" ht="12.75" customHeight="1">
      <c r="A20" s="53"/>
      <c r="B20" s="48"/>
      <c r="C20" s="4"/>
      <c r="D20" s="4"/>
      <c r="E20" s="1"/>
      <c r="F20" s="1"/>
      <c r="G20" s="1"/>
      <c r="H20" s="1"/>
      <c r="I20" s="1"/>
      <c r="J20" s="1"/>
      <c r="K20" s="2"/>
    </row>
    <row r="21" spans="1:11" ht="12.75" customHeight="1">
      <c r="A21" s="53"/>
      <c r="B21" s="48"/>
      <c r="C21" s="4"/>
      <c r="D21" s="4"/>
      <c r="E21" s="1"/>
      <c r="F21" s="1"/>
      <c r="G21" s="1"/>
      <c r="H21" s="1"/>
      <c r="I21" s="1"/>
      <c r="J21" s="1"/>
      <c r="K21" s="2"/>
    </row>
    <row r="22" spans="1:11">
      <c r="A22" s="53"/>
      <c r="B22" s="48"/>
      <c r="C22" s="4"/>
      <c r="D22" s="4"/>
      <c r="E22" s="1"/>
      <c r="F22" s="1"/>
      <c r="G22" s="1"/>
      <c r="H22" s="1"/>
      <c r="I22" s="1"/>
      <c r="J22" s="1"/>
      <c r="K22" s="2"/>
    </row>
    <row r="23" spans="1:11">
      <c r="A23" s="53"/>
      <c r="B23" s="48"/>
      <c r="C23" s="8"/>
      <c r="D23" s="8"/>
      <c r="E23" s="1"/>
      <c r="F23" s="7"/>
      <c r="G23" s="7"/>
      <c r="H23" s="7"/>
      <c r="I23" s="1"/>
      <c r="J23" s="1"/>
      <c r="K23" s="2"/>
    </row>
    <row r="24" spans="1:11">
      <c r="A24" s="53"/>
      <c r="B24" s="48"/>
      <c r="C24" s="8"/>
      <c r="D24" s="8"/>
      <c r="E24" s="1"/>
      <c r="F24" s="1"/>
      <c r="G24" s="1"/>
      <c r="H24" s="1"/>
      <c r="I24" s="1"/>
      <c r="J24" s="1"/>
      <c r="K24" s="2"/>
    </row>
    <row r="25" spans="1:11">
      <c r="A25" s="53"/>
      <c r="B25" s="49"/>
      <c r="C25" s="42" t="s">
        <v>18</v>
      </c>
      <c r="D25" s="43"/>
      <c r="E25" s="9">
        <f t="shared" ref="E25:J25" si="0">SUM(E2:E24)</f>
        <v>10</v>
      </c>
      <c r="F25" s="9">
        <f t="shared" si="0"/>
        <v>15</v>
      </c>
      <c r="G25" s="9">
        <f t="shared" si="0"/>
        <v>0</v>
      </c>
      <c r="H25" s="9">
        <f t="shared" si="0"/>
        <v>12</v>
      </c>
      <c r="I25" s="9">
        <f t="shared" si="0"/>
        <v>1</v>
      </c>
      <c r="J25" s="9">
        <f t="shared" si="0"/>
        <v>0</v>
      </c>
      <c r="K25" s="2"/>
    </row>
    <row r="26" spans="1:11">
      <c r="A26" s="53"/>
      <c r="B26" s="47" t="s">
        <v>36</v>
      </c>
      <c r="C26" s="38" t="s">
        <v>37</v>
      </c>
      <c r="D26" s="10" t="s">
        <v>3</v>
      </c>
      <c r="E26" s="11">
        <v>2</v>
      </c>
      <c r="F26" s="11"/>
      <c r="G26" s="11"/>
      <c r="H26" s="11">
        <v>1</v>
      </c>
      <c r="I26" s="34"/>
      <c r="J26" s="1"/>
      <c r="K26" s="23"/>
    </row>
    <row r="27" spans="1:11">
      <c r="A27" s="53"/>
      <c r="B27" s="48"/>
      <c r="C27" s="38"/>
      <c r="D27" s="10" t="s">
        <v>116</v>
      </c>
      <c r="E27" s="11"/>
      <c r="F27" s="11">
        <v>1</v>
      </c>
      <c r="G27" s="11"/>
      <c r="H27" s="11"/>
      <c r="I27" s="34"/>
      <c r="J27" s="1"/>
      <c r="K27" s="23"/>
    </row>
    <row r="28" spans="1:11">
      <c r="A28" s="53"/>
      <c r="B28" s="48"/>
      <c r="C28" s="10" t="s">
        <v>38</v>
      </c>
      <c r="D28" s="10" t="s">
        <v>118</v>
      </c>
      <c r="E28" s="11">
        <v>2</v>
      </c>
      <c r="F28" s="11"/>
      <c r="G28" s="11"/>
      <c r="H28" s="11">
        <v>1</v>
      </c>
      <c r="I28" s="34"/>
      <c r="J28" s="1"/>
      <c r="K28" s="22"/>
    </row>
    <row r="29" spans="1:11">
      <c r="A29" s="53"/>
      <c r="B29" s="48"/>
      <c r="C29" s="10"/>
      <c r="D29" s="10" t="s">
        <v>117</v>
      </c>
      <c r="E29" s="11"/>
      <c r="F29" s="11"/>
      <c r="G29" s="11"/>
      <c r="H29" s="11">
        <v>1</v>
      </c>
      <c r="I29" s="34"/>
      <c r="J29" s="1"/>
      <c r="K29" s="22"/>
    </row>
    <row r="30" spans="1:11">
      <c r="A30" s="53"/>
      <c r="B30" s="48"/>
      <c r="C30" s="10" t="s">
        <v>39</v>
      </c>
      <c r="D30" s="10" t="s">
        <v>14</v>
      </c>
      <c r="E30" s="11"/>
      <c r="F30" s="11">
        <v>2</v>
      </c>
      <c r="G30" s="11"/>
      <c r="H30" s="11">
        <v>1</v>
      </c>
      <c r="I30" s="34"/>
      <c r="J30" s="1"/>
      <c r="K30" s="26"/>
    </row>
    <row r="31" spans="1:11">
      <c r="A31" s="53"/>
      <c r="B31" s="48"/>
      <c r="C31" s="10" t="s">
        <v>46</v>
      </c>
      <c r="D31" s="10" t="s">
        <v>13</v>
      </c>
      <c r="E31" s="11">
        <v>2</v>
      </c>
      <c r="F31" s="11"/>
      <c r="G31" s="11"/>
      <c r="H31" s="11">
        <v>1</v>
      </c>
      <c r="I31" s="35">
        <v>1</v>
      </c>
      <c r="J31" s="1"/>
      <c r="K31" s="22"/>
    </row>
    <row r="32" spans="1:11">
      <c r="A32" s="53"/>
      <c r="B32" s="48"/>
      <c r="C32" s="10"/>
      <c r="D32" s="10" t="s">
        <v>79</v>
      </c>
      <c r="E32" s="11"/>
      <c r="F32" s="11">
        <v>1</v>
      </c>
      <c r="G32" s="11"/>
      <c r="H32" s="11"/>
      <c r="I32" s="35"/>
      <c r="J32" s="1"/>
      <c r="K32" s="22"/>
    </row>
    <row r="33" spans="1:11">
      <c r="A33" s="53"/>
      <c r="B33" s="48"/>
      <c r="C33" s="10" t="s">
        <v>47</v>
      </c>
      <c r="D33" s="10" t="s">
        <v>15</v>
      </c>
      <c r="E33" s="11"/>
      <c r="F33" s="11">
        <v>2</v>
      </c>
      <c r="G33" s="11"/>
      <c r="H33" s="11">
        <v>1</v>
      </c>
      <c r="I33" s="35"/>
      <c r="J33" s="1"/>
      <c r="K33" s="22"/>
    </row>
    <row r="34" spans="1:11">
      <c r="A34" s="53"/>
      <c r="B34" s="48"/>
      <c r="C34" s="4" t="s">
        <v>48</v>
      </c>
      <c r="D34" s="4" t="s">
        <v>16</v>
      </c>
      <c r="E34" s="1">
        <v>2</v>
      </c>
      <c r="F34" s="1"/>
      <c r="G34" s="1"/>
      <c r="H34" s="1">
        <v>1</v>
      </c>
      <c r="I34" s="1"/>
      <c r="J34" s="1"/>
      <c r="K34" s="22"/>
    </row>
    <row r="35" spans="1:11">
      <c r="A35" s="53"/>
      <c r="B35" s="48"/>
      <c r="C35" s="4" t="s">
        <v>49</v>
      </c>
      <c r="D35" s="4" t="s">
        <v>17</v>
      </c>
      <c r="E35" s="1">
        <v>2</v>
      </c>
      <c r="F35" s="1"/>
      <c r="G35" s="1"/>
      <c r="H35" s="1">
        <v>1</v>
      </c>
      <c r="I35" s="1"/>
      <c r="J35" s="1"/>
      <c r="K35" s="22"/>
    </row>
    <row r="36" spans="1:11">
      <c r="A36" s="53"/>
      <c r="B36" s="48"/>
      <c r="C36" s="3"/>
      <c r="D36" s="4" t="s">
        <v>116</v>
      </c>
      <c r="E36" s="1"/>
      <c r="F36" s="1">
        <v>1</v>
      </c>
      <c r="G36" s="1"/>
      <c r="H36" s="1"/>
      <c r="I36" s="1"/>
      <c r="J36" s="1"/>
      <c r="K36" s="22"/>
    </row>
    <row r="37" spans="1:11">
      <c r="A37" s="53"/>
      <c r="B37" s="48"/>
      <c r="C37" s="4" t="s">
        <v>50</v>
      </c>
      <c r="D37" s="4" t="s">
        <v>14</v>
      </c>
      <c r="E37" s="1"/>
      <c r="F37" s="1">
        <v>2</v>
      </c>
      <c r="G37" s="1"/>
      <c r="H37" s="1">
        <v>1</v>
      </c>
      <c r="I37" s="1"/>
      <c r="J37" s="1"/>
      <c r="K37" s="22"/>
    </row>
    <row r="38" spans="1:11">
      <c r="A38" s="53"/>
      <c r="B38" s="48"/>
      <c r="C38" s="4" t="s">
        <v>51</v>
      </c>
      <c r="D38" s="4" t="s">
        <v>14</v>
      </c>
      <c r="E38" s="1"/>
      <c r="F38" s="1">
        <v>2</v>
      </c>
      <c r="G38" s="1"/>
      <c r="H38" s="1">
        <v>1</v>
      </c>
      <c r="I38" s="1"/>
      <c r="J38" s="1"/>
      <c r="K38" s="22"/>
    </row>
    <row r="39" spans="1:11">
      <c r="A39" s="53"/>
      <c r="B39" s="48"/>
      <c r="C39" s="4" t="s">
        <v>52</v>
      </c>
      <c r="D39" s="4" t="s">
        <v>14</v>
      </c>
      <c r="E39" s="1"/>
      <c r="F39" s="1">
        <v>2</v>
      </c>
      <c r="G39" s="1"/>
      <c r="H39" s="1">
        <v>1</v>
      </c>
      <c r="I39" s="1"/>
      <c r="J39" s="1"/>
      <c r="K39" s="22"/>
    </row>
    <row r="40" spans="1:11" ht="12.75" customHeight="1">
      <c r="A40" s="53"/>
      <c r="B40" s="48"/>
      <c r="C40" s="4" t="s">
        <v>53</v>
      </c>
      <c r="D40" s="4" t="s">
        <v>14</v>
      </c>
      <c r="E40" s="1"/>
      <c r="F40" s="1">
        <v>2</v>
      </c>
      <c r="G40" s="1"/>
      <c r="H40" s="1">
        <v>1</v>
      </c>
      <c r="I40" s="1"/>
      <c r="J40" s="1"/>
      <c r="K40" s="22"/>
    </row>
    <row r="41" spans="1:11">
      <c r="A41" s="53"/>
      <c r="B41" s="48"/>
      <c r="C41" s="4" t="s">
        <v>54</v>
      </c>
      <c r="D41" s="4" t="s">
        <v>14</v>
      </c>
      <c r="E41" s="1"/>
      <c r="F41" s="1">
        <v>2</v>
      </c>
      <c r="G41" s="1"/>
      <c r="H41" s="1">
        <v>1</v>
      </c>
      <c r="I41" s="1"/>
      <c r="J41" s="1"/>
      <c r="K41" s="22"/>
    </row>
    <row r="42" spans="1:11">
      <c r="A42" s="53"/>
      <c r="B42" s="48"/>
      <c r="C42" s="4" t="s">
        <v>55</v>
      </c>
      <c r="D42" s="4" t="s">
        <v>14</v>
      </c>
      <c r="E42" s="1"/>
      <c r="F42" s="1">
        <v>2</v>
      </c>
      <c r="G42" s="1"/>
      <c r="H42" s="1">
        <v>1</v>
      </c>
      <c r="I42" s="1"/>
      <c r="J42" s="1"/>
      <c r="K42" s="22"/>
    </row>
    <row r="43" spans="1:11">
      <c r="A43" s="53"/>
      <c r="B43" s="48"/>
      <c r="C43" s="4" t="s">
        <v>56</v>
      </c>
      <c r="D43" s="4" t="s">
        <v>14</v>
      </c>
      <c r="E43" s="1"/>
      <c r="F43" s="1">
        <v>2</v>
      </c>
      <c r="G43" s="1"/>
      <c r="H43" s="1">
        <v>1</v>
      </c>
      <c r="I43" s="1"/>
      <c r="J43" s="1"/>
      <c r="K43" s="22"/>
    </row>
    <row r="44" spans="1:11">
      <c r="A44" s="53"/>
      <c r="B44" s="48"/>
      <c r="C44" s="4" t="s">
        <v>57</v>
      </c>
      <c r="D44" s="4" t="s">
        <v>14</v>
      </c>
      <c r="E44" s="1"/>
      <c r="F44" s="1">
        <v>2</v>
      </c>
      <c r="G44" s="1"/>
      <c r="H44" s="1">
        <v>1</v>
      </c>
      <c r="I44" s="1"/>
      <c r="J44" s="1"/>
      <c r="K44" s="22"/>
    </row>
    <row r="45" spans="1:11">
      <c r="A45" s="53"/>
      <c r="B45" s="48"/>
      <c r="C45" s="4" t="s">
        <v>58</v>
      </c>
      <c r="D45" s="4" t="s">
        <v>14</v>
      </c>
      <c r="E45" s="1"/>
      <c r="F45" s="1">
        <v>2</v>
      </c>
      <c r="G45" s="1"/>
      <c r="H45" s="1">
        <v>1</v>
      </c>
      <c r="I45" s="1"/>
      <c r="J45" s="1"/>
      <c r="K45" s="22"/>
    </row>
    <row r="46" spans="1:11">
      <c r="A46" s="53"/>
      <c r="B46" s="48"/>
      <c r="C46" s="4" t="s">
        <v>59</v>
      </c>
      <c r="D46" s="4" t="s">
        <v>14</v>
      </c>
      <c r="E46" s="18"/>
      <c r="F46" s="1">
        <v>2</v>
      </c>
      <c r="G46" s="1"/>
      <c r="H46" s="1">
        <v>1</v>
      </c>
      <c r="I46" s="18"/>
      <c r="J46" s="18"/>
      <c r="K46" s="22"/>
    </row>
    <row r="47" spans="1:11">
      <c r="A47" s="53"/>
      <c r="B47" s="48"/>
      <c r="C47" s="4" t="s">
        <v>60</v>
      </c>
      <c r="D47" s="4" t="s">
        <v>14</v>
      </c>
      <c r="E47" s="1"/>
      <c r="F47" s="1">
        <v>2</v>
      </c>
      <c r="G47" s="1"/>
      <c r="H47" s="1">
        <v>1</v>
      </c>
      <c r="I47" s="1"/>
      <c r="J47" s="1"/>
      <c r="K47" s="22"/>
    </row>
    <row r="48" spans="1:11">
      <c r="A48" s="53"/>
      <c r="B48" s="48"/>
      <c r="C48" s="4"/>
      <c r="D48" s="4"/>
      <c r="E48" s="1"/>
      <c r="F48" s="1"/>
      <c r="G48" s="1"/>
      <c r="H48" s="1"/>
      <c r="I48" s="1"/>
      <c r="J48" s="1"/>
      <c r="K48" s="22"/>
    </row>
    <row r="49" spans="1:11">
      <c r="A49" s="53"/>
      <c r="B49" s="48"/>
      <c r="C49" s="8"/>
      <c r="D49" s="8"/>
      <c r="E49" s="1"/>
      <c r="F49" s="7"/>
      <c r="G49" s="7"/>
      <c r="H49" s="7"/>
      <c r="I49" s="1"/>
      <c r="J49" s="1"/>
      <c r="K49" s="23"/>
    </row>
    <row r="50" spans="1:11">
      <c r="A50" s="53"/>
      <c r="B50" s="48"/>
      <c r="C50" s="8"/>
      <c r="D50" s="8"/>
      <c r="E50" s="1"/>
      <c r="F50" s="7"/>
      <c r="G50" s="7"/>
      <c r="H50" s="7"/>
      <c r="I50" s="1"/>
      <c r="J50" s="1"/>
      <c r="K50" s="22"/>
    </row>
    <row r="51" spans="1:11">
      <c r="A51" s="53"/>
      <c r="B51" s="48"/>
      <c r="C51" s="8"/>
      <c r="D51" s="8"/>
      <c r="E51" s="1"/>
      <c r="F51" s="7"/>
      <c r="G51" s="7"/>
      <c r="H51" s="7"/>
      <c r="I51" s="1"/>
      <c r="J51" s="1"/>
      <c r="K51" s="22"/>
    </row>
    <row r="52" spans="1:11">
      <c r="A52" s="53"/>
      <c r="B52" s="48"/>
      <c r="C52" s="8"/>
      <c r="D52" s="8"/>
      <c r="E52" s="1"/>
      <c r="F52" s="7"/>
      <c r="G52" s="7"/>
      <c r="H52" s="7"/>
      <c r="I52" s="1"/>
      <c r="J52" s="1"/>
      <c r="K52" s="22"/>
    </row>
    <row r="53" spans="1:11">
      <c r="A53" s="53"/>
      <c r="B53" s="49"/>
      <c r="C53" s="50" t="s">
        <v>18</v>
      </c>
      <c r="D53" s="50"/>
      <c r="E53" s="31">
        <f t="shared" ref="E53:J53" si="1">SUM(E26:E52)</f>
        <v>10</v>
      </c>
      <c r="F53" s="31">
        <f t="shared" si="1"/>
        <v>29</v>
      </c>
      <c r="G53" s="31">
        <f t="shared" si="1"/>
        <v>0</v>
      </c>
      <c r="H53" s="31">
        <f t="shared" si="1"/>
        <v>19</v>
      </c>
      <c r="I53" s="31">
        <f t="shared" si="1"/>
        <v>1</v>
      </c>
      <c r="J53" s="31">
        <f t="shared" si="1"/>
        <v>0</v>
      </c>
      <c r="K53" s="22"/>
    </row>
    <row r="54" spans="1:11">
      <c r="A54" s="53"/>
      <c r="B54" s="47" t="s">
        <v>40</v>
      </c>
      <c r="C54" s="3" t="s">
        <v>42</v>
      </c>
      <c r="D54" s="4" t="s">
        <v>3</v>
      </c>
      <c r="E54" s="1">
        <v>2</v>
      </c>
      <c r="F54" s="1"/>
      <c r="G54" s="1"/>
      <c r="H54" s="1">
        <v>1</v>
      </c>
      <c r="I54" s="18"/>
      <c r="J54" s="18"/>
      <c r="K54" s="30"/>
    </row>
    <row r="55" spans="1:11">
      <c r="A55" s="53"/>
      <c r="B55" s="48"/>
      <c r="C55" s="3"/>
      <c r="D55" s="4" t="s">
        <v>116</v>
      </c>
      <c r="E55" s="1"/>
      <c r="F55" s="1">
        <v>1</v>
      </c>
      <c r="G55" s="1"/>
      <c r="H55" s="1"/>
      <c r="I55" s="18"/>
      <c r="J55" s="18"/>
      <c r="K55" s="30"/>
    </row>
    <row r="56" spans="1:11">
      <c r="A56" s="53"/>
      <c r="B56" s="48"/>
      <c r="C56" s="4" t="s">
        <v>43</v>
      </c>
      <c r="D56" s="4" t="s">
        <v>118</v>
      </c>
      <c r="E56" s="1">
        <v>2</v>
      </c>
      <c r="F56" s="1"/>
      <c r="G56" s="1"/>
      <c r="H56" s="1">
        <v>1</v>
      </c>
      <c r="I56" s="18"/>
      <c r="J56" s="18"/>
      <c r="K56" s="2"/>
    </row>
    <row r="57" spans="1:11">
      <c r="A57" s="53"/>
      <c r="B57" s="48"/>
      <c r="C57" s="4"/>
      <c r="D57" s="4" t="s">
        <v>117</v>
      </c>
      <c r="E57" s="1"/>
      <c r="F57" s="1"/>
      <c r="G57" s="1"/>
      <c r="H57" s="1">
        <v>1</v>
      </c>
      <c r="I57" s="18"/>
      <c r="J57" s="18"/>
      <c r="K57" s="26"/>
    </row>
    <row r="58" spans="1:11">
      <c r="A58" s="53"/>
      <c r="B58" s="48"/>
      <c r="C58" s="4" t="s">
        <v>61</v>
      </c>
      <c r="D58" s="4" t="s">
        <v>13</v>
      </c>
      <c r="E58" s="1">
        <v>2</v>
      </c>
      <c r="F58" s="1"/>
      <c r="G58" s="1"/>
      <c r="H58" s="1">
        <v>1</v>
      </c>
      <c r="I58" s="21">
        <v>1</v>
      </c>
      <c r="J58" s="18"/>
      <c r="K58" s="2"/>
    </row>
    <row r="59" spans="1:11">
      <c r="A59" s="53"/>
      <c r="B59" s="48"/>
      <c r="C59" s="4"/>
      <c r="D59" s="4" t="s">
        <v>78</v>
      </c>
      <c r="E59" s="1"/>
      <c r="F59" s="1">
        <v>1</v>
      </c>
      <c r="G59" s="1"/>
      <c r="H59" s="1"/>
      <c r="I59" s="18"/>
      <c r="J59" s="18"/>
      <c r="K59" s="2"/>
    </row>
    <row r="60" spans="1:11">
      <c r="A60" s="53"/>
      <c r="B60" s="48"/>
      <c r="C60" s="4" t="s">
        <v>62</v>
      </c>
      <c r="D60" s="4" t="s">
        <v>15</v>
      </c>
      <c r="E60" s="1"/>
      <c r="F60" s="1">
        <v>2</v>
      </c>
      <c r="G60" s="1"/>
      <c r="H60" s="1">
        <v>1</v>
      </c>
      <c r="I60" s="18"/>
      <c r="J60" s="18"/>
      <c r="K60" s="2"/>
    </row>
    <row r="61" spans="1:11">
      <c r="A61" s="53"/>
      <c r="B61" s="48"/>
      <c r="C61" s="4" t="s">
        <v>63</v>
      </c>
      <c r="D61" s="4" t="s">
        <v>16</v>
      </c>
      <c r="E61" s="1">
        <v>2</v>
      </c>
      <c r="F61" s="1"/>
      <c r="G61" s="1"/>
      <c r="H61" s="1">
        <v>1</v>
      </c>
      <c r="I61" s="18"/>
      <c r="J61" s="18"/>
      <c r="K61" s="2"/>
    </row>
    <row r="62" spans="1:11" ht="12.75" customHeight="1">
      <c r="A62" s="53"/>
      <c r="B62" s="48"/>
      <c r="C62" s="4" t="s">
        <v>64</v>
      </c>
      <c r="D62" s="4" t="s">
        <v>17</v>
      </c>
      <c r="E62" s="1">
        <v>2</v>
      </c>
      <c r="F62" s="1"/>
      <c r="G62" s="1"/>
      <c r="H62" s="1">
        <v>1</v>
      </c>
      <c r="I62" s="18"/>
      <c r="J62" s="18"/>
      <c r="K62" s="2"/>
    </row>
    <row r="63" spans="1:11" ht="12.75" customHeight="1">
      <c r="A63" s="53"/>
      <c r="B63" s="48"/>
      <c r="C63" s="4"/>
      <c r="D63" s="4" t="s">
        <v>116</v>
      </c>
      <c r="E63" s="1"/>
      <c r="F63" s="1">
        <v>1</v>
      </c>
      <c r="G63" s="1"/>
      <c r="H63" s="1"/>
      <c r="I63" s="18"/>
      <c r="J63" s="18"/>
      <c r="K63" s="2"/>
    </row>
    <row r="64" spans="1:11" ht="12.75" customHeight="1">
      <c r="A64" s="53"/>
      <c r="B64" s="48"/>
      <c r="C64" s="4" t="s">
        <v>65</v>
      </c>
      <c r="D64" s="4" t="s">
        <v>14</v>
      </c>
      <c r="E64" s="1"/>
      <c r="F64" s="1">
        <v>2</v>
      </c>
      <c r="G64" s="1"/>
      <c r="H64" s="1">
        <v>1</v>
      </c>
      <c r="I64" s="18"/>
      <c r="J64" s="18"/>
      <c r="K64" s="2"/>
    </row>
    <row r="65" spans="1:11" ht="12.75" customHeight="1">
      <c r="A65" s="53"/>
      <c r="B65" s="48"/>
      <c r="C65" s="4" t="s">
        <v>66</v>
      </c>
      <c r="D65" s="4" t="s">
        <v>14</v>
      </c>
      <c r="E65" s="1"/>
      <c r="F65" s="1">
        <v>2</v>
      </c>
      <c r="G65" s="1"/>
      <c r="H65" s="1">
        <v>1</v>
      </c>
      <c r="I65" s="18"/>
      <c r="J65" s="18"/>
      <c r="K65" s="2"/>
    </row>
    <row r="66" spans="1:11" ht="12.75" customHeight="1">
      <c r="A66" s="53"/>
      <c r="B66" s="48"/>
      <c r="C66" s="4" t="s">
        <v>67</v>
      </c>
      <c r="D66" s="4" t="s">
        <v>14</v>
      </c>
      <c r="E66" s="1"/>
      <c r="F66" s="1">
        <v>2</v>
      </c>
      <c r="G66" s="1"/>
      <c r="H66" s="1">
        <v>1</v>
      </c>
      <c r="I66" s="18"/>
      <c r="J66" s="18"/>
      <c r="K66" s="2"/>
    </row>
    <row r="67" spans="1:11" ht="12.75" customHeight="1">
      <c r="A67" s="53"/>
      <c r="B67" s="48"/>
      <c r="C67" s="4" t="s">
        <v>68</v>
      </c>
      <c r="D67" s="4" t="s">
        <v>14</v>
      </c>
      <c r="E67" s="1"/>
      <c r="F67" s="1">
        <v>2</v>
      </c>
      <c r="G67" s="1"/>
      <c r="H67" s="1">
        <v>1</v>
      </c>
      <c r="I67" s="18"/>
      <c r="J67" s="18"/>
      <c r="K67" s="2"/>
    </row>
    <row r="68" spans="1:11" ht="12.75" customHeight="1">
      <c r="A68" s="53"/>
      <c r="B68" s="48"/>
      <c r="C68" s="4" t="s">
        <v>69</v>
      </c>
      <c r="D68" s="4" t="s">
        <v>14</v>
      </c>
      <c r="E68" s="1"/>
      <c r="F68" s="1">
        <v>2</v>
      </c>
      <c r="G68" s="1"/>
      <c r="H68" s="1">
        <v>1</v>
      </c>
      <c r="I68" s="18"/>
      <c r="J68" s="18"/>
      <c r="K68" s="2"/>
    </row>
    <row r="69" spans="1:11" ht="12.75" customHeight="1">
      <c r="A69" s="53"/>
      <c r="B69" s="48"/>
      <c r="C69" s="4" t="s">
        <v>70</v>
      </c>
      <c r="D69" s="4" t="s">
        <v>14</v>
      </c>
      <c r="E69" s="1"/>
      <c r="F69" s="1">
        <v>2</v>
      </c>
      <c r="G69" s="1"/>
      <c r="H69" s="1">
        <v>1</v>
      </c>
      <c r="I69" s="18"/>
      <c r="J69" s="18"/>
      <c r="K69" s="2"/>
    </row>
    <row r="70" spans="1:11" ht="12.75" customHeight="1">
      <c r="A70" s="53"/>
      <c r="B70" s="48"/>
      <c r="C70" s="4" t="s">
        <v>71</v>
      </c>
      <c r="D70" s="4" t="s">
        <v>14</v>
      </c>
      <c r="E70" s="1"/>
      <c r="F70" s="1">
        <v>2</v>
      </c>
      <c r="G70" s="1"/>
      <c r="H70" s="1">
        <v>1</v>
      </c>
      <c r="I70" s="18"/>
      <c r="J70" s="18"/>
      <c r="K70" s="2"/>
    </row>
    <row r="71" spans="1:11" ht="12.75" customHeight="1">
      <c r="A71" s="53"/>
      <c r="B71" s="48"/>
      <c r="C71" s="4" t="s">
        <v>72</v>
      </c>
      <c r="D71" s="4" t="s">
        <v>14</v>
      </c>
      <c r="E71" s="1"/>
      <c r="F71" s="1">
        <v>2</v>
      </c>
      <c r="G71" s="1"/>
      <c r="H71" s="1">
        <v>1</v>
      </c>
      <c r="I71" s="18"/>
      <c r="J71" s="18"/>
      <c r="K71" s="2"/>
    </row>
    <row r="72" spans="1:11" ht="12.75" customHeight="1">
      <c r="A72" s="53"/>
      <c r="B72" s="48"/>
      <c r="C72" s="4" t="s">
        <v>73</v>
      </c>
      <c r="D72" s="4" t="s">
        <v>14</v>
      </c>
      <c r="E72" s="1"/>
      <c r="F72" s="1">
        <v>2</v>
      </c>
      <c r="G72" s="1"/>
      <c r="H72" s="1">
        <v>1</v>
      </c>
      <c r="I72" s="18"/>
      <c r="J72" s="18"/>
      <c r="K72" s="2"/>
    </row>
    <row r="73" spans="1:11" ht="12.75" customHeight="1">
      <c r="A73" s="53"/>
      <c r="B73" s="48"/>
      <c r="C73" s="4" t="s">
        <v>74</v>
      </c>
      <c r="D73" s="4" t="s">
        <v>14</v>
      </c>
      <c r="E73" s="18"/>
      <c r="F73" s="1">
        <v>2</v>
      </c>
      <c r="G73" s="1"/>
      <c r="H73" s="1">
        <v>1</v>
      </c>
      <c r="I73" s="18"/>
      <c r="J73" s="18"/>
      <c r="K73" s="2"/>
    </row>
    <row r="74" spans="1:11" ht="12.75" customHeight="1">
      <c r="A74" s="53"/>
      <c r="B74" s="48"/>
      <c r="C74" s="4" t="s">
        <v>75</v>
      </c>
      <c r="D74" s="4" t="s">
        <v>14</v>
      </c>
      <c r="E74" s="1"/>
      <c r="F74" s="1">
        <v>2</v>
      </c>
      <c r="G74" s="1"/>
      <c r="H74" s="1">
        <v>1</v>
      </c>
      <c r="I74" s="18"/>
      <c r="J74" s="18"/>
      <c r="K74" s="2"/>
    </row>
    <row r="75" spans="1:11">
      <c r="A75" s="53"/>
      <c r="B75" s="48"/>
      <c r="C75" s="5"/>
      <c r="D75" s="5"/>
      <c r="E75" s="18"/>
      <c r="F75" s="18"/>
      <c r="G75" s="18"/>
      <c r="H75" s="18"/>
      <c r="I75" s="18"/>
      <c r="J75" s="18"/>
      <c r="K75" s="2"/>
    </row>
    <row r="76" spans="1:11">
      <c r="A76" s="53"/>
      <c r="B76" s="48"/>
      <c r="C76" s="5"/>
      <c r="D76" s="5"/>
      <c r="E76" s="18"/>
      <c r="F76" s="18"/>
      <c r="G76" s="18"/>
      <c r="H76" s="18"/>
      <c r="I76" s="18"/>
      <c r="J76" s="18"/>
      <c r="K76" s="2"/>
    </row>
    <row r="77" spans="1:11">
      <c r="A77" s="53"/>
      <c r="B77" s="48"/>
      <c r="C77" s="5"/>
      <c r="D77" s="5"/>
      <c r="E77" s="18"/>
      <c r="F77" s="18"/>
      <c r="G77" s="18"/>
      <c r="H77" s="18"/>
      <c r="I77" s="18"/>
      <c r="J77" s="18"/>
      <c r="K77" s="2"/>
    </row>
    <row r="78" spans="1:11">
      <c r="A78" s="53"/>
      <c r="B78" s="48"/>
      <c r="C78" s="8"/>
      <c r="D78" s="5"/>
      <c r="E78" s="18"/>
      <c r="F78" s="18"/>
      <c r="G78" s="18"/>
      <c r="H78" s="18"/>
      <c r="I78" s="7"/>
      <c r="J78" s="7"/>
      <c r="K78" s="2"/>
    </row>
    <row r="79" spans="1:11">
      <c r="A79" s="53"/>
      <c r="B79" s="48"/>
      <c r="C79" s="8"/>
      <c r="D79" s="5"/>
      <c r="E79" s="18"/>
      <c r="F79" s="18"/>
      <c r="G79" s="7"/>
      <c r="H79" s="7"/>
      <c r="I79" s="7"/>
      <c r="J79" s="7"/>
      <c r="K79" s="2"/>
    </row>
    <row r="80" spans="1:11">
      <c r="A80" s="53"/>
      <c r="B80" s="49"/>
      <c r="C80" s="42" t="s">
        <v>18</v>
      </c>
      <c r="D80" s="43"/>
      <c r="E80" s="32">
        <f t="shared" ref="E80:J80" si="2">SUM(E54:E79)</f>
        <v>10</v>
      </c>
      <c r="F80" s="32">
        <f t="shared" si="2"/>
        <v>27</v>
      </c>
      <c r="G80" s="32">
        <f t="shared" si="2"/>
        <v>0</v>
      </c>
      <c r="H80" s="32">
        <f t="shared" si="2"/>
        <v>18</v>
      </c>
      <c r="I80" s="31">
        <f t="shared" si="2"/>
        <v>1</v>
      </c>
      <c r="J80" s="31">
        <f t="shared" si="2"/>
        <v>0</v>
      </c>
      <c r="K80" s="2"/>
    </row>
    <row r="81" spans="1:11">
      <c r="A81" s="53"/>
      <c r="B81" s="47" t="s">
        <v>41</v>
      </c>
      <c r="C81" s="3" t="s">
        <v>44</v>
      </c>
      <c r="D81" s="4" t="s">
        <v>3</v>
      </c>
      <c r="E81" s="1">
        <v>2</v>
      </c>
      <c r="F81" s="1"/>
      <c r="G81" s="1"/>
      <c r="H81" s="1">
        <v>1</v>
      </c>
      <c r="I81" s="18"/>
      <c r="J81" s="1"/>
      <c r="K81" s="2"/>
    </row>
    <row r="82" spans="1:11">
      <c r="A82" s="53"/>
      <c r="B82" s="48"/>
      <c r="C82" s="3"/>
      <c r="D82" s="4" t="s">
        <v>116</v>
      </c>
      <c r="E82" s="1"/>
      <c r="F82" s="1">
        <v>1</v>
      </c>
      <c r="G82" s="1"/>
      <c r="H82" s="1"/>
      <c r="I82" s="18"/>
      <c r="J82" s="1"/>
      <c r="K82" s="2"/>
    </row>
    <row r="83" spans="1:11">
      <c r="A83" s="53"/>
      <c r="B83" s="48"/>
      <c r="C83" s="4" t="s">
        <v>45</v>
      </c>
      <c r="D83" s="4" t="s">
        <v>118</v>
      </c>
      <c r="E83" s="1">
        <v>2</v>
      </c>
      <c r="F83" s="1"/>
      <c r="G83" s="1"/>
      <c r="H83" s="1">
        <v>1</v>
      </c>
      <c r="I83" s="18"/>
      <c r="J83" s="1"/>
      <c r="K83" s="2"/>
    </row>
    <row r="84" spans="1:11">
      <c r="A84" s="53"/>
      <c r="B84" s="48"/>
      <c r="C84" s="4"/>
      <c r="D84" s="4" t="s">
        <v>117</v>
      </c>
      <c r="E84" s="1"/>
      <c r="F84" s="1"/>
      <c r="G84" s="1"/>
      <c r="H84" s="1">
        <v>1</v>
      </c>
      <c r="I84" s="18"/>
      <c r="J84" s="1"/>
      <c r="K84" s="2"/>
    </row>
    <row r="85" spans="1:11">
      <c r="A85" s="53"/>
      <c r="B85" s="48"/>
      <c r="C85" s="4" t="s">
        <v>76</v>
      </c>
      <c r="D85" s="4" t="s">
        <v>13</v>
      </c>
      <c r="E85" s="1">
        <v>2</v>
      </c>
      <c r="F85" s="1"/>
      <c r="G85" s="1"/>
      <c r="H85" s="1">
        <v>1</v>
      </c>
      <c r="I85" s="21">
        <v>1</v>
      </c>
      <c r="J85" s="1"/>
      <c r="K85" s="2"/>
    </row>
    <row r="86" spans="1:11">
      <c r="A86" s="53"/>
      <c r="B86" s="48"/>
      <c r="C86" s="4"/>
      <c r="D86" s="4" t="s">
        <v>77</v>
      </c>
      <c r="E86" s="1"/>
      <c r="F86" s="1">
        <v>1</v>
      </c>
      <c r="G86" s="1"/>
      <c r="H86" s="1"/>
      <c r="I86" s="18"/>
      <c r="J86" s="1"/>
      <c r="K86" s="2"/>
    </row>
    <row r="87" spans="1:11">
      <c r="A87" s="53"/>
      <c r="B87" s="48"/>
      <c r="C87" s="4" t="s">
        <v>82</v>
      </c>
      <c r="D87" s="4" t="s">
        <v>119</v>
      </c>
      <c r="E87" s="1">
        <v>2</v>
      </c>
      <c r="F87" s="1"/>
      <c r="G87" s="1"/>
      <c r="H87" s="1">
        <v>1</v>
      </c>
      <c r="I87" s="18"/>
      <c r="J87" s="1"/>
      <c r="K87" s="2"/>
    </row>
    <row r="88" spans="1:11">
      <c r="A88" s="53"/>
      <c r="B88" s="48"/>
      <c r="C88" s="4"/>
      <c r="D88" s="4" t="s">
        <v>117</v>
      </c>
      <c r="E88" s="1"/>
      <c r="F88" s="1"/>
      <c r="G88" s="1"/>
      <c r="H88" s="1">
        <v>1</v>
      </c>
      <c r="I88" s="18"/>
      <c r="J88" s="1"/>
      <c r="K88" s="2"/>
    </row>
    <row r="89" spans="1:11">
      <c r="A89" s="53"/>
      <c r="B89" s="48"/>
      <c r="C89" s="4" t="s">
        <v>80</v>
      </c>
      <c r="D89" s="4" t="s">
        <v>15</v>
      </c>
      <c r="E89" s="1"/>
      <c r="F89" s="1">
        <v>2</v>
      </c>
      <c r="G89" s="1"/>
      <c r="H89" s="1">
        <v>1</v>
      </c>
      <c r="I89" s="18"/>
      <c r="J89" s="1"/>
      <c r="K89" s="2"/>
    </row>
    <row r="90" spans="1:11">
      <c r="A90" s="53"/>
      <c r="B90" s="48"/>
      <c r="C90" s="4" t="s">
        <v>81</v>
      </c>
      <c r="D90" s="4" t="s">
        <v>16</v>
      </c>
      <c r="E90" s="1">
        <v>2</v>
      </c>
      <c r="F90" s="1"/>
      <c r="G90" s="1"/>
      <c r="H90" s="1">
        <v>1</v>
      </c>
      <c r="I90" s="18"/>
      <c r="J90" s="1"/>
      <c r="K90" s="2"/>
    </row>
    <row r="91" spans="1:11">
      <c r="A91" s="53"/>
      <c r="B91" s="48"/>
      <c r="C91" s="3" t="s">
        <v>83</v>
      </c>
      <c r="D91" s="4" t="s">
        <v>3</v>
      </c>
      <c r="E91" s="1">
        <v>2</v>
      </c>
      <c r="F91" s="1"/>
      <c r="G91" s="1"/>
      <c r="H91" s="1">
        <v>1</v>
      </c>
      <c r="I91" s="18"/>
      <c r="J91" s="1"/>
      <c r="K91" s="2"/>
    </row>
    <row r="92" spans="1:11">
      <c r="A92" s="53"/>
      <c r="B92" s="48"/>
      <c r="C92" s="3"/>
      <c r="D92" s="4" t="s">
        <v>116</v>
      </c>
      <c r="E92" s="1"/>
      <c r="F92" s="1">
        <v>1</v>
      </c>
      <c r="G92" s="18"/>
      <c r="H92" s="18"/>
      <c r="I92" s="18"/>
      <c r="J92" s="1"/>
      <c r="K92" s="2"/>
    </row>
    <row r="93" spans="1:11">
      <c r="A93" s="53"/>
      <c r="B93" s="48"/>
      <c r="C93" s="5"/>
      <c r="D93" s="5"/>
      <c r="E93" s="18"/>
      <c r="F93" s="18"/>
      <c r="G93" s="18"/>
      <c r="H93" s="18"/>
      <c r="I93" s="18"/>
      <c r="J93" s="1"/>
      <c r="K93" s="2"/>
    </row>
    <row r="94" spans="1:11">
      <c r="A94" s="53"/>
      <c r="B94" s="48"/>
      <c r="C94" s="5"/>
      <c r="D94" s="5"/>
      <c r="E94" s="18"/>
      <c r="F94" s="18"/>
      <c r="G94" s="18"/>
      <c r="H94" s="18"/>
      <c r="I94" s="18"/>
      <c r="J94" s="1"/>
      <c r="K94" s="2"/>
    </row>
    <row r="95" spans="1:11">
      <c r="A95" s="53"/>
      <c r="B95" s="48"/>
      <c r="C95" s="5"/>
      <c r="D95" s="5"/>
      <c r="E95" s="18"/>
      <c r="F95" s="18"/>
      <c r="G95" s="18"/>
      <c r="H95" s="18"/>
      <c r="I95" s="18"/>
      <c r="J95" s="1"/>
      <c r="K95" s="2"/>
    </row>
    <row r="96" spans="1:11">
      <c r="A96" s="53"/>
      <c r="B96" s="48"/>
      <c r="C96" s="5"/>
      <c r="D96" s="5"/>
      <c r="E96" s="18"/>
      <c r="F96" s="18"/>
      <c r="G96" s="18"/>
      <c r="H96" s="18"/>
      <c r="I96" s="18"/>
      <c r="J96" s="1"/>
      <c r="K96" s="2"/>
    </row>
    <row r="97" spans="1:11">
      <c r="A97" s="53"/>
      <c r="B97" s="48"/>
      <c r="C97" s="5"/>
      <c r="D97" s="5"/>
      <c r="E97" s="18"/>
      <c r="F97" s="18"/>
      <c r="G97" s="18"/>
      <c r="H97" s="18"/>
      <c r="I97" s="18"/>
      <c r="J97" s="1"/>
      <c r="K97" s="2"/>
    </row>
    <row r="98" spans="1:11">
      <c r="A98" s="53"/>
      <c r="B98" s="48"/>
      <c r="C98" s="5"/>
      <c r="D98" s="5"/>
      <c r="E98" s="18"/>
      <c r="F98" s="18"/>
      <c r="G98" s="18"/>
      <c r="H98" s="18"/>
      <c r="I98" s="18"/>
      <c r="J98" s="1"/>
      <c r="K98" s="2"/>
    </row>
    <row r="99" spans="1:11">
      <c r="A99" s="53"/>
      <c r="B99" s="48"/>
      <c r="C99" s="5"/>
      <c r="D99" s="5"/>
      <c r="E99" s="18"/>
      <c r="F99" s="18"/>
      <c r="G99" s="18"/>
      <c r="H99" s="18"/>
      <c r="I99" s="18"/>
      <c r="J99" s="1"/>
      <c r="K99" s="2"/>
    </row>
    <row r="100" spans="1:11">
      <c r="A100" s="53"/>
      <c r="B100" s="48"/>
      <c r="C100" s="5"/>
      <c r="D100" s="5"/>
      <c r="E100" s="18"/>
      <c r="F100" s="18"/>
      <c r="G100" s="18"/>
      <c r="H100" s="18"/>
      <c r="I100" s="18"/>
      <c r="J100" s="1"/>
      <c r="K100" s="2"/>
    </row>
    <row r="101" spans="1:11">
      <c r="A101" s="53"/>
      <c r="B101" s="48"/>
      <c r="C101" s="5"/>
      <c r="D101" s="5"/>
      <c r="E101" s="18"/>
      <c r="F101" s="18"/>
      <c r="G101" s="18"/>
      <c r="H101" s="18"/>
      <c r="I101" s="18"/>
      <c r="J101" s="1"/>
      <c r="K101" s="2"/>
    </row>
    <row r="102" spans="1:11">
      <c r="A102" s="53"/>
      <c r="B102" s="48"/>
      <c r="C102" s="8"/>
      <c r="D102" s="5"/>
      <c r="E102" s="18"/>
      <c r="F102" s="18"/>
      <c r="G102" s="7"/>
      <c r="H102" s="7"/>
      <c r="I102" s="7"/>
      <c r="J102" s="7"/>
      <c r="K102" s="2"/>
    </row>
    <row r="103" spans="1:11">
      <c r="A103" s="53"/>
      <c r="B103" s="48"/>
      <c r="C103" s="8"/>
      <c r="D103" s="5"/>
      <c r="E103" s="18"/>
      <c r="F103" s="18"/>
      <c r="G103" s="7"/>
      <c r="H103" s="7"/>
      <c r="I103" s="7"/>
      <c r="J103" s="7"/>
      <c r="K103" s="2"/>
    </row>
    <row r="104" spans="1:11">
      <c r="A104" s="53"/>
      <c r="B104" s="49"/>
      <c r="C104" s="42" t="s">
        <v>18</v>
      </c>
      <c r="D104" s="43"/>
      <c r="E104" s="31">
        <f t="shared" ref="E104" si="3">SUM(E81:E103)</f>
        <v>12</v>
      </c>
      <c r="F104" s="31">
        <f t="shared" ref="F104" si="4">SUM(F81:F103)</f>
        <v>5</v>
      </c>
      <c r="G104" s="31">
        <f t="shared" ref="G104" si="5">SUM(G81:G103)</f>
        <v>0</v>
      </c>
      <c r="H104" s="31">
        <f t="shared" ref="H104" si="6">SUM(H81:H103)</f>
        <v>9</v>
      </c>
      <c r="I104" s="31">
        <f t="shared" ref="I104" si="7">SUM(I81:I103)</f>
        <v>1</v>
      </c>
      <c r="J104" s="31">
        <f t="shared" ref="J104" si="8">SUM(J81:J103)</f>
        <v>0</v>
      </c>
      <c r="K104" s="2"/>
    </row>
    <row r="105" spans="1:11">
      <c r="A105" s="53"/>
      <c r="B105" s="47" t="s">
        <v>88</v>
      </c>
      <c r="C105" s="4" t="s">
        <v>84</v>
      </c>
      <c r="D105" s="4" t="s">
        <v>13</v>
      </c>
      <c r="E105" s="1">
        <v>2</v>
      </c>
      <c r="F105" s="1"/>
      <c r="G105" s="1"/>
      <c r="H105" s="1">
        <v>1</v>
      </c>
      <c r="I105" s="21">
        <v>1</v>
      </c>
      <c r="J105" s="1"/>
      <c r="K105" s="2"/>
    </row>
    <row r="106" spans="1:11">
      <c r="A106" s="53"/>
      <c r="B106" s="48"/>
      <c r="C106" s="4"/>
      <c r="D106" s="4" t="s">
        <v>87</v>
      </c>
      <c r="E106" s="1"/>
      <c r="F106" s="1">
        <v>1</v>
      </c>
      <c r="G106" s="1"/>
      <c r="H106" s="1"/>
      <c r="I106" s="18"/>
      <c r="J106" s="1"/>
      <c r="K106" s="2"/>
    </row>
    <row r="107" spans="1:11">
      <c r="A107" s="53"/>
      <c r="B107" s="48"/>
      <c r="C107" s="4" t="s">
        <v>85</v>
      </c>
      <c r="D107" s="4" t="s">
        <v>3</v>
      </c>
      <c r="E107" s="1">
        <v>2</v>
      </c>
      <c r="F107" s="1"/>
      <c r="G107" s="1"/>
      <c r="H107" s="1">
        <v>1</v>
      </c>
      <c r="I107" s="1"/>
      <c r="J107" s="1"/>
      <c r="K107" s="2"/>
    </row>
    <row r="108" spans="1:11">
      <c r="A108" s="53"/>
      <c r="B108" s="48"/>
      <c r="C108" s="4" t="s">
        <v>86</v>
      </c>
      <c r="D108" s="4" t="s">
        <v>3</v>
      </c>
      <c r="E108" s="1">
        <v>2</v>
      </c>
      <c r="F108" s="1"/>
      <c r="G108" s="1"/>
      <c r="H108" s="1">
        <v>1</v>
      </c>
      <c r="I108" s="1"/>
      <c r="J108" s="1"/>
      <c r="K108" s="2"/>
    </row>
    <row r="109" spans="1:11">
      <c r="A109" s="53"/>
      <c r="B109" s="48"/>
      <c r="C109" s="4"/>
      <c r="D109" s="4"/>
      <c r="E109" s="1"/>
      <c r="F109" s="1"/>
      <c r="G109" s="1"/>
      <c r="H109" s="1"/>
      <c r="I109" s="1"/>
      <c r="J109" s="1"/>
      <c r="K109" s="2"/>
    </row>
    <row r="110" spans="1:11">
      <c r="A110" s="53"/>
      <c r="B110" s="48"/>
      <c r="C110" s="4"/>
      <c r="D110" s="4"/>
      <c r="E110" s="18"/>
      <c r="F110" s="1"/>
      <c r="G110" s="1"/>
      <c r="H110" s="1"/>
      <c r="I110" s="1"/>
      <c r="J110" s="1"/>
      <c r="K110" s="2"/>
    </row>
    <row r="111" spans="1:11">
      <c r="A111" s="53"/>
      <c r="B111" s="48"/>
      <c r="C111" s="4"/>
      <c r="D111" s="4"/>
      <c r="E111" s="1"/>
      <c r="F111" s="1"/>
      <c r="G111" s="1"/>
      <c r="H111" s="1"/>
      <c r="I111" s="1"/>
      <c r="J111" s="1"/>
      <c r="K111" s="2"/>
    </row>
    <row r="112" spans="1:11">
      <c r="A112" s="53"/>
      <c r="B112" s="48"/>
      <c r="C112" s="4"/>
      <c r="D112" s="4"/>
      <c r="E112" s="1"/>
      <c r="F112" s="1"/>
      <c r="G112" s="1"/>
      <c r="H112" s="1"/>
      <c r="I112" s="1"/>
      <c r="J112" s="1"/>
      <c r="K112" s="2"/>
    </row>
    <row r="113" spans="1:11">
      <c r="A113" s="53"/>
      <c r="B113" s="48"/>
      <c r="C113" s="4"/>
      <c r="D113" s="4"/>
      <c r="E113" s="1"/>
      <c r="F113" s="1"/>
      <c r="G113" s="1"/>
      <c r="H113" s="1"/>
      <c r="I113" s="1"/>
      <c r="J113" s="1"/>
      <c r="K113" s="2"/>
    </row>
    <row r="114" spans="1:11">
      <c r="A114" s="53"/>
      <c r="B114" s="48"/>
      <c r="C114" s="4"/>
      <c r="D114" s="4"/>
      <c r="E114" s="1"/>
      <c r="F114" s="1"/>
      <c r="G114" s="1"/>
      <c r="H114" s="1"/>
      <c r="I114" s="1"/>
      <c r="J114" s="1"/>
      <c r="K114" s="2"/>
    </row>
    <row r="115" spans="1:11">
      <c r="A115" s="53"/>
      <c r="B115" s="48"/>
      <c r="C115" s="4"/>
      <c r="D115" s="4"/>
      <c r="E115" s="1"/>
      <c r="F115" s="1"/>
      <c r="G115" s="1"/>
      <c r="H115" s="1"/>
      <c r="I115" s="1"/>
      <c r="J115" s="1"/>
      <c r="K115" s="2"/>
    </row>
    <row r="116" spans="1:11">
      <c r="A116" s="53"/>
      <c r="B116" s="48"/>
      <c r="C116" s="8"/>
      <c r="D116" s="4"/>
      <c r="E116" s="1"/>
      <c r="F116" s="1"/>
      <c r="G116" s="7"/>
      <c r="H116" s="7"/>
      <c r="I116" s="7"/>
      <c r="J116" s="7"/>
      <c r="K116" s="2"/>
    </row>
    <row r="117" spans="1:11">
      <c r="A117" s="53"/>
      <c r="B117" s="48"/>
      <c r="C117" s="4"/>
      <c r="D117" s="4"/>
      <c r="E117" s="1"/>
      <c r="F117" s="1"/>
      <c r="G117" s="7"/>
      <c r="H117" s="7"/>
      <c r="I117" s="7"/>
      <c r="J117" s="7"/>
      <c r="K117" s="2"/>
    </row>
    <row r="118" spans="1:11">
      <c r="A118" s="53"/>
      <c r="B118" s="49"/>
      <c r="C118" s="42" t="s">
        <v>18</v>
      </c>
      <c r="D118" s="43"/>
      <c r="E118" s="33">
        <f>SUM(E105:E117)</f>
        <v>6</v>
      </c>
      <c r="F118" s="33">
        <f t="shared" ref="F118:J118" si="9">SUM(F95:F117)</f>
        <v>6</v>
      </c>
      <c r="G118" s="33">
        <f t="shared" si="9"/>
        <v>0</v>
      </c>
      <c r="H118" s="33">
        <f t="shared" si="9"/>
        <v>12</v>
      </c>
      <c r="I118" s="33">
        <f t="shared" si="9"/>
        <v>2</v>
      </c>
      <c r="J118" s="33">
        <f t="shared" si="9"/>
        <v>0</v>
      </c>
      <c r="K118" s="2"/>
    </row>
    <row r="119" spans="1:11" ht="12.75" customHeight="1">
      <c r="A119" s="53"/>
      <c r="B119" s="27"/>
      <c r="C119" s="4" t="s">
        <v>90</v>
      </c>
      <c r="D119" s="4" t="s">
        <v>27</v>
      </c>
      <c r="E119" s="1"/>
      <c r="F119" s="1"/>
      <c r="G119" s="1"/>
      <c r="H119" s="1">
        <v>1</v>
      </c>
      <c r="I119" s="1"/>
      <c r="J119" s="1"/>
      <c r="K119" s="23"/>
    </row>
    <row r="120" spans="1:11">
      <c r="A120" s="53"/>
      <c r="B120" s="28" t="s">
        <v>89</v>
      </c>
      <c r="C120" s="4"/>
      <c r="D120" s="4" t="s">
        <v>22</v>
      </c>
      <c r="E120" s="18"/>
      <c r="F120" s="1">
        <v>2</v>
      </c>
      <c r="G120" s="1"/>
      <c r="H120" s="1"/>
      <c r="I120" s="1"/>
      <c r="J120" s="1"/>
      <c r="K120" s="23"/>
    </row>
    <row r="121" spans="1:11">
      <c r="A121" s="53"/>
      <c r="B121" s="28"/>
      <c r="C121" s="4" t="s">
        <v>91</v>
      </c>
      <c r="D121" s="4" t="s">
        <v>27</v>
      </c>
      <c r="E121" s="18"/>
      <c r="F121" s="1"/>
      <c r="G121" s="1"/>
      <c r="H121" s="1">
        <v>1</v>
      </c>
      <c r="I121" s="1"/>
      <c r="J121" s="1"/>
      <c r="K121" s="23"/>
    </row>
    <row r="122" spans="1:11">
      <c r="A122" s="53"/>
      <c r="B122" s="28"/>
      <c r="C122" s="4"/>
      <c r="D122" s="4" t="s">
        <v>22</v>
      </c>
      <c r="E122" s="18"/>
      <c r="F122" s="1">
        <v>2</v>
      </c>
      <c r="G122" s="1"/>
      <c r="H122" s="1"/>
      <c r="I122" s="1"/>
      <c r="J122" s="1"/>
      <c r="K122" s="23"/>
    </row>
    <row r="123" spans="1:11">
      <c r="A123" s="53"/>
      <c r="B123" s="28"/>
      <c r="C123" s="4" t="s">
        <v>92</v>
      </c>
      <c r="D123" s="4" t="s">
        <v>27</v>
      </c>
      <c r="E123" s="18"/>
      <c r="F123" s="1"/>
      <c r="G123" s="1"/>
      <c r="H123" s="1">
        <v>1</v>
      </c>
      <c r="I123" s="1"/>
      <c r="J123" s="1"/>
      <c r="K123" s="23"/>
    </row>
    <row r="124" spans="1:11">
      <c r="A124" s="53"/>
      <c r="B124" s="28"/>
      <c r="C124" s="4"/>
      <c r="D124" s="4" t="s">
        <v>22</v>
      </c>
      <c r="E124" s="18"/>
      <c r="F124" s="1">
        <v>2</v>
      </c>
      <c r="G124" s="1"/>
      <c r="H124" s="1"/>
      <c r="I124" s="1"/>
      <c r="J124" s="1"/>
      <c r="K124" s="23"/>
    </row>
    <row r="125" spans="1:11">
      <c r="A125" s="53"/>
      <c r="B125" s="29"/>
      <c r="C125" s="4" t="s">
        <v>93</v>
      </c>
      <c r="D125" s="4" t="s">
        <v>27</v>
      </c>
      <c r="E125" s="18"/>
      <c r="F125" s="1"/>
      <c r="G125" s="1"/>
      <c r="H125" s="1">
        <v>1</v>
      </c>
      <c r="I125" s="1"/>
      <c r="J125" s="1"/>
      <c r="K125" s="23"/>
    </row>
    <row r="126" spans="1:11">
      <c r="A126" s="53"/>
      <c r="B126" s="27"/>
      <c r="C126" s="4"/>
      <c r="D126" s="4" t="s">
        <v>22</v>
      </c>
      <c r="E126" s="18"/>
      <c r="F126" s="1">
        <v>2</v>
      </c>
      <c r="G126" s="1"/>
      <c r="H126" s="1"/>
      <c r="I126" s="1"/>
      <c r="J126" s="1"/>
      <c r="K126" s="23"/>
    </row>
    <row r="127" spans="1:11">
      <c r="A127" s="53"/>
      <c r="B127" s="28"/>
      <c r="C127" s="4" t="s">
        <v>94</v>
      </c>
      <c r="D127" s="4" t="s">
        <v>27</v>
      </c>
      <c r="E127" s="18"/>
      <c r="F127" s="1"/>
      <c r="G127" s="1"/>
      <c r="H127" s="1">
        <v>1</v>
      </c>
      <c r="I127" s="1"/>
      <c r="J127" s="1"/>
      <c r="K127" s="23"/>
    </row>
    <row r="128" spans="1:11">
      <c r="A128" s="53"/>
      <c r="B128" s="28"/>
      <c r="C128" s="4"/>
      <c r="D128" s="4" t="s">
        <v>22</v>
      </c>
      <c r="E128" s="1"/>
      <c r="F128" s="1">
        <v>2</v>
      </c>
      <c r="G128" s="1"/>
      <c r="H128" s="1"/>
      <c r="I128" s="1"/>
      <c r="J128" s="1"/>
      <c r="K128" s="23"/>
    </row>
    <row r="129" spans="1:11">
      <c r="A129" s="53"/>
      <c r="B129" s="28"/>
      <c r="C129" s="4" t="s">
        <v>95</v>
      </c>
      <c r="D129" s="4" t="s">
        <v>27</v>
      </c>
      <c r="E129" s="1"/>
      <c r="F129" s="1"/>
      <c r="G129" s="1"/>
      <c r="H129" s="1">
        <v>1</v>
      </c>
      <c r="I129" s="1"/>
      <c r="J129" s="1"/>
      <c r="K129" s="23"/>
    </row>
    <row r="130" spans="1:11">
      <c r="A130" s="53"/>
      <c r="B130" s="28"/>
      <c r="C130" s="4"/>
      <c r="D130" s="4" t="s">
        <v>22</v>
      </c>
      <c r="E130" s="1"/>
      <c r="F130" s="1">
        <v>2</v>
      </c>
      <c r="G130" s="1"/>
      <c r="H130" s="1"/>
      <c r="I130" s="1"/>
      <c r="J130" s="1"/>
      <c r="K130" s="23"/>
    </row>
    <row r="131" spans="1:11">
      <c r="A131" s="53"/>
      <c r="B131" s="28"/>
      <c r="C131" s="4" t="s">
        <v>96</v>
      </c>
      <c r="D131" s="4" t="s">
        <v>27</v>
      </c>
      <c r="E131" s="1"/>
      <c r="F131" s="1"/>
      <c r="G131" s="1"/>
      <c r="H131" s="1">
        <v>1</v>
      </c>
      <c r="I131" s="1"/>
      <c r="J131" s="1"/>
      <c r="K131" s="23"/>
    </row>
    <row r="132" spans="1:11">
      <c r="A132" s="53"/>
      <c r="B132" s="28"/>
      <c r="C132" s="4"/>
      <c r="D132" s="4" t="s">
        <v>22</v>
      </c>
      <c r="E132" s="1"/>
      <c r="F132" s="1">
        <v>2</v>
      </c>
      <c r="G132" s="1"/>
      <c r="H132" s="1"/>
      <c r="I132" s="1"/>
      <c r="J132" s="1"/>
      <c r="K132" s="23"/>
    </row>
    <row r="133" spans="1:11">
      <c r="A133" s="51"/>
      <c r="B133" s="47"/>
      <c r="C133" s="4" t="s">
        <v>97</v>
      </c>
      <c r="D133" s="4" t="s">
        <v>27</v>
      </c>
      <c r="E133" s="1"/>
      <c r="F133" s="1"/>
      <c r="G133" s="1"/>
      <c r="H133" s="1">
        <v>1</v>
      </c>
      <c r="I133" s="1"/>
      <c r="J133" s="1"/>
      <c r="K133" s="22"/>
    </row>
    <row r="134" spans="1:11">
      <c r="A134" s="51"/>
      <c r="B134" s="48"/>
      <c r="C134" s="4"/>
      <c r="D134" s="4" t="s">
        <v>22</v>
      </c>
      <c r="E134" s="18"/>
      <c r="F134" s="1">
        <v>2</v>
      </c>
      <c r="G134" s="1"/>
      <c r="H134" s="1"/>
      <c r="I134" s="1"/>
      <c r="J134" s="1"/>
      <c r="K134" s="22"/>
    </row>
    <row r="135" spans="1:11">
      <c r="A135" s="51"/>
      <c r="B135" s="48"/>
      <c r="C135" s="4" t="s">
        <v>98</v>
      </c>
      <c r="D135" s="4" t="s">
        <v>27</v>
      </c>
      <c r="E135" s="18"/>
      <c r="F135" s="1"/>
      <c r="G135" s="1"/>
      <c r="H135" s="1">
        <v>1</v>
      </c>
      <c r="I135" s="1"/>
      <c r="J135" s="1"/>
      <c r="K135" s="22"/>
    </row>
    <row r="136" spans="1:11" ht="12.75" customHeight="1">
      <c r="A136" s="51"/>
      <c r="B136" s="48"/>
      <c r="C136" s="4"/>
      <c r="D136" s="4" t="s">
        <v>22</v>
      </c>
      <c r="E136" s="18"/>
      <c r="F136" s="1">
        <v>2</v>
      </c>
      <c r="G136" s="1"/>
      <c r="H136" s="1"/>
      <c r="I136" s="1"/>
      <c r="J136" s="1"/>
      <c r="K136" s="22"/>
    </row>
    <row r="137" spans="1:11" ht="12.75" customHeight="1">
      <c r="A137" s="51"/>
      <c r="B137" s="48"/>
      <c r="C137" s="4" t="s">
        <v>99</v>
      </c>
      <c r="D137" s="4" t="s">
        <v>27</v>
      </c>
      <c r="E137" s="18"/>
      <c r="F137" s="1"/>
      <c r="G137" s="1"/>
      <c r="H137" s="1">
        <v>1</v>
      </c>
      <c r="I137" s="1"/>
      <c r="J137" s="1"/>
      <c r="K137" s="22"/>
    </row>
    <row r="138" spans="1:11" ht="12.75" customHeight="1">
      <c r="A138" s="51"/>
      <c r="B138" s="48"/>
      <c r="C138" s="4"/>
      <c r="D138" s="4" t="s">
        <v>22</v>
      </c>
      <c r="E138" s="18"/>
      <c r="F138" s="1">
        <v>2</v>
      </c>
      <c r="G138" s="1"/>
      <c r="H138" s="1"/>
      <c r="I138" s="1"/>
      <c r="J138" s="1"/>
      <c r="K138" s="22"/>
    </row>
    <row r="139" spans="1:11">
      <c r="A139" s="51"/>
      <c r="B139" s="48"/>
      <c r="C139" s="4" t="s">
        <v>100</v>
      </c>
      <c r="D139" s="4" t="s">
        <v>27</v>
      </c>
      <c r="E139" s="18"/>
      <c r="F139" s="1"/>
      <c r="G139" s="1"/>
      <c r="H139" s="1">
        <v>1</v>
      </c>
      <c r="I139" s="1"/>
      <c r="J139" s="1"/>
      <c r="K139" s="22"/>
    </row>
    <row r="140" spans="1:11">
      <c r="A140" s="51"/>
      <c r="B140" s="48"/>
      <c r="C140" s="4"/>
      <c r="D140" s="4" t="s">
        <v>22</v>
      </c>
      <c r="E140" s="18"/>
      <c r="F140" s="1">
        <v>2</v>
      </c>
      <c r="G140" s="1"/>
      <c r="H140" s="1"/>
      <c r="I140" s="1"/>
      <c r="J140" s="1"/>
      <c r="K140" s="22"/>
    </row>
    <row r="141" spans="1:11">
      <c r="A141" s="51"/>
      <c r="B141" s="48"/>
      <c r="C141" s="4" t="s">
        <v>101</v>
      </c>
      <c r="D141" s="4" t="s">
        <v>14</v>
      </c>
      <c r="E141" s="1"/>
      <c r="F141" s="1">
        <v>2</v>
      </c>
      <c r="G141" s="1"/>
      <c r="H141" s="1">
        <v>1</v>
      </c>
      <c r="I141" s="1"/>
      <c r="J141" s="1"/>
      <c r="K141" s="22"/>
    </row>
    <row r="142" spans="1:11">
      <c r="A142" s="51"/>
      <c r="B142" s="48"/>
      <c r="C142" s="4" t="s">
        <v>102</v>
      </c>
      <c r="D142" s="4" t="s">
        <v>14</v>
      </c>
      <c r="E142" s="1"/>
      <c r="F142" s="1">
        <v>2</v>
      </c>
      <c r="G142" s="1"/>
      <c r="H142" s="1">
        <v>1</v>
      </c>
      <c r="I142" s="1"/>
      <c r="J142" s="1"/>
      <c r="K142" s="22"/>
    </row>
    <row r="143" spans="1:11">
      <c r="A143" s="51"/>
      <c r="B143" s="48"/>
      <c r="C143" s="4" t="s">
        <v>103</v>
      </c>
      <c r="D143" s="4" t="s">
        <v>14</v>
      </c>
      <c r="E143" s="1"/>
      <c r="F143" s="1">
        <v>2</v>
      </c>
      <c r="G143" s="1"/>
      <c r="H143" s="1">
        <v>1</v>
      </c>
      <c r="I143" s="1"/>
      <c r="J143" s="1"/>
      <c r="K143" s="22"/>
    </row>
    <row r="144" spans="1:11">
      <c r="A144" s="51"/>
      <c r="B144" s="48"/>
      <c r="C144" s="4" t="s">
        <v>104</v>
      </c>
      <c r="D144" s="4" t="s">
        <v>14</v>
      </c>
      <c r="E144" s="1"/>
      <c r="F144" s="1">
        <v>2</v>
      </c>
      <c r="G144" s="1"/>
      <c r="H144" s="1">
        <v>1</v>
      </c>
      <c r="I144" s="1"/>
      <c r="J144" s="1"/>
      <c r="K144" s="22"/>
    </row>
    <row r="145" spans="1:11">
      <c r="A145" s="51"/>
      <c r="B145" s="48"/>
      <c r="C145" s="4" t="s">
        <v>105</v>
      </c>
      <c r="D145" s="4" t="s">
        <v>14</v>
      </c>
      <c r="E145" s="18"/>
      <c r="F145" s="1">
        <v>2</v>
      </c>
      <c r="G145" s="1"/>
      <c r="H145" s="1">
        <v>1</v>
      </c>
      <c r="I145" s="1"/>
      <c r="J145" s="1"/>
      <c r="K145" s="22"/>
    </row>
    <row r="146" spans="1:11">
      <c r="A146" s="51"/>
      <c r="B146" s="48"/>
      <c r="C146" s="4" t="s">
        <v>107</v>
      </c>
      <c r="D146" s="4" t="s">
        <v>14</v>
      </c>
      <c r="E146" s="18"/>
      <c r="F146" s="1">
        <v>2</v>
      </c>
      <c r="G146" s="1"/>
      <c r="H146" s="1">
        <v>1</v>
      </c>
      <c r="I146" s="1"/>
      <c r="J146" s="1"/>
      <c r="K146" s="22"/>
    </row>
    <row r="147" spans="1:11">
      <c r="A147" s="51"/>
      <c r="B147" s="48"/>
      <c r="C147" s="4" t="s">
        <v>106</v>
      </c>
      <c r="D147" s="4" t="s">
        <v>14</v>
      </c>
      <c r="E147" s="18"/>
      <c r="F147" s="1">
        <v>2</v>
      </c>
      <c r="G147" s="1"/>
      <c r="H147" s="1">
        <v>1</v>
      </c>
      <c r="I147" s="1"/>
      <c r="J147" s="1"/>
      <c r="K147" s="22"/>
    </row>
    <row r="148" spans="1:11">
      <c r="A148" s="51"/>
      <c r="B148" s="48"/>
      <c r="C148" s="4" t="s">
        <v>108</v>
      </c>
      <c r="D148" s="4" t="s">
        <v>14</v>
      </c>
      <c r="E148" s="18"/>
      <c r="F148" s="1">
        <v>2</v>
      </c>
      <c r="G148" s="1"/>
      <c r="H148" s="1">
        <v>1</v>
      </c>
      <c r="I148" s="1"/>
      <c r="J148" s="1"/>
      <c r="K148" s="22"/>
    </row>
    <row r="149" spans="1:11">
      <c r="A149" s="51"/>
      <c r="B149" s="48"/>
      <c r="C149" s="4" t="s">
        <v>109</v>
      </c>
      <c r="D149" s="4" t="s">
        <v>14</v>
      </c>
      <c r="E149" s="18"/>
      <c r="F149" s="1">
        <v>2</v>
      </c>
      <c r="G149" s="1"/>
      <c r="H149" s="1">
        <v>1</v>
      </c>
      <c r="I149" s="1"/>
      <c r="J149" s="1"/>
      <c r="K149" s="22"/>
    </row>
    <row r="150" spans="1:11">
      <c r="A150" s="51"/>
      <c r="B150" s="48"/>
      <c r="C150" s="4" t="s">
        <v>110</v>
      </c>
      <c r="D150" s="4" t="s">
        <v>14</v>
      </c>
      <c r="E150" s="18"/>
      <c r="F150" s="1">
        <v>2</v>
      </c>
      <c r="G150" s="1"/>
      <c r="H150" s="1">
        <v>1</v>
      </c>
      <c r="I150" s="1"/>
      <c r="J150" s="1"/>
      <c r="K150" s="22"/>
    </row>
    <row r="151" spans="1:11">
      <c r="A151" s="51"/>
      <c r="B151" s="48"/>
      <c r="C151" s="4" t="s">
        <v>111</v>
      </c>
      <c r="D151" s="4" t="s">
        <v>14</v>
      </c>
      <c r="E151" s="18"/>
      <c r="F151" s="1">
        <v>2</v>
      </c>
      <c r="G151" s="1"/>
      <c r="H151" s="1">
        <v>1</v>
      </c>
      <c r="I151" s="1"/>
      <c r="J151" s="1"/>
      <c r="K151" s="22"/>
    </row>
    <row r="152" spans="1:11">
      <c r="A152" s="51"/>
      <c r="B152" s="48"/>
      <c r="C152" s="4" t="s">
        <v>112</v>
      </c>
      <c r="D152" s="4" t="s">
        <v>14</v>
      </c>
      <c r="E152" s="18"/>
      <c r="F152" s="1">
        <v>2</v>
      </c>
      <c r="G152" s="1"/>
      <c r="H152" s="1">
        <v>1</v>
      </c>
      <c r="I152" s="1"/>
      <c r="J152" s="1"/>
      <c r="K152" s="22"/>
    </row>
    <row r="153" spans="1:11">
      <c r="A153" s="51"/>
      <c r="B153" s="48"/>
      <c r="C153" s="4" t="s">
        <v>113</v>
      </c>
      <c r="D153" s="4" t="s">
        <v>14</v>
      </c>
      <c r="E153" s="1"/>
      <c r="F153" s="1">
        <v>2</v>
      </c>
      <c r="G153" s="1"/>
      <c r="H153" s="1">
        <v>1</v>
      </c>
      <c r="I153" s="1"/>
      <c r="J153" s="1"/>
      <c r="K153" s="22"/>
    </row>
    <row r="154" spans="1:11">
      <c r="A154" s="51"/>
      <c r="B154" s="49"/>
      <c r="C154" s="4" t="s">
        <v>114</v>
      </c>
      <c r="D154" s="4" t="s">
        <v>14</v>
      </c>
      <c r="E154" s="1"/>
      <c r="F154" s="1">
        <v>2</v>
      </c>
      <c r="G154" s="1"/>
      <c r="H154" s="1">
        <v>1</v>
      </c>
      <c r="I154" s="7"/>
      <c r="J154" s="7"/>
      <c r="K154" s="22"/>
    </row>
    <row r="155" spans="1:11">
      <c r="A155" s="51"/>
      <c r="B155" s="27"/>
      <c r="C155" s="4" t="s">
        <v>115</v>
      </c>
      <c r="D155" s="4" t="s">
        <v>14</v>
      </c>
      <c r="E155" s="1"/>
      <c r="F155" s="1">
        <v>2</v>
      </c>
      <c r="G155" s="1"/>
      <c r="H155" s="1">
        <v>1</v>
      </c>
      <c r="I155" s="18"/>
      <c r="J155" s="18"/>
      <c r="K155" s="22"/>
    </row>
    <row r="156" spans="1:11">
      <c r="A156" s="51"/>
      <c r="B156" s="28"/>
      <c r="C156" s="4" t="s">
        <v>120</v>
      </c>
      <c r="D156" s="4" t="s">
        <v>14</v>
      </c>
      <c r="E156" s="1"/>
      <c r="F156" s="1">
        <v>2</v>
      </c>
      <c r="G156" s="1"/>
      <c r="H156" s="1">
        <v>1</v>
      </c>
      <c r="I156" s="1"/>
      <c r="J156" s="1"/>
      <c r="K156" s="22"/>
    </row>
    <row r="157" spans="1:11">
      <c r="A157" s="51"/>
      <c r="B157" s="28"/>
      <c r="C157" s="4"/>
      <c r="D157" s="4"/>
      <c r="E157" s="18"/>
      <c r="F157" s="1"/>
      <c r="G157" s="1"/>
      <c r="H157" s="1"/>
      <c r="I157" s="1"/>
      <c r="J157" s="1"/>
      <c r="K157" s="22"/>
    </row>
    <row r="158" spans="1:11">
      <c r="A158" s="51"/>
      <c r="B158" s="28"/>
      <c r="C158" s="4"/>
      <c r="D158" s="4"/>
      <c r="E158" s="1"/>
      <c r="F158" s="1"/>
      <c r="G158" s="1"/>
      <c r="H158" s="1"/>
      <c r="I158" s="1"/>
      <c r="J158" s="1"/>
      <c r="K158" s="22"/>
    </row>
    <row r="159" spans="1:11">
      <c r="A159" s="51"/>
      <c r="B159" s="28"/>
      <c r="C159" s="4"/>
      <c r="D159" s="4"/>
      <c r="E159" s="1"/>
      <c r="F159" s="1"/>
      <c r="G159" s="1"/>
      <c r="H159" s="1"/>
      <c r="I159" s="1"/>
      <c r="J159" s="1"/>
      <c r="K159" s="23"/>
    </row>
    <row r="160" spans="1:11">
      <c r="A160" s="51"/>
      <c r="B160" s="28"/>
      <c r="C160" s="4" t="s">
        <v>125</v>
      </c>
      <c r="D160" s="4" t="s">
        <v>3</v>
      </c>
      <c r="E160" s="1">
        <v>2</v>
      </c>
      <c r="F160" s="1"/>
      <c r="G160" s="1"/>
      <c r="H160" s="1"/>
      <c r="I160" s="1"/>
      <c r="J160" s="1"/>
      <c r="K160" s="22"/>
    </row>
    <row r="161" spans="1:11">
      <c r="A161" s="51"/>
      <c r="B161" s="28"/>
      <c r="C161" s="4"/>
      <c r="D161" s="4" t="s">
        <v>116</v>
      </c>
      <c r="E161" s="1"/>
      <c r="F161" s="1">
        <v>1</v>
      </c>
      <c r="G161" s="1"/>
      <c r="H161" s="1"/>
      <c r="I161" s="1"/>
      <c r="J161" s="1"/>
      <c r="K161" s="22"/>
    </row>
    <row r="162" spans="1:11">
      <c r="A162" s="51"/>
      <c r="B162" s="28"/>
      <c r="C162" s="4" t="s">
        <v>126</v>
      </c>
      <c r="D162" s="4" t="s">
        <v>3</v>
      </c>
      <c r="E162" s="1">
        <v>2</v>
      </c>
      <c r="F162" s="1"/>
      <c r="G162" s="1"/>
      <c r="H162" s="1"/>
      <c r="I162" s="1"/>
      <c r="J162" s="1"/>
      <c r="K162" s="22"/>
    </row>
    <row r="163" spans="1:11">
      <c r="A163" s="51"/>
      <c r="B163" s="28"/>
      <c r="C163" s="4"/>
      <c r="D163" s="4" t="s">
        <v>116</v>
      </c>
      <c r="E163" s="1"/>
      <c r="F163" s="1">
        <v>1</v>
      </c>
      <c r="G163" s="1"/>
      <c r="H163" s="1"/>
      <c r="I163" s="1"/>
      <c r="J163" s="1"/>
      <c r="K163" s="22"/>
    </row>
    <row r="164" spans="1:11">
      <c r="A164" s="51"/>
      <c r="B164" s="28"/>
      <c r="C164" s="4" t="s">
        <v>121</v>
      </c>
      <c r="D164" s="4" t="s">
        <v>19</v>
      </c>
      <c r="E164" s="17" t="s">
        <v>20</v>
      </c>
      <c r="F164" s="1"/>
      <c r="G164" s="1"/>
      <c r="H164" s="1"/>
      <c r="I164" s="1"/>
      <c r="J164" s="1"/>
      <c r="K164" s="22"/>
    </row>
    <row r="165" spans="1:11">
      <c r="A165" s="51"/>
      <c r="B165" s="47"/>
      <c r="C165" s="4"/>
      <c r="D165" s="4" t="s">
        <v>127</v>
      </c>
      <c r="E165" s="1"/>
      <c r="F165" s="1">
        <v>2</v>
      </c>
      <c r="G165" s="1"/>
      <c r="H165" s="1"/>
      <c r="I165" s="1"/>
      <c r="J165" s="1"/>
      <c r="K165" s="22"/>
    </row>
    <row r="166" spans="1:11">
      <c r="A166" s="51"/>
      <c r="B166" s="48"/>
      <c r="C166" s="4"/>
      <c r="D166" s="4" t="s">
        <v>129</v>
      </c>
      <c r="E166" s="18"/>
      <c r="F166" s="1">
        <v>4</v>
      </c>
      <c r="G166" s="1"/>
      <c r="H166" s="1"/>
      <c r="I166" s="1"/>
      <c r="J166" s="1"/>
      <c r="K166" s="22"/>
    </row>
    <row r="167" spans="1:11">
      <c r="A167" s="51"/>
      <c r="B167" s="48"/>
      <c r="C167" s="4"/>
      <c r="D167" s="4" t="s">
        <v>131</v>
      </c>
      <c r="E167" s="1"/>
      <c r="F167" s="1">
        <v>2</v>
      </c>
      <c r="G167" s="1"/>
      <c r="H167" s="1"/>
      <c r="I167" s="1"/>
      <c r="J167" s="1"/>
      <c r="K167" s="22"/>
    </row>
    <row r="168" spans="1:11">
      <c r="A168" s="51"/>
      <c r="B168" s="48"/>
      <c r="C168" s="4" t="s">
        <v>122</v>
      </c>
      <c r="D168" s="4" t="s">
        <v>128</v>
      </c>
      <c r="E168" s="18">
        <v>2</v>
      </c>
      <c r="F168" s="1"/>
      <c r="G168" s="1"/>
      <c r="H168" s="1">
        <v>1</v>
      </c>
      <c r="I168" s="1">
        <v>1</v>
      </c>
      <c r="J168" s="1"/>
      <c r="K168" s="22"/>
    </row>
    <row r="169" spans="1:11">
      <c r="A169" s="51"/>
      <c r="B169" s="48"/>
      <c r="C169" s="4"/>
      <c r="D169" s="4" t="s">
        <v>132</v>
      </c>
      <c r="E169" s="18"/>
      <c r="F169" s="1">
        <v>2</v>
      </c>
      <c r="G169" s="1"/>
      <c r="H169" s="1"/>
      <c r="I169" s="1"/>
      <c r="J169" s="1"/>
      <c r="K169" s="22"/>
    </row>
    <row r="170" spans="1:11">
      <c r="A170" s="51"/>
      <c r="B170" s="48"/>
      <c r="C170" s="4"/>
      <c r="D170" s="4" t="s">
        <v>133</v>
      </c>
      <c r="E170" s="18"/>
      <c r="F170" s="1"/>
      <c r="G170" s="1"/>
      <c r="H170" s="1"/>
      <c r="I170" s="1">
        <v>4</v>
      </c>
      <c r="J170" s="1"/>
      <c r="K170" s="22"/>
    </row>
    <row r="171" spans="1:11">
      <c r="A171" s="51"/>
      <c r="B171" s="48"/>
      <c r="C171" s="4"/>
      <c r="D171" s="4" t="s">
        <v>134</v>
      </c>
      <c r="E171" s="1"/>
      <c r="F171" s="1">
        <v>4</v>
      </c>
      <c r="G171" s="1"/>
      <c r="H171" s="1"/>
      <c r="I171" s="1"/>
      <c r="J171" s="1"/>
      <c r="K171" s="22"/>
    </row>
    <row r="172" spans="1:11">
      <c r="A172" s="51"/>
      <c r="B172" s="47"/>
      <c r="C172" s="4"/>
      <c r="D172" s="4" t="s">
        <v>130</v>
      </c>
      <c r="E172" s="1"/>
      <c r="F172" s="1">
        <v>8</v>
      </c>
      <c r="G172" s="1"/>
      <c r="H172" s="1">
        <v>4</v>
      </c>
      <c r="I172" s="1"/>
      <c r="J172" s="1"/>
      <c r="K172" s="22"/>
    </row>
    <row r="173" spans="1:11">
      <c r="A173" s="51"/>
      <c r="B173" s="48"/>
      <c r="C173" s="4"/>
      <c r="D173" s="4" t="s">
        <v>22</v>
      </c>
      <c r="E173" s="1"/>
      <c r="F173" s="1">
        <v>1</v>
      </c>
      <c r="G173" s="1"/>
      <c r="H173" s="1"/>
      <c r="I173" s="1"/>
      <c r="J173" s="1"/>
      <c r="K173" s="22"/>
    </row>
    <row r="174" spans="1:11">
      <c r="A174" s="51"/>
      <c r="B174" s="48"/>
      <c r="C174" s="4" t="s">
        <v>123</v>
      </c>
      <c r="D174" s="4"/>
      <c r="E174" s="1"/>
      <c r="F174" s="1"/>
      <c r="G174" s="1"/>
      <c r="H174" s="1"/>
      <c r="I174" s="1"/>
      <c r="J174" s="1"/>
      <c r="K174" s="23"/>
    </row>
    <row r="175" spans="1:11">
      <c r="A175" s="51"/>
      <c r="B175" s="48"/>
      <c r="C175" s="4"/>
      <c r="D175" s="4"/>
      <c r="E175" s="1"/>
      <c r="F175" s="1"/>
      <c r="G175" s="1"/>
      <c r="H175" s="1"/>
      <c r="I175" s="1"/>
      <c r="J175" s="1"/>
      <c r="K175" s="22"/>
    </row>
    <row r="176" spans="1:11">
      <c r="A176" s="51"/>
      <c r="B176" s="48"/>
      <c r="C176" s="4" t="s">
        <v>124</v>
      </c>
      <c r="D176" s="4" t="s">
        <v>21</v>
      </c>
      <c r="E176" s="1">
        <v>2</v>
      </c>
      <c r="F176" s="1"/>
      <c r="G176" s="1"/>
      <c r="H176" s="1">
        <v>1</v>
      </c>
      <c r="I176" s="1">
        <v>1</v>
      </c>
      <c r="J176" s="1"/>
      <c r="K176" s="22"/>
    </row>
    <row r="177" spans="1:11">
      <c r="A177" s="51"/>
      <c r="B177" s="48"/>
      <c r="C177" s="4"/>
      <c r="D177" s="4" t="s">
        <v>135</v>
      </c>
      <c r="E177" s="1"/>
      <c r="F177" s="1"/>
      <c r="G177" s="1"/>
      <c r="H177" s="1">
        <v>1</v>
      </c>
      <c r="I177" s="1"/>
      <c r="J177" s="1"/>
      <c r="K177" s="22"/>
    </row>
    <row r="178" spans="1:11">
      <c r="A178" s="51"/>
      <c r="B178" s="48"/>
      <c r="C178" s="4"/>
      <c r="D178" s="4" t="s">
        <v>136</v>
      </c>
      <c r="E178" s="1"/>
      <c r="F178" s="1">
        <v>3</v>
      </c>
      <c r="G178" s="1"/>
      <c r="H178" s="1"/>
      <c r="I178" s="1"/>
      <c r="J178" s="1"/>
      <c r="K178" s="22"/>
    </row>
    <row r="179" spans="1:11">
      <c r="A179" s="51"/>
      <c r="B179" s="27"/>
      <c r="C179" s="4" t="s">
        <v>137</v>
      </c>
      <c r="D179" s="4" t="s">
        <v>3</v>
      </c>
      <c r="E179" s="1">
        <v>2</v>
      </c>
      <c r="F179" s="1"/>
      <c r="G179" s="1"/>
      <c r="H179" s="1">
        <v>1</v>
      </c>
      <c r="I179" s="1"/>
      <c r="J179" s="1"/>
      <c r="K179" s="22"/>
    </row>
    <row r="180" spans="1:11">
      <c r="A180" s="51"/>
      <c r="B180" s="28"/>
      <c r="C180" s="5"/>
      <c r="D180" s="5" t="s">
        <v>116</v>
      </c>
      <c r="E180" s="1"/>
      <c r="F180" s="1">
        <v>1</v>
      </c>
      <c r="G180" s="1"/>
      <c r="H180" s="1"/>
      <c r="I180" s="1"/>
      <c r="J180" s="1"/>
      <c r="K180" s="22"/>
    </row>
    <row r="181" spans="1:11">
      <c r="A181" s="51"/>
      <c r="B181" s="28"/>
      <c r="C181" s="5" t="s">
        <v>138</v>
      </c>
      <c r="D181" s="4" t="s">
        <v>13</v>
      </c>
      <c r="E181" s="1">
        <v>2</v>
      </c>
      <c r="F181" s="1"/>
      <c r="G181" s="1"/>
      <c r="H181" s="1">
        <v>1</v>
      </c>
      <c r="I181" s="1">
        <v>1</v>
      </c>
      <c r="J181" s="1"/>
      <c r="K181" s="22"/>
    </row>
    <row r="182" spans="1:11">
      <c r="A182" s="51"/>
      <c r="B182" s="28"/>
      <c r="C182" s="5"/>
      <c r="D182" s="5" t="s">
        <v>139</v>
      </c>
      <c r="E182" s="1"/>
      <c r="F182" s="1">
        <v>1</v>
      </c>
      <c r="G182" s="1"/>
      <c r="H182" s="1"/>
      <c r="I182" s="1"/>
      <c r="J182" s="1"/>
      <c r="K182" s="22"/>
    </row>
    <row r="183" spans="1:11">
      <c r="A183" s="51"/>
      <c r="B183" s="28"/>
      <c r="C183" s="5"/>
      <c r="D183" s="5" t="s">
        <v>229</v>
      </c>
      <c r="E183" s="1"/>
      <c r="F183" s="1">
        <v>2</v>
      </c>
      <c r="G183" s="1"/>
      <c r="H183" s="1"/>
      <c r="I183" s="1"/>
      <c r="J183" s="1"/>
      <c r="K183" s="22"/>
    </row>
    <row r="184" spans="1:11">
      <c r="A184" s="51"/>
      <c r="B184" s="28"/>
      <c r="C184" s="5"/>
      <c r="D184" s="5" t="s">
        <v>230</v>
      </c>
      <c r="E184" s="1"/>
      <c r="F184" s="1"/>
      <c r="G184" s="1"/>
      <c r="H184" s="1"/>
      <c r="I184" s="1">
        <v>1</v>
      </c>
      <c r="J184" s="1"/>
      <c r="K184" s="22"/>
    </row>
    <row r="185" spans="1:11">
      <c r="A185" s="51"/>
      <c r="B185" s="28"/>
      <c r="C185" s="5" t="s">
        <v>140</v>
      </c>
      <c r="D185" s="4" t="s">
        <v>15</v>
      </c>
      <c r="E185" s="1"/>
      <c r="F185" s="1">
        <v>2</v>
      </c>
      <c r="G185" s="1"/>
      <c r="H185" s="1">
        <v>1</v>
      </c>
      <c r="I185" s="1"/>
      <c r="J185" s="1"/>
      <c r="K185" s="22"/>
    </row>
    <row r="186" spans="1:11">
      <c r="A186" s="51"/>
      <c r="B186" s="28"/>
      <c r="C186" s="5" t="s">
        <v>141</v>
      </c>
      <c r="D186" s="4" t="s">
        <v>15</v>
      </c>
      <c r="E186" s="1"/>
      <c r="F186" s="1">
        <v>2</v>
      </c>
      <c r="G186" s="1"/>
      <c r="H186" s="1">
        <v>1</v>
      </c>
      <c r="I186" s="1"/>
      <c r="J186" s="1"/>
      <c r="K186" s="22"/>
    </row>
    <row r="187" spans="1:11">
      <c r="A187" s="51"/>
      <c r="B187" s="28"/>
      <c r="C187" s="5"/>
      <c r="D187" s="4"/>
      <c r="E187" s="1"/>
      <c r="F187" s="1"/>
      <c r="G187" s="1"/>
      <c r="H187" s="1"/>
      <c r="I187" s="1"/>
      <c r="J187" s="1"/>
      <c r="K187" s="22"/>
    </row>
    <row r="188" spans="1:11">
      <c r="A188" s="51"/>
      <c r="B188" s="28"/>
      <c r="C188" s="5"/>
      <c r="D188" s="4"/>
      <c r="E188" s="1"/>
      <c r="F188" s="1"/>
      <c r="G188" s="1"/>
      <c r="H188" s="1"/>
      <c r="I188" s="1"/>
      <c r="J188" s="1"/>
      <c r="K188" s="22"/>
    </row>
    <row r="189" spans="1:11">
      <c r="A189" s="51"/>
      <c r="B189" s="28"/>
      <c r="C189" s="5" t="s">
        <v>252</v>
      </c>
      <c r="D189" s="4" t="s">
        <v>15</v>
      </c>
      <c r="E189" s="1"/>
      <c r="F189" s="1">
        <v>2</v>
      </c>
      <c r="G189" s="1"/>
      <c r="H189" s="1">
        <v>1</v>
      </c>
      <c r="I189" s="1"/>
      <c r="J189" s="1"/>
      <c r="K189" s="22"/>
    </row>
    <row r="190" spans="1:11">
      <c r="A190" s="51"/>
      <c r="B190" s="28"/>
      <c r="C190" s="5" t="s">
        <v>108</v>
      </c>
      <c r="D190" s="4" t="s">
        <v>15</v>
      </c>
      <c r="E190" s="1"/>
      <c r="F190" s="1">
        <v>2</v>
      </c>
      <c r="G190" s="1"/>
      <c r="H190" s="1">
        <v>1</v>
      </c>
      <c r="I190" s="1"/>
      <c r="J190" s="1"/>
      <c r="K190" s="22"/>
    </row>
    <row r="191" spans="1:11">
      <c r="A191" s="51"/>
      <c r="B191" s="28"/>
      <c r="C191" s="5" t="s">
        <v>253</v>
      </c>
      <c r="D191" s="4" t="s">
        <v>15</v>
      </c>
      <c r="E191" s="1"/>
      <c r="F191" s="1">
        <v>2</v>
      </c>
      <c r="G191" s="1"/>
      <c r="H191" s="1">
        <v>1</v>
      </c>
      <c r="I191" s="1"/>
      <c r="J191" s="1"/>
      <c r="K191" s="22"/>
    </row>
    <row r="192" spans="1:11">
      <c r="A192" s="51"/>
      <c r="B192" s="28"/>
      <c r="C192" s="5"/>
      <c r="D192" s="4"/>
      <c r="E192" s="1"/>
      <c r="F192" s="1"/>
      <c r="G192" s="1"/>
      <c r="H192" s="1"/>
      <c r="I192" s="1"/>
      <c r="J192" s="1"/>
      <c r="K192" s="22"/>
    </row>
    <row r="193" spans="1:11">
      <c r="A193" s="51"/>
      <c r="B193" s="28"/>
      <c r="C193" s="5"/>
      <c r="D193" s="4"/>
      <c r="E193" s="1"/>
      <c r="F193" s="1"/>
      <c r="G193" s="1"/>
      <c r="H193" s="1"/>
      <c r="I193" s="1"/>
      <c r="J193" s="1"/>
      <c r="K193" s="22"/>
    </row>
    <row r="194" spans="1:11">
      <c r="A194" s="51"/>
      <c r="B194" s="28"/>
      <c r="C194" s="4" t="s">
        <v>231</v>
      </c>
      <c r="D194" s="4" t="s">
        <v>3</v>
      </c>
      <c r="E194" s="1">
        <v>2</v>
      </c>
      <c r="F194" s="1"/>
      <c r="G194" s="1"/>
      <c r="H194" s="1"/>
      <c r="I194" s="1"/>
      <c r="J194" s="1"/>
      <c r="K194" s="22"/>
    </row>
    <row r="195" spans="1:11">
      <c r="A195" s="51"/>
      <c r="B195" s="28"/>
      <c r="C195" s="4"/>
      <c r="D195" s="4" t="s">
        <v>116</v>
      </c>
      <c r="E195" s="1"/>
      <c r="F195" s="1">
        <v>1</v>
      </c>
      <c r="G195" s="1"/>
      <c r="H195" s="1"/>
      <c r="I195" s="1"/>
      <c r="J195" s="1"/>
      <c r="K195" s="22"/>
    </row>
    <row r="196" spans="1:11">
      <c r="A196" s="51"/>
      <c r="B196" s="28"/>
      <c r="C196" s="4" t="s">
        <v>232</v>
      </c>
      <c r="D196" s="4" t="s">
        <v>3</v>
      </c>
      <c r="E196" s="1">
        <v>2</v>
      </c>
      <c r="F196" s="1"/>
      <c r="G196" s="1"/>
      <c r="H196" s="1"/>
      <c r="I196" s="1"/>
      <c r="J196" s="1"/>
      <c r="K196" s="22"/>
    </row>
    <row r="197" spans="1:11">
      <c r="A197" s="51"/>
      <c r="B197" s="28"/>
      <c r="C197" s="4"/>
      <c r="D197" s="4" t="s">
        <v>116</v>
      </c>
      <c r="E197" s="1"/>
      <c r="F197" s="1">
        <v>1</v>
      </c>
      <c r="G197" s="1"/>
      <c r="H197" s="1"/>
      <c r="I197" s="1"/>
      <c r="J197" s="1"/>
      <c r="K197" s="22"/>
    </row>
    <row r="198" spans="1:11">
      <c r="A198" s="51"/>
      <c r="B198" s="28"/>
      <c r="C198" s="4" t="s">
        <v>234</v>
      </c>
      <c r="D198" s="4" t="s">
        <v>235</v>
      </c>
      <c r="E198" s="18">
        <v>2</v>
      </c>
      <c r="F198" s="1"/>
      <c r="G198" s="1"/>
      <c r="H198" s="1">
        <v>1</v>
      </c>
      <c r="I198" s="1"/>
      <c r="J198" s="1"/>
      <c r="K198" s="22"/>
    </row>
    <row r="199" spans="1:11">
      <c r="A199" s="51"/>
      <c r="B199" s="28"/>
      <c r="C199" s="4"/>
      <c r="D199" s="4" t="s">
        <v>195</v>
      </c>
      <c r="E199" s="1"/>
      <c r="F199" s="1">
        <v>2</v>
      </c>
      <c r="G199" s="1"/>
      <c r="H199" s="1"/>
      <c r="I199" s="1"/>
      <c r="J199" s="1"/>
      <c r="K199" s="22"/>
    </row>
    <row r="200" spans="1:11">
      <c r="A200" s="51"/>
      <c r="B200" s="28"/>
      <c r="C200" s="4" t="s">
        <v>236</v>
      </c>
      <c r="D200" s="4" t="s">
        <v>237</v>
      </c>
      <c r="E200" s="18">
        <v>2</v>
      </c>
      <c r="F200" s="1"/>
      <c r="G200" s="1"/>
      <c r="H200" s="1">
        <v>1</v>
      </c>
      <c r="I200" s="1"/>
      <c r="J200" s="1"/>
      <c r="K200" s="22"/>
    </row>
    <row r="201" spans="1:11">
      <c r="A201" s="51"/>
      <c r="B201" s="28"/>
      <c r="C201" s="4"/>
      <c r="D201" s="4"/>
      <c r="E201" s="1"/>
      <c r="F201" s="1"/>
      <c r="G201" s="1"/>
      <c r="H201" s="1"/>
      <c r="I201" s="1"/>
      <c r="J201" s="1"/>
      <c r="K201" s="22"/>
    </row>
    <row r="202" spans="1:11">
      <c r="A202" s="51"/>
      <c r="B202" s="28"/>
      <c r="C202" s="4" t="s">
        <v>233</v>
      </c>
      <c r="D202" s="4" t="s">
        <v>19</v>
      </c>
      <c r="E202" s="17" t="s">
        <v>20</v>
      </c>
      <c r="F202" s="1"/>
      <c r="G202" s="1"/>
      <c r="H202" s="1"/>
      <c r="I202" s="1"/>
      <c r="J202" s="1"/>
      <c r="K202" s="22"/>
    </row>
    <row r="203" spans="1:11">
      <c r="A203" s="51"/>
      <c r="B203" s="28"/>
      <c r="C203" s="5"/>
      <c r="D203" s="4" t="s">
        <v>127</v>
      </c>
      <c r="E203" s="1"/>
      <c r="F203" s="1">
        <v>2</v>
      </c>
      <c r="G203" s="1"/>
      <c r="H203" s="1"/>
      <c r="I203" s="1"/>
      <c r="J203" s="1"/>
      <c r="K203" s="22"/>
    </row>
    <row r="204" spans="1:11">
      <c r="A204" s="51"/>
      <c r="B204" s="28"/>
      <c r="C204" s="5"/>
      <c r="D204" s="4" t="s">
        <v>129</v>
      </c>
      <c r="E204" s="18"/>
      <c r="F204" s="1">
        <v>4</v>
      </c>
      <c r="G204" s="1"/>
      <c r="H204" s="1"/>
      <c r="I204" s="1"/>
      <c r="J204" s="1"/>
      <c r="K204" s="22"/>
    </row>
    <row r="205" spans="1:11">
      <c r="A205" s="51"/>
      <c r="B205" s="28"/>
      <c r="C205" s="5"/>
      <c r="D205" s="4" t="s">
        <v>131</v>
      </c>
      <c r="E205" s="1"/>
      <c r="F205" s="1">
        <v>2</v>
      </c>
      <c r="G205" s="1"/>
      <c r="H205" s="1"/>
      <c r="I205" s="1"/>
      <c r="J205" s="1"/>
      <c r="K205" s="22"/>
    </row>
    <row r="206" spans="1:11">
      <c r="A206" s="51"/>
      <c r="B206" s="28"/>
      <c r="C206" s="5"/>
      <c r="D206" s="5" t="s">
        <v>240</v>
      </c>
      <c r="E206" s="18"/>
      <c r="F206" s="1">
        <v>2</v>
      </c>
      <c r="G206" s="1"/>
      <c r="H206" s="1"/>
      <c r="I206" s="1"/>
      <c r="J206" s="1"/>
      <c r="K206" s="22"/>
    </row>
    <row r="207" spans="1:11">
      <c r="A207" s="51"/>
      <c r="B207" s="28"/>
      <c r="C207" s="5"/>
      <c r="D207" s="4"/>
      <c r="E207" s="1"/>
      <c r="F207" s="1"/>
      <c r="G207" s="1"/>
      <c r="H207" s="1"/>
      <c r="I207" s="1"/>
      <c r="J207" s="1"/>
      <c r="K207" s="22"/>
    </row>
    <row r="208" spans="1:11">
      <c r="A208" s="51"/>
      <c r="B208" s="28"/>
      <c r="C208" s="4" t="s">
        <v>238</v>
      </c>
      <c r="D208" s="4" t="s">
        <v>239</v>
      </c>
      <c r="E208" s="18">
        <v>2</v>
      </c>
      <c r="F208" s="1"/>
      <c r="G208" s="1"/>
      <c r="H208" s="1">
        <v>1</v>
      </c>
      <c r="I208" s="1">
        <v>1</v>
      </c>
      <c r="J208" s="1"/>
      <c r="K208" s="22"/>
    </row>
    <row r="209" spans="1:11">
      <c r="A209" s="51"/>
      <c r="B209" s="28"/>
      <c r="C209" s="4"/>
      <c r="D209" s="4" t="s">
        <v>132</v>
      </c>
      <c r="E209" s="18"/>
      <c r="F209" s="1">
        <v>2</v>
      </c>
      <c r="G209" s="1"/>
      <c r="H209" s="1"/>
      <c r="I209" s="1"/>
      <c r="J209" s="1"/>
      <c r="K209" s="22"/>
    </row>
    <row r="210" spans="1:11">
      <c r="A210" s="51"/>
      <c r="B210" s="28"/>
      <c r="C210" s="4"/>
      <c r="D210" s="4" t="s">
        <v>133</v>
      </c>
      <c r="E210" s="18"/>
      <c r="F210" s="1"/>
      <c r="G210" s="1"/>
      <c r="H210" s="1"/>
      <c r="I210" s="1">
        <v>3</v>
      </c>
      <c r="J210" s="1"/>
      <c r="K210" s="22"/>
    </row>
    <row r="211" spans="1:11">
      <c r="A211" s="51"/>
      <c r="B211" s="28"/>
      <c r="C211" s="4"/>
      <c r="D211" s="4" t="s">
        <v>134</v>
      </c>
      <c r="E211" s="1"/>
      <c r="F211" s="1">
        <v>4</v>
      </c>
      <c r="G211" s="1"/>
      <c r="H211" s="1"/>
      <c r="I211" s="1"/>
      <c r="J211" s="1"/>
      <c r="K211" s="22"/>
    </row>
    <row r="212" spans="1:11">
      <c r="A212" s="51"/>
      <c r="B212" s="28"/>
      <c r="C212" s="4"/>
      <c r="D212" s="4" t="s">
        <v>130</v>
      </c>
      <c r="E212" s="1"/>
      <c r="F212" s="1">
        <v>8</v>
      </c>
      <c r="G212" s="1"/>
      <c r="H212" s="1">
        <v>4</v>
      </c>
      <c r="I212" s="1"/>
      <c r="J212" s="1"/>
      <c r="K212" s="22"/>
    </row>
    <row r="213" spans="1:11">
      <c r="A213" s="51"/>
      <c r="B213" s="28"/>
      <c r="C213" s="4"/>
      <c r="D213" s="4" t="s">
        <v>22</v>
      </c>
      <c r="E213" s="1"/>
      <c r="F213" s="1">
        <v>1</v>
      </c>
      <c r="G213" s="1"/>
      <c r="H213" s="1"/>
      <c r="I213" s="1"/>
      <c r="J213" s="1"/>
      <c r="K213" s="22"/>
    </row>
    <row r="214" spans="1:11">
      <c r="A214" s="51"/>
      <c r="B214" s="28"/>
      <c r="C214" s="5"/>
      <c r="D214" s="4"/>
      <c r="E214" s="1"/>
      <c r="F214" s="1"/>
      <c r="G214" s="1"/>
      <c r="H214" s="1"/>
      <c r="I214" s="1"/>
      <c r="J214" s="1"/>
      <c r="K214" s="22"/>
    </row>
    <row r="215" spans="1:11">
      <c r="A215" s="51"/>
      <c r="B215" s="28"/>
      <c r="C215" s="5" t="s">
        <v>241</v>
      </c>
      <c r="D215" s="4" t="s">
        <v>249</v>
      </c>
      <c r="E215" s="1">
        <v>2</v>
      </c>
      <c r="F215" s="1"/>
      <c r="G215" s="1"/>
      <c r="H215" s="1">
        <v>1</v>
      </c>
      <c r="I215" s="1"/>
      <c r="J215" s="1"/>
      <c r="K215" s="22"/>
    </row>
    <row r="216" spans="1:11">
      <c r="A216" s="51"/>
      <c r="B216" s="28"/>
      <c r="C216" s="5"/>
      <c r="D216" s="4" t="s">
        <v>250</v>
      </c>
      <c r="E216" s="1"/>
      <c r="F216" s="1"/>
      <c r="G216" s="1"/>
      <c r="H216" s="1">
        <v>1</v>
      </c>
      <c r="I216" s="1"/>
      <c r="J216" s="1"/>
      <c r="K216" s="22"/>
    </row>
    <row r="217" spans="1:11">
      <c r="A217" s="51"/>
      <c r="B217" s="28"/>
      <c r="C217" s="5" t="s">
        <v>242</v>
      </c>
      <c r="D217" s="4" t="s">
        <v>244</v>
      </c>
      <c r="E217" s="1">
        <v>2</v>
      </c>
      <c r="F217" s="1"/>
      <c r="G217" s="1"/>
      <c r="H217" s="1">
        <v>1</v>
      </c>
      <c r="I217" s="1"/>
      <c r="J217" s="1"/>
      <c r="K217" s="22"/>
    </row>
    <row r="218" spans="1:11">
      <c r="A218" s="51"/>
      <c r="B218" s="28"/>
      <c r="C218" s="5" t="s">
        <v>243</v>
      </c>
      <c r="D218" s="4" t="s">
        <v>244</v>
      </c>
      <c r="E218" s="1">
        <v>2</v>
      </c>
      <c r="F218" s="1"/>
      <c r="G218" s="1"/>
      <c r="H218" s="1">
        <v>1</v>
      </c>
      <c r="I218" s="1"/>
      <c r="J218" s="1"/>
      <c r="K218" s="22"/>
    </row>
    <row r="219" spans="1:11">
      <c r="A219" s="51"/>
      <c r="B219" s="28"/>
      <c r="C219" s="5" t="s">
        <v>245</v>
      </c>
      <c r="D219" s="4" t="s">
        <v>21</v>
      </c>
      <c r="E219" s="1">
        <v>2</v>
      </c>
      <c r="F219" s="1"/>
      <c r="G219" s="1"/>
      <c r="H219" s="1">
        <v>1</v>
      </c>
      <c r="I219" s="1">
        <v>1</v>
      </c>
      <c r="J219" s="1"/>
      <c r="K219" s="22"/>
    </row>
    <row r="220" spans="1:11">
      <c r="A220" s="51"/>
      <c r="B220" s="28"/>
      <c r="C220" s="5" t="s">
        <v>246</v>
      </c>
      <c r="D220" s="4" t="s">
        <v>136</v>
      </c>
      <c r="E220" s="1">
        <v>2</v>
      </c>
      <c r="F220" s="1"/>
      <c r="G220" s="1"/>
      <c r="H220" s="1">
        <v>2</v>
      </c>
      <c r="I220" s="1"/>
      <c r="J220" s="1"/>
      <c r="K220" s="22"/>
    </row>
    <row r="221" spans="1:11">
      <c r="A221" s="51"/>
      <c r="B221" s="28"/>
      <c r="C221" s="5"/>
      <c r="D221" s="4" t="s">
        <v>200</v>
      </c>
      <c r="E221" s="1"/>
      <c r="F221" s="1">
        <v>3</v>
      </c>
      <c r="G221" s="1"/>
      <c r="H221" s="1"/>
      <c r="I221" s="1"/>
      <c r="J221" s="1"/>
      <c r="K221" s="22"/>
    </row>
    <row r="222" spans="1:11">
      <c r="A222" s="51"/>
      <c r="B222" s="28"/>
      <c r="C222" s="5" t="s">
        <v>247</v>
      </c>
      <c r="D222" s="4" t="s">
        <v>3</v>
      </c>
      <c r="E222" s="1">
        <v>2</v>
      </c>
      <c r="F222" s="1"/>
      <c r="G222" s="1"/>
      <c r="H222" s="1">
        <v>1</v>
      </c>
      <c r="I222" s="1"/>
      <c r="J222" s="1"/>
      <c r="K222" s="22"/>
    </row>
    <row r="223" spans="1:11">
      <c r="A223" s="51"/>
      <c r="B223" s="28"/>
      <c r="C223" s="5"/>
      <c r="D223" s="5" t="s">
        <v>116</v>
      </c>
      <c r="E223" s="1"/>
      <c r="F223" s="1">
        <v>1</v>
      </c>
      <c r="G223" s="1"/>
      <c r="H223" s="1"/>
      <c r="I223" s="1"/>
      <c r="J223" s="1"/>
      <c r="K223" s="22"/>
    </row>
    <row r="224" spans="1:11">
      <c r="A224" s="51"/>
      <c r="B224" s="28"/>
      <c r="C224" s="5" t="s">
        <v>248</v>
      </c>
      <c r="D224" s="4" t="s">
        <v>14</v>
      </c>
      <c r="E224" s="1"/>
      <c r="F224" s="1">
        <v>2</v>
      </c>
      <c r="G224" s="1"/>
      <c r="H224" s="1">
        <v>1</v>
      </c>
      <c r="I224" s="1"/>
      <c r="J224" s="1"/>
      <c r="K224" s="22"/>
    </row>
    <row r="225" spans="1:11">
      <c r="A225" s="51"/>
      <c r="B225" s="28"/>
      <c r="C225" s="5" t="s">
        <v>248</v>
      </c>
      <c r="D225" s="4" t="s">
        <v>14</v>
      </c>
      <c r="E225" s="1"/>
      <c r="F225" s="1">
        <v>2</v>
      </c>
      <c r="G225" s="1"/>
      <c r="H225" s="1">
        <v>1</v>
      </c>
      <c r="I225" s="1"/>
      <c r="J225" s="1"/>
      <c r="K225" s="22"/>
    </row>
    <row r="226" spans="1:11">
      <c r="A226" s="51"/>
      <c r="B226" s="28"/>
      <c r="C226" s="5"/>
      <c r="D226" s="4"/>
      <c r="E226" s="1"/>
      <c r="F226" s="1"/>
      <c r="G226" s="1"/>
      <c r="H226" s="1"/>
      <c r="I226" s="1"/>
      <c r="J226" s="1"/>
      <c r="K226" s="22"/>
    </row>
    <row r="227" spans="1:11">
      <c r="A227" s="51"/>
      <c r="B227" s="28"/>
      <c r="C227" s="5"/>
      <c r="D227" s="4"/>
      <c r="E227" s="1"/>
      <c r="F227" s="1"/>
      <c r="G227" s="1"/>
      <c r="H227" s="1"/>
      <c r="I227" s="1"/>
      <c r="J227" s="1"/>
      <c r="K227" s="22"/>
    </row>
    <row r="228" spans="1:11" ht="15" customHeight="1">
      <c r="A228" s="51"/>
      <c r="B228" s="28"/>
      <c r="C228" s="5"/>
      <c r="D228" s="4"/>
      <c r="E228" s="18"/>
      <c r="F228" s="18"/>
      <c r="G228" s="1"/>
      <c r="H228" s="1"/>
      <c r="I228" s="1"/>
      <c r="J228" s="1"/>
      <c r="K228" s="22"/>
    </row>
    <row r="229" spans="1:11">
      <c r="A229" s="51"/>
      <c r="B229" s="28"/>
      <c r="C229" s="4" t="s">
        <v>143</v>
      </c>
      <c r="D229" s="4" t="s">
        <v>27</v>
      </c>
      <c r="E229" s="1"/>
      <c r="F229" s="1"/>
      <c r="G229" s="1"/>
      <c r="H229" s="1">
        <v>1</v>
      </c>
      <c r="I229" s="1"/>
      <c r="J229" s="1"/>
      <c r="K229" s="22"/>
    </row>
    <row r="230" spans="1:11">
      <c r="A230" s="51"/>
      <c r="B230" s="28"/>
      <c r="C230" s="4"/>
      <c r="D230" s="4" t="s">
        <v>22</v>
      </c>
      <c r="E230" s="18"/>
      <c r="F230" s="1">
        <v>2</v>
      </c>
      <c r="G230" s="1"/>
      <c r="H230" s="1"/>
      <c r="I230" s="1"/>
      <c r="J230" s="1"/>
      <c r="K230" s="22"/>
    </row>
    <row r="231" spans="1:11">
      <c r="A231" s="51"/>
      <c r="B231" s="28"/>
      <c r="C231" s="4" t="s">
        <v>144</v>
      </c>
      <c r="D231" s="4" t="s">
        <v>27</v>
      </c>
      <c r="E231" s="18"/>
      <c r="F231" s="1"/>
      <c r="G231" s="1"/>
      <c r="H231" s="1">
        <v>1</v>
      </c>
      <c r="I231" s="1"/>
      <c r="J231" s="1"/>
      <c r="K231" s="22"/>
    </row>
    <row r="232" spans="1:11">
      <c r="A232" s="51"/>
      <c r="B232" s="28"/>
      <c r="C232" s="4"/>
      <c r="D232" s="4" t="s">
        <v>22</v>
      </c>
      <c r="E232" s="18"/>
      <c r="F232" s="1">
        <v>2</v>
      </c>
      <c r="G232" s="1"/>
      <c r="H232" s="1"/>
      <c r="I232" s="1"/>
      <c r="J232" s="1"/>
      <c r="K232" s="22"/>
    </row>
    <row r="233" spans="1:11">
      <c r="A233" s="51"/>
      <c r="B233" s="28"/>
      <c r="C233" s="4" t="s">
        <v>145</v>
      </c>
      <c r="D233" s="4" t="s">
        <v>27</v>
      </c>
      <c r="E233" s="18"/>
      <c r="F233" s="1"/>
      <c r="G233" s="1"/>
      <c r="H233" s="1">
        <v>1</v>
      </c>
      <c r="I233" s="1"/>
      <c r="J233" s="1"/>
      <c r="K233" s="22"/>
    </row>
    <row r="234" spans="1:11">
      <c r="A234" s="51"/>
      <c r="B234" s="28"/>
      <c r="C234" s="4"/>
      <c r="D234" s="4" t="s">
        <v>22</v>
      </c>
      <c r="E234" s="18"/>
      <c r="F234" s="1">
        <v>2</v>
      </c>
      <c r="G234" s="1"/>
      <c r="H234" s="1"/>
      <c r="I234" s="1"/>
      <c r="J234" s="1"/>
      <c r="K234" s="22"/>
    </row>
    <row r="235" spans="1:11">
      <c r="A235" s="51"/>
      <c r="B235" s="28"/>
      <c r="C235" s="4" t="s">
        <v>146</v>
      </c>
      <c r="D235" s="4" t="s">
        <v>27</v>
      </c>
      <c r="E235" s="18"/>
      <c r="F235" s="1"/>
      <c r="G235" s="1"/>
      <c r="H235" s="1">
        <v>1</v>
      </c>
      <c r="I235" s="1"/>
      <c r="J235" s="1"/>
      <c r="K235" s="22"/>
    </row>
    <row r="236" spans="1:11">
      <c r="A236" s="51"/>
      <c r="B236" s="28"/>
      <c r="C236" s="4"/>
      <c r="D236" s="4" t="s">
        <v>22</v>
      </c>
      <c r="E236" s="18"/>
      <c r="F236" s="1">
        <v>2</v>
      </c>
      <c r="G236" s="1"/>
      <c r="H236" s="1"/>
      <c r="I236" s="1"/>
      <c r="J236" s="1"/>
      <c r="K236" s="23"/>
    </row>
    <row r="237" spans="1:11">
      <c r="A237" s="51"/>
      <c r="B237" s="28"/>
      <c r="C237" s="4" t="s">
        <v>147</v>
      </c>
      <c r="D237" s="4" t="s">
        <v>27</v>
      </c>
      <c r="E237" s="18"/>
      <c r="F237" s="1"/>
      <c r="G237" s="1"/>
      <c r="H237" s="1">
        <v>1</v>
      </c>
      <c r="I237" s="1"/>
      <c r="J237" s="1"/>
      <c r="K237" s="22"/>
    </row>
    <row r="238" spans="1:11">
      <c r="A238" s="51"/>
      <c r="B238" s="28"/>
      <c r="C238" s="4"/>
      <c r="D238" s="4" t="s">
        <v>22</v>
      </c>
      <c r="E238" s="1"/>
      <c r="F238" s="1">
        <v>2</v>
      </c>
      <c r="G238" s="1"/>
      <c r="H238" s="1"/>
      <c r="I238" s="1"/>
      <c r="J238" s="1"/>
      <c r="K238" s="22"/>
    </row>
    <row r="239" spans="1:11">
      <c r="A239" s="51"/>
      <c r="B239" s="28"/>
      <c r="C239" s="4" t="s">
        <v>142</v>
      </c>
      <c r="D239" s="4" t="s">
        <v>27</v>
      </c>
      <c r="E239" s="1"/>
      <c r="F239" s="1"/>
      <c r="G239" s="1"/>
      <c r="H239" s="1">
        <v>1</v>
      </c>
      <c r="I239" s="1"/>
      <c r="J239" s="1"/>
      <c r="K239" s="22"/>
    </row>
    <row r="240" spans="1:11">
      <c r="A240" s="51"/>
      <c r="B240" s="28"/>
      <c r="C240" s="4"/>
      <c r="D240" s="4" t="s">
        <v>22</v>
      </c>
      <c r="E240" s="1"/>
      <c r="F240" s="1">
        <v>2</v>
      </c>
      <c r="G240" s="1"/>
      <c r="H240" s="1"/>
      <c r="I240" s="1"/>
      <c r="J240" s="1"/>
      <c r="K240" s="22"/>
    </row>
    <row r="241" spans="1:11">
      <c r="A241" s="51"/>
      <c r="B241" s="28"/>
      <c r="C241" s="4" t="s">
        <v>148</v>
      </c>
      <c r="D241" s="4" t="s">
        <v>27</v>
      </c>
      <c r="E241" s="1"/>
      <c r="F241" s="1"/>
      <c r="G241" s="1"/>
      <c r="H241" s="1">
        <v>1</v>
      </c>
      <c r="I241" s="1"/>
      <c r="J241" s="1"/>
      <c r="K241" s="22"/>
    </row>
    <row r="242" spans="1:11">
      <c r="A242" s="51"/>
      <c r="B242" s="28"/>
      <c r="C242" s="4"/>
      <c r="D242" s="4" t="s">
        <v>22</v>
      </c>
      <c r="E242" s="1"/>
      <c r="F242" s="1">
        <v>2</v>
      </c>
      <c r="G242" s="1"/>
      <c r="H242" s="1"/>
      <c r="I242" s="1"/>
      <c r="J242" s="1"/>
      <c r="K242" s="22"/>
    </row>
    <row r="243" spans="1:11">
      <c r="A243" s="51"/>
      <c r="B243" s="28"/>
      <c r="C243" s="4" t="s">
        <v>149</v>
      </c>
      <c r="D243" s="4" t="s">
        <v>27</v>
      </c>
      <c r="E243" s="1"/>
      <c r="F243" s="1"/>
      <c r="G243" s="1"/>
      <c r="H243" s="1">
        <v>1</v>
      </c>
      <c r="I243" s="1"/>
      <c r="J243" s="1"/>
      <c r="K243" s="22"/>
    </row>
    <row r="244" spans="1:11">
      <c r="A244" s="51"/>
      <c r="B244" s="28"/>
      <c r="C244" s="4"/>
      <c r="D244" s="4" t="s">
        <v>22</v>
      </c>
      <c r="E244" s="18"/>
      <c r="F244" s="1">
        <v>2</v>
      </c>
      <c r="G244" s="1"/>
      <c r="H244" s="1"/>
      <c r="I244" s="1"/>
      <c r="J244" s="1"/>
      <c r="K244" s="22"/>
    </row>
    <row r="245" spans="1:11">
      <c r="A245" s="51"/>
      <c r="B245" s="28"/>
      <c r="C245" s="4" t="s">
        <v>150</v>
      </c>
      <c r="D245" s="4" t="s">
        <v>27</v>
      </c>
      <c r="E245" s="18"/>
      <c r="F245" s="1"/>
      <c r="G245" s="1"/>
      <c r="H245" s="1">
        <v>1</v>
      </c>
      <c r="I245" s="1"/>
      <c r="J245" s="1"/>
      <c r="K245" s="22"/>
    </row>
    <row r="246" spans="1:11">
      <c r="A246" s="51"/>
      <c r="B246" s="28"/>
      <c r="C246" s="4"/>
      <c r="D246" s="4" t="s">
        <v>22</v>
      </c>
      <c r="E246" s="18"/>
      <c r="F246" s="1">
        <v>2</v>
      </c>
      <c r="G246" s="1"/>
      <c r="H246" s="1"/>
      <c r="I246" s="1"/>
      <c r="J246" s="1"/>
      <c r="K246" s="22"/>
    </row>
    <row r="247" spans="1:11">
      <c r="A247" s="51"/>
      <c r="B247" s="28"/>
      <c r="C247" s="4" t="s">
        <v>151</v>
      </c>
      <c r="D247" s="4" t="s">
        <v>27</v>
      </c>
      <c r="E247" s="18"/>
      <c r="F247" s="1"/>
      <c r="G247" s="1"/>
      <c r="H247" s="1">
        <v>1</v>
      </c>
      <c r="I247" s="1"/>
      <c r="J247" s="1"/>
      <c r="K247" s="22"/>
    </row>
    <row r="248" spans="1:11">
      <c r="A248" s="51"/>
      <c r="B248" s="28"/>
      <c r="C248" s="4"/>
      <c r="D248" s="4" t="s">
        <v>22</v>
      </c>
      <c r="E248" s="18"/>
      <c r="F248" s="1">
        <v>2</v>
      </c>
      <c r="G248" s="1"/>
      <c r="H248" s="1"/>
      <c r="I248" s="1"/>
      <c r="J248" s="1"/>
      <c r="K248" s="22"/>
    </row>
    <row r="249" spans="1:11">
      <c r="A249" s="51"/>
      <c r="B249" s="28"/>
      <c r="C249" s="4" t="s">
        <v>152</v>
      </c>
      <c r="D249" s="4" t="s">
        <v>27</v>
      </c>
      <c r="E249" s="18"/>
      <c r="F249" s="1"/>
      <c r="G249" s="1"/>
      <c r="H249" s="1">
        <v>1</v>
      </c>
      <c r="I249" s="1"/>
      <c r="J249" s="1"/>
      <c r="K249" s="22"/>
    </row>
    <row r="250" spans="1:11">
      <c r="A250" s="51"/>
      <c r="B250" s="28"/>
      <c r="C250" s="4"/>
      <c r="D250" s="4" t="s">
        <v>22</v>
      </c>
      <c r="E250" s="18"/>
      <c r="F250" s="1">
        <v>2</v>
      </c>
      <c r="G250" s="1"/>
      <c r="H250" s="1"/>
      <c r="I250" s="1"/>
      <c r="J250" s="1"/>
      <c r="K250" s="22"/>
    </row>
    <row r="251" spans="1:11">
      <c r="A251" s="51"/>
      <c r="B251" s="28"/>
      <c r="C251" s="4" t="s">
        <v>160</v>
      </c>
      <c r="D251" s="4" t="s">
        <v>14</v>
      </c>
      <c r="E251" s="18"/>
      <c r="F251" s="1">
        <v>2</v>
      </c>
      <c r="G251" s="1"/>
      <c r="H251" s="1">
        <v>1</v>
      </c>
      <c r="I251" s="1"/>
      <c r="J251" s="1"/>
      <c r="K251" s="22"/>
    </row>
    <row r="252" spans="1:11">
      <c r="A252" s="51"/>
      <c r="B252" s="28"/>
      <c r="C252" s="4" t="s">
        <v>159</v>
      </c>
      <c r="D252" s="4" t="s">
        <v>14</v>
      </c>
      <c r="E252" s="18"/>
      <c r="F252" s="1">
        <v>2</v>
      </c>
      <c r="G252" s="1"/>
      <c r="H252" s="1">
        <v>1</v>
      </c>
      <c r="I252" s="1"/>
      <c r="J252" s="1"/>
      <c r="K252" s="22"/>
    </row>
    <row r="253" spans="1:11">
      <c r="A253" s="51"/>
      <c r="B253" s="28"/>
      <c r="C253" s="4" t="s">
        <v>161</v>
      </c>
      <c r="D253" s="4" t="s">
        <v>14</v>
      </c>
      <c r="E253" s="18"/>
      <c r="F253" s="1">
        <v>2</v>
      </c>
      <c r="G253" s="1"/>
      <c r="H253" s="1">
        <v>1</v>
      </c>
      <c r="I253" s="1"/>
      <c r="J253" s="1"/>
      <c r="K253" s="22"/>
    </row>
    <row r="254" spans="1:11">
      <c r="A254" s="51"/>
      <c r="B254" s="28"/>
      <c r="C254" s="4" t="s">
        <v>162</v>
      </c>
      <c r="D254" s="4" t="s">
        <v>14</v>
      </c>
      <c r="E254" s="18"/>
      <c r="F254" s="1">
        <v>2</v>
      </c>
      <c r="G254" s="1"/>
      <c r="H254" s="1">
        <v>1</v>
      </c>
      <c r="I254" s="1"/>
      <c r="J254" s="1"/>
      <c r="K254" s="22"/>
    </row>
    <row r="255" spans="1:11">
      <c r="A255" s="51"/>
      <c r="B255" s="28"/>
      <c r="C255" s="4" t="s">
        <v>163</v>
      </c>
      <c r="D255" s="4" t="s">
        <v>14</v>
      </c>
      <c r="E255" s="18"/>
      <c r="F255" s="1">
        <v>2</v>
      </c>
      <c r="G255" s="1"/>
      <c r="H255" s="1">
        <v>1</v>
      </c>
      <c r="I255" s="1"/>
      <c r="J255" s="1"/>
      <c r="K255" s="22"/>
    </row>
    <row r="256" spans="1:11">
      <c r="A256" s="51"/>
      <c r="B256" s="28"/>
      <c r="C256" s="4" t="s">
        <v>164</v>
      </c>
      <c r="D256" s="4" t="s">
        <v>14</v>
      </c>
      <c r="E256" s="18"/>
      <c r="F256" s="1">
        <v>2</v>
      </c>
      <c r="G256" s="1"/>
      <c r="H256" s="1">
        <v>1</v>
      </c>
      <c r="I256" s="1"/>
      <c r="J256" s="1"/>
      <c r="K256" s="22"/>
    </row>
    <row r="257" spans="1:11">
      <c r="A257" s="51"/>
      <c r="B257" s="28"/>
      <c r="C257" s="4" t="s">
        <v>165</v>
      </c>
      <c r="D257" s="4" t="s">
        <v>14</v>
      </c>
      <c r="E257" s="18"/>
      <c r="F257" s="1">
        <v>2</v>
      </c>
      <c r="G257" s="1"/>
      <c r="H257" s="1">
        <v>1</v>
      </c>
      <c r="I257" s="1"/>
      <c r="J257" s="1"/>
      <c r="K257" s="22"/>
    </row>
    <row r="258" spans="1:11">
      <c r="A258" s="51"/>
      <c r="B258" s="28"/>
      <c r="C258" s="4" t="s">
        <v>166</v>
      </c>
      <c r="D258" s="4" t="s">
        <v>14</v>
      </c>
      <c r="E258" s="18"/>
      <c r="F258" s="1">
        <v>2</v>
      </c>
      <c r="G258" s="1"/>
      <c r="H258" s="1">
        <v>1</v>
      </c>
      <c r="I258" s="1"/>
      <c r="J258" s="1"/>
      <c r="K258" s="22"/>
    </row>
    <row r="259" spans="1:11">
      <c r="A259" s="51"/>
      <c r="B259" s="28"/>
      <c r="C259" s="4" t="s">
        <v>167</v>
      </c>
      <c r="D259" s="4" t="s">
        <v>14</v>
      </c>
      <c r="E259" s="18"/>
      <c r="F259" s="1">
        <v>2</v>
      </c>
      <c r="G259" s="1"/>
      <c r="H259" s="1">
        <v>1</v>
      </c>
      <c r="I259" s="1"/>
      <c r="J259" s="1"/>
      <c r="K259" s="22"/>
    </row>
    <row r="260" spans="1:11">
      <c r="A260" s="51"/>
      <c r="B260" s="28"/>
      <c r="C260" s="4" t="s">
        <v>168</v>
      </c>
      <c r="D260" s="4" t="s">
        <v>14</v>
      </c>
      <c r="E260" s="18"/>
      <c r="F260" s="1">
        <v>2</v>
      </c>
      <c r="G260" s="1"/>
      <c r="H260" s="1">
        <v>1</v>
      </c>
      <c r="I260" s="1"/>
      <c r="J260" s="1"/>
      <c r="K260" s="22"/>
    </row>
    <row r="261" spans="1:11">
      <c r="A261" s="51"/>
      <c r="B261" s="28"/>
      <c r="C261" s="4" t="s">
        <v>169</v>
      </c>
      <c r="D261" s="4" t="s">
        <v>14</v>
      </c>
      <c r="E261" s="18"/>
      <c r="F261" s="1">
        <v>2</v>
      </c>
      <c r="G261" s="1"/>
      <c r="H261" s="1">
        <v>1</v>
      </c>
      <c r="I261" s="1"/>
      <c r="J261" s="1"/>
      <c r="K261" s="22"/>
    </row>
    <row r="262" spans="1:11">
      <c r="A262" s="51"/>
      <c r="B262" s="28"/>
      <c r="C262" s="4" t="s">
        <v>170</v>
      </c>
      <c r="D262" s="4" t="s">
        <v>14</v>
      </c>
      <c r="E262" s="18"/>
      <c r="F262" s="1">
        <v>2</v>
      </c>
      <c r="G262" s="1"/>
      <c r="H262" s="1">
        <v>1</v>
      </c>
      <c r="I262" s="1"/>
      <c r="J262" s="1"/>
      <c r="K262" s="22"/>
    </row>
    <row r="263" spans="1:11">
      <c r="A263" s="51"/>
      <c r="B263" s="28"/>
      <c r="C263" s="4" t="s">
        <v>171</v>
      </c>
      <c r="D263" s="4" t="s">
        <v>14</v>
      </c>
      <c r="E263" s="18"/>
      <c r="F263" s="1">
        <v>2</v>
      </c>
      <c r="G263" s="1"/>
      <c r="H263" s="1">
        <v>1</v>
      </c>
      <c r="I263" s="1"/>
      <c r="J263" s="1"/>
      <c r="K263" s="22"/>
    </row>
    <row r="264" spans="1:11">
      <c r="A264" s="51"/>
      <c r="B264" s="28"/>
      <c r="C264" s="4" t="s">
        <v>172</v>
      </c>
      <c r="D264" s="4" t="s">
        <v>14</v>
      </c>
      <c r="E264" s="18"/>
      <c r="F264" s="1">
        <v>2</v>
      </c>
      <c r="G264" s="1"/>
      <c r="H264" s="1">
        <v>1</v>
      </c>
      <c r="I264" s="1"/>
      <c r="J264" s="1"/>
      <c r="K264" s="22"/>
    </row>
    <row r="265" spans="1:11">
      <c r="A265" s="51"/>
      <c r="B265" s="28"/>
      <c r="C265" s="4" t="s">
        <v>173</v>
      </c>
      <c r="D265" s="4" t="s">
        <v>14</v>
      </c>
      <c r="E265" s="18"/>
      <c r="F265" s="1">
        <v>2</v>
      </c>
      <c r="G265" s="1"/>
      <c r="H265" s="1">
        <v>1</v>
      </c>
      <c r="I265" s="1"/>
      <c r="J265" s="1"/>
      <c r="K265" s="22"/>
    </row>
    <row r="266" spans="1:11">
      <c r="A266" s="51"/>
      <c r="B266" s="28"/>
      <c r="C266" s="4" t="s">
        <v>174</v>
      </c>
      <c r="D266" s="4" t="s">
        <v>14</v>
      </c>
      <c r="E266" s="18"/>
      <c r="F266" s="1">
        <v>2</v>
      </c>
      <c r="G266" s="1"/>
      <c r="H266" s="1">
        <v>1</v>
      </c>
      <c r="I266" s="1"/>
      <c r="J266" s="1"/>
      <c r="K266" s="22"/>
    </row>
    <row r="267" spans="1:11">
      <c r="A267" s="51"/>
      <c r="B267" s="28"/>
      <c r="C267" s="4" t="s">
        <v>175</v>
      </c>
      <c r="D267" s="4" t="s">
        <v>14</v>
      </c>
      <c r="E267" s="18"/>
      <c r="F267" s="1">
        <v>2</v>
      </c>
      <c r="G267" s="1"/>
      <c r="H267" s="1">
        <v>1</v>
      </c>
      <c r="I267" s="1"/>
      <c r="J267" s="1"/>
      <c r="K267" s="22"/>
    </row>
    <row r="268" spans="1:11">
      <c r="A268" s="51"/>
      <c r="B268" s="28"/>
      <c r="C268" s="4" t="s">
        <v>176</v>
      </c>
      <c r="D268" s="4" t="s">
        <v>14</v>
      </c>
      <c r="E268" s="18"/>
      <c r="F268" s="1">
        <v>2</v>
      </c>
      <c r="G268" s="1"/>
      <c r="H268" s="1">
        <v>1</v>
      </c>
      <c r="I268" s="1"/>
      <c r="J268" s="1"/>
      <c r="K268" s="22"/>
    </row>
    <row r="269" spans="1:11">
      <c r="A269" s="51"/>
      <c r="B269" s="28"/>
      <c r="C269" s="4"/>
      <c r="D269" s="4"/>
      <c r="E269" s="18"/>
      <c r="F269" s="1"/>
      <c r="G269" s="1"/>
      <c r="H269" s="1"/>
      <c r="I269" s="1"/>
      <c r="J269" s="1"/>
      <c r="K269" s="22"/>
    </row>
    <row r="270" spans="1:11">
      <c r="A270" s="51"/>
      <c r="B270" s="28"/>
      <c r="C270" s="4"/>
      <c r="D270" s="4"/>
      <c r="E270" s="18"/>
      <c r="F270" s="1"/>
      <c r="G270" s="1"/>
      <c r="H270" s="1"/>
      <c r="I270" s="1"/>
      <c r="J270" s="1"/>
      <c r="K270" s="22"/>
    </row>
    <row r="271" spans="1:11">
      <c r="A271" s="51"/>
      <c r="B271" s="28"/>
      <c r="C271" s="4" t="s">
        <v>189</v>
      </c>
      <c r="D271" s="4" t="s">
        <v>3</v>
      </c>
      <c r="E271" s="18">
        <v>2</v>
      </c>
      <c r="F271" s="1"/>
      <c r="G271" s="1"/>
      <c r="H271" s="1">
        <v>1</v>
      </c>
      <c r="I271" s="1"/>
      <c r="J271" s="1"/>
      <c r="K271" s="22"/>
    </row>
    <row r="272" spans="1:11">
      <c r="A272" s="51"/>
      <c r="B272" s="28"/>
      <c r="C272" s="4"/>
      <c r="D272" s="4" t="s">
        <v>116</v>
      </c>
      <c r="E272" s="18"/>
      <c r="F272" s="1">
        <v>1</v>
      </c>
      <c r="G272" s="1"/>
      <c r="H272" s="1"/>
      <c r="I272" s="1"/>
      <c r="J272" s="1"/>
      <c r="K272" s="22"/>
    </row>
    <row r="273" spans="1:11">
      <c r="A273" s="51"/>
      <c r="B273" s="28"/>
      <c r="C273" s="4" t="s">
        <v>190</v>
      </c>
      <c r="D273" s="4" t="s">
        <v>3</v>
      </c>
      <c r="E273" s="18">
        <v>2</v>
      </c>
      <c r="F273" s="1"/>
      <c r="G273" s="1"/>
      <c r="H273" s="1">
        <v>1</v>
      </c>
      <c r="I273" s="1"/>
      <c r="J273" s="1"/>
      <c r="K273" s="22"/>
    </row>
    <row r="274" spans="1:11">
      <c r="A274" s="51"/>
      <c r="B274" s="28"/>
      <c r="C274" s="4"/>
      <c r="D274" s="4" t="s">
        <v>116</v>
      </c>
      <c r="E274" s="18"/>
      <c r="F274" s="1">
        <v>1</v>
      </c>
      <c r="G274" s="1"/>
      <c r="H274" s="1"/>
      <c r="I274" s="1"/>
      <c r="J274" s="1"/>
      <c r="K274" s="22"/>
    </row>
    <row r="275" spans="1:11">
      <c r="A275" s="51"/>
      <c r="B275" s="28"/>
      <c r="C275" s="4" t="s">
        <v>191</v>
      </c>
      <c r="D275" s="4" t="s">
        <v>3</v>
      </c>
      <c r="E275" s="18">
        <v>2</v>
      </c>
      <c r="F275" s="1"/>
      <c r="G275" s="1"/>
      <c r="H275" s="1">
        <v>1</v>
      </c>
      <c r="I275" s="1"/>
      <c r="J275" s="1"/>
      <c r="K275" s="22"/>
    </row>
    <row r="276" spans="1:11">
      <c r="A276" s="51"/>
      <c r="B276" s="28"/>
      <c r="C276" s="4"/>
      <c r="D276" s="4" t="s">
        <v>116</v>
      </c>
      <c r="E276" s="18"/>
      <c r="F276" s="1">
        <v>1</v>
      </c>
      <c r="G276" s="1"/>
      <c r="H276" s="1"/>
      <c r="I276" s="1"/>
      <c r="J276" s="1"/>
      <c r="K276" s="22"/>
    </row>
    <row r="277" spans="1:11">
      <c r="A277" s="51"/>
      <c r="B277" s="28"/>
      <c r="C277" s="4" t="s">
        <v>192</v>
      </c>
      <c r="D277" s="4" t="s">
        <v>3</v>
      </c>
      <c r="E277" s="18">
        <v>2</v>
      </c>
      <c r="F277" s="1"/>
      <c r="G277" s="1"/>
      <c r="H277" s="1">
        <v>1</v>
      </c>
      <c r="I277" s="1"/>
      <c r="J277" s="1"/>
      <c r="K277" s="22"/>
    </row>
    <row r="278" spans="1:11">
      <c r="A278" s="51"/>
      <c r="B278" s="28"/>
      <c r="C278" s="4"/>
      <c r="D278" s="4" t="s">
        <v>116</v>
      </c>
      <c r="E278" s="18"/>
      <c r="F278" s="1">
        <v>1</v>
      </c>
      <c r="G278" s="1"/>
      <c r="H278" s="1"/>
      <c r="I278" s="1"/>
      <c r="J278" s="1"/>
      <c r="K278" s="22"/>
    </row>
    <row r="279" spans="1:11">
      <c r="A279" s="51"/>
      <c r="B279" s="28"/>
      <c r="C279" s="4" t="s">
        <v>193</v>
      </c>
      <c r="D279" s="4" t="s">
        <v>15</v>
      </c>
      <c r="E279" s="18"/>
      <c r="F279" s="1">
        <v>2</v>
      </c>
      <c r="G279" s="1"/>
      <c r="H279" s="1">
        <v>1</v>
      </c>
      <c r="I279" s="1"/>
      <c r="J279" s="1"/>
      <c r="K279" s="22"/>
    </row>
    <row r="280" spans="1:11">
      <c r="A280" s="51"/>
      <c r="B280" s="28"/>
      <c r="C280" s="4" t="s">
        <v>251</v>
      </c>
      <c r="D280" s="4" t="s">
        <v>15</v>
      </c>
      <c r="E280" s="18"/>
      <c r="F280" s="1">
        <v>2</v>
      </c>
      <c r="G280" s="1"/>
      <c r="H280" s="1">
        <v>1</v>
      </c>
      <c r="I280" s="1"/>
      <c r="J280" s="1"/>
      <c r="K280" s="22"/>
    </row>
    <row r="281" spans="1:11">
      <c r="A281" s="51"/>
      <c r="B281" s="28"/>
      <c r="C281" s="4" t="s">
        <v>194</v>
      </c>
      <c r="D281" s="4" t="s">
        <v>13</v>
      </c>
      <c r="E281" s="18">
        <v>2</v>
      </c>
      <c r="F281" s="1"/>
      <c r="G281" s="1"/>
      <c r="H281" s="1">
        <v>1</v>
      </c>
      <c r="I281" s="1">
        <v>1</v>
      </c>
      <c r="J281" s="1"/>
      <c r="K281" s="22"/>
    </row>
    <row r="282" spans="1:11">
      <c r="A282" s="51"/>
      <c r="B282" s="28"/>
      <c r="C282" s="4"/>
      <c r="D282" s="4" t="s">
        <v>195</v>
      </c>
      <c r="E282" s="18"/>
      <c r="F282" s="1">
        <v>1</v>
      </c>
      <c r="G282" s="1"/>
      <c r="H282" s="1"/>
      <c r="I282" s="1"/>
      <c r="J282" s="1"/>
      <c r="K282" s="22"/>
    </row>
    <row r="283" spans="1:11">
      <c r="A283" s="51"/>
      <c r="B283" s="28"/>
      <c r="C283" s="4" t="s">
        <v>196</v>
      </c>
      <c r="D283" s="4" t="s">
        <v>15</v>
      </c>
      <c r="E283" s="18"/>
      <c r="F283" s="1"/>
      <c r="G283" s="1"/>
      <c r="H283" s="1"/>
      <c r="I283" s="1"/>
      <c r="J283" s="1"/>
      <c r="K283" s="22"/>
    </row>
    <row r="284" spans="1:11">
      <c r="A284" s="51"/>
      <c r="B284" s="28"/>
      <c r="C284" s="4" t="s">
        <v>227</v>
      </c>
      <c r="D284" s="4" t="s">
        <v>13</v>
      </c>
      <c r="E284" s="18">
        <v>2</v>
      </c>
      <c r="F284" s="1"/>
      <c r="G284" s="1"/>
      <c r="H284" s="1">
        <v>1</v>
      </c>
      <c r="I284" s="1">
        <v>1</v>
      </c>
      <c r="J284" s="1"/>
      <c r="K284" s="22"/>
    </row>
    <row r="285" spans="1:11">
      <c r="A285" s="51"/>
      <c r="B285" s="28"/>
      <c r="C285" s="4"/>
      <c r="D285" s="4" t="s">
        <v>195</v>
      </c>
      <c r="E285" s="18"/>
      <c r="F285" s="1">
        <v>1</v>
      </c>
      <c r="G285" s="1"/>
      <c r="H285" s="1"/>
      <c r="I285" s="1"/>
      <c r="J285" s="1"/>
      <c r="K285" s="22"/>
    </row>
    <row r="286" spans="1:11">
      <c r="A286" s="51"/>
      <c r="B286" s="28"/>
      <c r="C286" s="4" t="s">
        <v>228</v>
      </c>
      <c r="D286" s="4" t="s">
        <v>3</v>
      </c>
      <c r="E286" s="18">
        <v>2</v>
      </c>
      <c r="F286" s="1"/>
      <c r="G286" s="1"/>
      <c r="H286" s="1">
        <v>1</v>
      </c>
      <c r="I286" s="1"/>
      <c r="J286" s="1"/>
      <c r="K286" s="22"/>
    </row>
    <row r="287" spans="1:11">
      <c r="A287" s="51"/>
      <c r="B287" s="28"/>
      <c r="C287" s="4"/>
      <c r="D287" s="4" t="s">
        <v>116</v>
      </c>
      <c r="E287" s="18"/>
      <c r="F287" s="1">
        <v>1</v>
      </c>
      <c r="G287" s="1"/>
      <c r="H287" s="1"/>
      <c r="I287" s="1"/>
      <c r="J287" s="1"/>
      <c r="K287" s="22"/>
    </row>
    <row r="288" spans="1:11">
      <c r="A288" s="51"/>
      <c r="B288" s="28"/>
      <c r="C288" s="4" t="s">
        <v>197</v>
      </c>
      <c r="D288" s="4" t="s">
        <v>3</v>
      </c>
      <c r="E288" s="18">
        <v>2</v>
      </c>
      <c r="F288" s="1"/>
      <c r="G288" s="1"/>
      <c r="H288" s="1">
        <v>1</v>
      </c>
      <c r="I288" s="1"/>
      <c r="J288" s="1"/>
      <c r="K288" s="22"/>
    </row>
    <row r="289" spans="1:11">
      <c r="A289" s="51"/>
      <c r="B289" s="28"/>
      <c r="C289" s="4" t="s">
        <v>198</v>
      </c>
      <c r="D289" s="4" t="s">
        <v>199</v>
      </c>
      <c r="E289" s="18">
        <v>2</v>
      </c>
      <c r="F289" s="1"/>
      <c r="G289" s="1"/>
      <c r="H289" s="1">
        <v>1</v>
      </c>
      <c r="I289" s="1"/>
      <c r="J289" s="1"/>
      <c r="K289" s="22"/>
    </row>
    <row r="290" spans="1:11">
      <c r="A290" s="51"/>
      <c r="B290" s="28"/>
      <c r="C290" s="4"/>
      <c r="D290" s="4" t="s">
        <v>200</v>
      </c>
      <c r="E290" s="18"/>
      <c r="F290" s="1">
        <v>6</v>
      </c>
      <c r="G290" s="1"/>
      <c r="H290" s="1"/>
      <c r="I290" s="1"/>
      <c r="J290" s="1"/>
      <c r="K290" s="22"/>
    </row>
    <row r="291" spans="1:11">
      <c r="A291" s="51"/>
      <c r="B291" s="28"/>
      <c r="C291" s="4" t="s">
        <v>203</v>
      </c>
      <c r="D291" s="4" t="s">
        <v>3</v>
      </c>
      <c r="E291" s="18">
        <v>2</v>
      </c>
      <c r="F291" s="1"/>
      <c r="G291" s="1"/>
      <c r="H291" s="1">
        <v>1</v>
      </c>
      <c r="I291" s="1"/>
      <c r="J291" s="1"/>
      <c r="K291" s="22"/>
    </row>
    <row r="292" spans="1:11">
      <c r="A292" s="51"/>
      <c r="B292" s="28"/>
      <c r="C292" s="4"/>
      <c r="D292" s="4" t="s">
        <v>116</v>
      </c>
      <c r="E292" s="18"/>
      <c r="F292" s="1">
        <v>1</v>
      </c>
      <c r="G292" s="1"/>
      <c r="H292" s="1"/>
      <c r="I292" s="1"/>
      <c r="J292" s="1"/>
      <c r="K292" s="22"/>
    </row>
    <row r="293" spans="1:11">
      <c r="A293" s="51"/>
      <c r="B293" s="28"/>
      <c r="C293" s="4" t="s">
        <v>204</v>
      </c>
      <c r="D293" s="4" t="s">
        <v>14</v>
      </c>
      <c r="E293" s="18"/>
      <c r="F293" s="1">
        <v>2</v>
      </c>
      <c r="G293" s="1"/>
      <c r="H293" s="1">
        <v>1</v>
      </c>
      <c r="I293" s="1"/>
      <c r="J293" s="1"/>
      <c r="K293" s="22"/>
    </row>
    <row r="294" spans="1:11">
      <c r="A294" s="51"/>
      <c r="B294" s="28"/>
      <c r="C294" s="4" t="s">
        <v>225</v>
      </c>
      <c r="D294" s="4" t="s">
        <v>3</v>
      </c>
      <c r="E294" s="18">
        <v>2</v>
      </c>
      <c r="F294" s="1"/>
      <c r="G294" s="1"/>
      <c r="H294" s="1">
        <v>1</v>
      </c>
      <c r="I294" s="1"/>
      <c r="J294" s="1"/>
      <c r="K294" s="22"/>
    </row>
    <row r="295" spans="1:11">
      <c r="A295" s="51"/>
      <c r="B295" s="28"/>
      <c r="C295" s="4"/>
      <c r="D295" s="4" t="s">
        <v>116</v>
      </c>
      <c r="E295" s="18"/>
      <c r="F295" s="1">
        <v>1</v>
      </c>
      <c r="G295" s="1"/>
      <c r="H295" s="1"/>
      <c r="I295" s="1"/>
      <c r="J295" s="1"/>
      <c r="K295" s="22"/>
    </row>
    <row r="296" spans="1:11">
      <c r="A296" s="51"/>
      <c r="B296" s="28"/>
      <c r="C296" s="4" t="s">
        <v>226</v>
      </c>
      <c r="D296" s="4" t="s">
        <v>14</v>
      </c>
      <c r="E296" s="18"/>
      <c r="F296" s="1">
        <v>2</v>
      </c>
      <c r="G296" s="1"/>
      <c r="H296" s="1">
        <v>1</v>
      </c>
      <c r="I296" s="1"/>
      <c r="J296" s="1"/>
      <c r="K296" s="22"/>
    </row>
    <row r="297" spans="1:11">
      <c r="A297" s="51"/>
      <c r="B297" s="28"/>
      <c r="C297" s="4" t="s">
        <v>205</v>
      </c>
      <c r="D297" s="4" t="s">
        <v>3</v>
      </c>
      <c r="E297" s="18">
        <v>2</v>
      </c>
      <c r="F297" s="1"/>
      <c r="G297" s="1"/>
      <c r="H297" s="1">
        <v>1</v>
      </c>
      <c r="I297" s="1"/>
      <c r="J297" s="1"/>
      <c r="K297" s="22"/>
    </row>
    <row r="298" spans="1:11">
      <c r="A298" s="51"/>
      <c r="B298" s="28"/>
      <c r="C298" s="4"/>
      <c r="D298" s="4" t="s">
        <v>116</v>
      </c>
      <c r="E298" s="18"/>
      <c r="F298" s="1">
        <v>1</v>
      </c>
      <c r="G298" s="1"/>
      <c r="H298" s="1"/>
      <c r="I298" s="1"/>
      <c r="J298" s="1"/>
      <c r="K298" s="22"/>
    </row>
    <row r="299" spans="1:11">
      <c r="A299" s="51"/>
      <c r="B299" s="28"/>
      <c r="C299" s="4" t="s">
        <v>207</v>
      </c>
      <c r="D299" s="4" t="s">
        <v>13</v>
      </c>
      <c r="E299" s="18">
        <v>2</v>
      </c>
      <c r="F299" s="1"/>
      <c r="G299" s="1"/>
      <c r="H299" s="1">
        <v>1</v>
      </c>
      <c r="I299" s="1">
        <v>1</v>
      </c>
      <c r="J299" s="1"/>
      <c r="K299" s="22"/>
    </row>
    <row r="300" spans="1:11">
      <c r="A300" s="51"/>
      <c r="B300" s="28"/>
      <c r="C300" s="4"/>
      <c r="D300" s="4" t="s">
        <v>195</v>
      </c>
      <c r="E300" s="18"/>
      <c r="F300" s="1">
        <v>1</v>
      </c>
      <c r="G300" s="1"/>
      <c r="H300" s="1"/>
      <c r="I300" s="1"/>
      <c r="J300" s="1"/>
      <c r="K300" s="22"/>
    </row>
    <row r="301" spans="1:11">
      <c r="A301" s="51"/>
      <c r="B301" s="28"/>
      <c r="C301" s="4" t="s">
        <v>208</v>
      </c>
      <c r="D301" s="4" t="s">
        <v>3</v>
      </c>
      <c r="E301" s="18">
        <v>2</v>
      </c>
      <c r="F301" s="1"/>
      <c r="G301" s="1"/>
      <c r="H301" s="1">
        <v>1</v>
      </c>
      <c r="I301" s="1"/>
      <c r="J301" s="1"/>
      <c r="K301" s="22"/>
    </row>
    <row r="302" spans="1:11">
      <c r="A302" s="51"/>
      <c r="B302" s="28"/>
      <c r="C302" s="4"/>
      <c r="D302" s="4" t="s">
        <v>116</v>
      </c>
      <c r="E302" s="18"/>
      <c r="F302" s="1">
        <v>1</v>
      </c>
      <c r="G302" s="1"/>
      <c r="H302" s="1"/>
      <c r="I302" s="1"/>
      <c r="J302" s="1"/>
      <c r="K302" s="22"/>
    </row>
    <row r="303" spans="1:11">
      <c r="A303" s="51"/>
      <c r="B303" s="28"/>
      <c r="C303" s="4" t="s">
        <v>209</v>
      </c>
      <c r="D303" s="4" t="s">
        <v>14</v>
      </c>
      <c r="E303" s="18"/>
      <c r="F303" s="1">
        <v>2</v>
      </c>
      <c r="G303" s="1"/>
      <c r="H303" s="1">
        <v>1</v>
      </c>
      <c r="I303" s="1"/>
      <c r="J303" s="1"/>
      <c r="K303" s="22"/>
    </row>
    <row r="304" spans="1:11">
      <c r="A304" s="51"/>
      <c r="B304" s="28"/>
      <c r="C304" s="4" t="s">
        <v>210</v>
      </c>
      <c r="D304" s="4" t="s">
        <v>212</v>
      </c>
      <c r="E304" s="18"/>
      <c r="F304" s="1">
        <v>2</v>
      </c>
      <c r="G304" s="1"/>
      <c r="H304" s="1">
        <v>1</v>
      </c>
      <c r="I304" s="1"/>
      <c r="J304" s="1"/>
      <c r="K304" s="22"/>
    </row>
    <row r="305" spans="1:11">
      <c r="A305" s="51"/>
      <c r="B305" s="28"/>
      <c r="C305" s="4" t="s">
        <v>211</v>
      </c>
      <c r="D305" s="4" t="s">
        <v>213</v>
      </c>
      <c r="E305" s="18">
        <v>2</v>
      </c>
      <c r="F305" s="1"/>
      <c r="G305" s="1"/>
      <c r="H305" s="1">
        <v>1</v>
      </c>
      <c r="I305" s="1"/>
      <c r="J305" s="1"/>
      <c r="K305" s="22"/>
    </row>
    <row r="306" spans="1:11">
      <c r="A306" s="51"/>
      <c r="B306" s="28"/>
      <c r="C306" s="4"/>
      <c r="D306" s="4" t="s">
        <v>200</v>
      </c>
      <c r="E306" s="18"/>
      <c r="F306" s="1">
        <v>12</v>
      </c>
      <c r="G306" s="1"/>
      <c r="H306" s="1"/>
      <c r="I306" s="1"/>
      <c r="J306" s="1"/>
      <c r="K306" s="22"/>
    </row>
    <row r="307" spans="1:11">
      <c r="A307" s="51"/>
      <c r="B307" s="28"/>
      <c r="C307" s="4"/>
      <c r="D307" s="4" t="s">
        <v>22</v>
      </c>
      <c r="E307" s="18"/>
      <c r="F307" s="1">
        <v>24</v>
      </c>
      <c r="G307" s="1"/>
      <c r="H307" s="1"/>
      <c r="I307" s="1"/>
      <c r="J307" s="1"/>
      <c r="K307" s="22"/>
    </row>
    <row r="308" spans="1:11">
      <c r="A308" s="51"/>
      <c r="B308" s="28"/>
      <c r="C308" s="4"/>
      <c r="D308" s="4"/>
      <c r="E308" s="18"/>
      <c r="F308" s="1"/>
      <c r="G308" s="1"/>
      <c r="H308" s="1"/>
      <c r="I308" s="1"/>
      <c r="J308" s="1"/>
      <c r="K308" s="22"/>
    </row>
    <row r="309" spans="1:11">
      <c r="A309" s="51"/>
      <c r="B309" s="28"/>
      <c r="C309" s="4" t="s">
        <v>206</v>
      </c>
      <c r="D309" s="4" t="s">
        <v>3</v>
      </c>
      <c r="E309" s="18">
        <v>2</v>
      </c>
      <c r="F309" s="1"/>
      <c r="G309" s="1"/>
      <c r="H309" s="1">
        <v>1</v>
      </c>
      <c r="I309" s="1"/>
      <c r="J309" s="1"/>
      <c r="K309" s="22"/>
    </row>
    <row r="310" spans="1:11">
      <c r="A310" s="51"/>
      <c r="B310" s="28"/>
      <c r="C310" s="4"/>
      <c r="D310" s="4" t="s">
        <v>116</v>
      </c>
      <c r="E310" s="18"/>
      <c r="F310" s="1">
        <v>1</v>
      </c>
      <c r="G310" s="1"/>
      <c r="H310" s="1"/>
      <c r="I310" s="1"/>
      <c r="J310" s="1"/>
      <c r="K310" s="22"/>
    </row>
    <row r="311" spans="1:11">
      <c r="A311" s="51"/>
      <c r="B311" s="28"/>
      <c r="C311" s="4" t="s">
        <v>214</v>
      </c>
      <c r="D311" s="4" t="s">
        <v>13</v>
      </c>
      <c r="E311" s="18">
        <v>2</v>
      </c>
      <c r="F311" s="1"/>
      <c r="G311" s="1"/>
      <c r="H311" s="1">
        <v>1</v>
      </c>
      <c r="I311" s="1">
        <v>1</v>
      </c>
      <c r="J311" s="1"/>
      <c r="K311" s="22"/>
    </row>
    <row r="312" spans="1:11">
      <c r="A312" s="51"/>
      <c r="B312" s="28"/>
      <c r="C312" s="4"/>
      <c r="D312" s="4" t="s">
        <v>195</v>
      </c>
      <c r="E312" s="18"/>
      <c r="F312" s="1">
        <v>1</v>
      </c>
      <c r="G312" s="1"/>
      <c r="H312" s="1"/>
      <c r="I312" s="1"/>
      <c r="J312" s="1"/>
      <c r="K312" s="22"/>
    </row>
    <row r="313" spans="1:11">
      <c r="A313" s="51"/>
      <c r="B313" s="28"/>
      <c r="C313" s="4" t="s">
        <v>215</v>
      </c>
      <c r="D313" s="4" t="s">
        <v>15</v>
      </c>
      <c r="E313" s="18"/>
      <c r="F313" s="1">
        <v>2</v>
      </c>
      <c r="G313" s="1"/>
      <c r="H313" s="1">
        <v>1</v>
      </c>
      <c r="I313" s="1"/>
      <c r="J313" s="1"/>
      <c r="K313" s="22"/>
    </row>
    <row r="314" spans="1:11">
      <c r="A314" s="51"/>
      <c r="B314" s="28"/>
      <c r="C314" s="4" t="s">
        <v>216</v>
      </c>
      <c r="D314" s="4" t="s">
        <v>217</v>
      </c>
      <c r="E314" s="18"/>
      <c r="F314" s="1">
        <v>2</v>
      </c>
      <c r="G314" s="1"/>
      <c r="H314" s="1">
        <v>1</v>
      </c>
      <c r="I314" s="1"/>
      <c r="J314" s="1"/>
      <c r="K314" s="22"/>
    </row>
    <row r="315" spans="1:11">
      <c r="A315" s="51"/>
      <c r="B315" s="28"/>
      <c r="C315" s="4" t="s">
        <v>218</v>
      </c>
      <c r="D315" s="4" t="s">
        <v>3</v>
      </c>
      <c r="E315" s="18">
        <v>2</v>
      </c>
      <c r="F315" s="1"/>
      <c r="G315" s="1"/>
      <c r="H315" s="1">
        <v>1</v>
      </c>
      <c r="I315" s="1"/>
      <c r="J315" s="1"/>
      <c r="K315" s="22"/>
    </row>
    <row r="316" spans="1:11">
      <c r="A316" s="51"/>
      <c r="B316" s="28"/>
      <c r="C316" s="4"/>
      <c r="D316" s="4" t="s">
        <v>116</v>
      </c>
      <c r="E316" s="18"/>
      <c r="F316" s="1">
        <v>1</v>
      </c>
      <c r="G316" s="1"/>
      <c r="H316" s="1"/>
      <c r="I316" s="1"/>
      <c r="J316" s="1"/>
      <c r="K316" s="22"/>
    </row>
    <row r="317" spans="1:11">
      <c r="A317" s="51"/>
      <c r="B317" s="28"/>
      <c r="C317" s="4" t="s">
        <v>219</v>
      </c>
      <c r="D317" s="4" t="s">
        <v>220</v>
      </c>
      <c r="E317" s="18">
        <v>2</v>
      </c>
      <c r="F317" s="1"/>
      <c r="G317" s="1"/>
      <c r="H317" s="1">
        <v>1</v>
      </c>
      <c r="I317" s="1"/>
      <c r="J317" s="1"/>
      <c r="K317" s="22"/>
    </row>
    <row r="318" spans="1:11">
      <c r="A318" s="51"/>
      <c r="B318" s="28"/>
      <c r="C318" s="4"/>
      <c r="D318" s="4" t="s">
        <v>200</v>
      </c>
      <c r="E318" s="18"/>
      <c r="F318" s="1">
        <v>12</v>
      </c>
      <c r="G318" s="1"/>
      <c r="H318" s="1"/>
      <c r="I318" s="1"/>
      <c r="J318" s="1"/>
      <c r="K318" s="22"/>
    </row>
    <row r="319" spans="1:11">
      <c r="A319" s="51"/>
      <c r="B319" s="28"/>
      <c r="C319" s="4"/>
      <c r="D319" s="4" t="s">
        <v>22</v>
      </c>
      <c r="E319" s="18"/>
      <c r="F319" s="1">
        <v>24</v>
      </c>
      <c r="G319" s="1"/>
      <c r="H319" s="1"/>
      <c r="I319" s="1"/>
      <c r="J319" s="1"/>
      <c r="K319" s="22"/>
    </row>
    <row r="320" spans="1:11">
      <c r="A320" s="51"/>
      <c r="B320" s="28"/>
      <c r="C320" s="4"/>
      <c r="D320" s="4"/>
      <c r="E320" s="18"/>
      <c r="F320" s="1"/>
      <c r="G320" s="1"/>
      <c r="H320" s="1"/>
      <c r="I320" s="1"/>
      <c r="J320" s="1"/>
      <c r="K320" s="22"/>
    </row>
    <row r="321" spans="1:11">
      <c r="A321" s="51"/>
      <c r="B321" s="28"/>
      <c r="C321" s="5"/>
      <c r="D321" s="10"/>
      <c r="E321" s="18"/>
      <c r="F321" s="1"/>
      <c r="G321" s="1"/>
      <c r="H321" s="1"/>
      <c r="I321" s="1"/>
      <c r="J321" s="1"/>
      <c r="K321" s="22"/>
    </row>
    <row r="322" spans="1:11">
      <c r="A322" s="51"/>
      <c r="B322" s="28"/>
      <c r="C322" s="4" t="s">
        <v>153</v>
      </c>
      <c r="D322" s="4" t="s">
        <v>27</v>
      </c>
      <c r="E322" s="18"/>
      <c r="F322" s="1"/>
      <c r="G322" s="1"/>
      <c r="H322" s="1">
        <v>1</v>
      </c>
      <c r="I322" s="1"/>
      <c r="J322" s="1"/>
      <c r="K322" s="22"/>
    </row>
    <row r="323" spans="1:11">
      <c r="A323" s="51"/>
      <c r="B323" s="28"/>
      <c r="C323" s="4"/>
      <c r="D323" s="4" t="s">
        <v>22</v>
      </c>
      <c r="E323" s="18"/>
      <c r="F323" s="1">
        <v>2</v>
      </c>
      <c r="G323" s="1"/>
      <c r="H323" s="1"/>
      <c r="I323" s="1"/>
      <c r="J323" s="1"/>
      <c r="K323" s="22"/>
    </row>
    <row r="324" spans="1:11">
      <c r="A324" s="51"/>
      <c r="B324" s="28"/>
      <c r="C324" s="4" t="s">
        <v>154</v>
      </c>
      <c r="D324" s="4" t="s">
        <v>27</v>
      </c>
      <c r="E324" s="18"/>
      <c r="F324" s="1"/>
      <c r="G324" s="1"/>
      <c r="H324" s="1">
        <v>1</v>
      </c>
      <c r="I324" s="1"/>
      <c r="J324" s="1"/>
      <c r="K324" s="22"/>
    </row>
    <row r="325" spans="1:11">
      <c r="A325" s="51"/>
      <c r="B325" s="28"/>
      <c r="C325" s="4"/>
      <c r="D325" s="4" t="s">
        <v>22</v>
      </c>
      <c r="E325" s="18"/>
      <c r="F325" s="1">
        <v>2</v>
      </c>
      <c r="G325" s="1"/>
      <c r="H325" s="1"/>
      <c r="I325" s="1"/>
      <c r="J325" s="1"/>
      <c r="K325" s="22"/>
    </row>
    <row r="326" spans="1:11">
      <c r="A326" s="51"/>
      <c r="B326" s="28"/>
      <c r="C326" s="4" t="s">
        <v>155</v>
      </c>
      <c r="D326" s="4" t="s">
        <v>27</v>
      </c>
      <c r="E326" s="18"/>
      <c r="F326" s="1"/>
      <c r="G326" s="1"/>
      <c r="H326" s="1">
        <v>1</v>
      </c>
      <c r="I326" s="1"/>
      <c r="J326" s="1"/>
      <c r="K326" s="22"/>
    </row>
    <row r="327" spans="1:11">
      <c r="A327" s="51"/>
      <c r="B327" s="28"/>
      <c r="C327" s="4"/>
      <c r="D327" s="4" t="s">
        <v>22</v>
      </c>
      <c r="E327" s="18"/>
      <c r="F327" s="1">
        <v>2</v>
      </c>
      <c r="G327" s="1"/>
      <c r="H327" s="1"/>
      <c r="I327" s="1"/>
      <c r="J327" s="1"/>
      <c r="K327" s="22"/>
    </row>
    <row r="328" spans="1:11">
      <c r="A328" s="51"/>
      <c r="B328" s="28"/>
      <c r="C328" s="4" t="s">
        <v>156</v>
      </c>
      <c r="D328" s="4" t="s">
        <v>27</v>
      </c>
      <c r="E328" s="18"/>
      <c r="F328" s="1"/>
      <c r="G328" s="1"/>
      <c r="H328" s="1">
        <v>1</v>
      </c>
      <c r="I328" s="1"/>
      <c r="J328" s="1"/>
      <c r="K328" s="22"/>
    </row>
    <row r="329" spans="1:11">
      <c r="A329" s="51"/>
      <c r="B329" s="28"/>
      <c r="C329" s="4"/>
      <c r="D329" s="4" t="s">
        <v>22</v>
      </c>
      <c r="E329" s="18"/>
      <c r="F329" s="1">
        <v>2</v>
      </c>
      <c r="G329" s="1"/>
      <c r="H329" s="1"/>
      <c r="I329" s="1"/>
      <c r="J329" s="1"/>
      <c r="K329" s="22"/>
    </row>
    <row r="330" spans="1:11">
      <c r="A330" s="51"/>
      <c r="B330" s="28"/>
      <c r="C330" s="4" t="s">
        <v>157</v>
      </c>
      <c r="D330" s="4" t="s">
        <v>27</v>
      </c>
      <c r="E330" s="18"/>
      <c r="F330" s="1"/>
      <c r="G330" s="1"/>
      <c r="H330" s="1">
        <v>1</v>
      </c>
      <c r="I330" s="1"/>
      <c r="J330" s="1"/>
      <c r="K330" s="22"/>
    </row>
    <row r="331" spans="1:11">
      <c r="A331" s="51"/>
      <c r="B331" s="28"/>
      <c r="C331" s="4"/>
      <c r="D331" s="4" t="s">
        <v>22</v>
      </c>
      <c r="E331" s="18"/>
      <c r="F331" s="1">
        <v>2</v>
      </c>
      <c r="G331" s="1"/>
      <c r="H331" s="1"/>
      <c r="I331" s="1"/>
      <c r="J331" s="1"/>
      <c r="K331" s="22"/>
    </row>
    <row r="332" spans="1:11">
      <c r="A332" s="51"/>
      <c r="B332" s="28"/>
      <c r="C332" s="4" t="s">
        <v>158</v>
      </c>
      <c r="D332" s="4" t="s">
        <v>27</v>
      </c>
      <c r="E332" s="18"/>
      <c r="F332" s="1"/>
      <c r="G332" s="1"/>
      <c r="H332" s="1">
        <v>1</v>
      </c>
      <c r="I332" s="1"/>
      <c r="J332" s="1"/>
      <c r="K332" s="22"/>
    </row>
    <row r="333" spans="1:11">
      <c r="A333" s="51"/>
      <c r="B333" s="28"/>
      <c r="C333" s="4"/>
      <c r="D333" s="4" t="s">
        <v>22</v>
      </c>
      <c r="E333" s="18"/>
      <c r="F333" s="1">
        <v>2</v>
      </c>
      <c r="G333" s="1"/>
      <c r="H333" s="1"/>
      <c r="I333" s="1"/>
      <c r="J333" s="1"/>
      <c r="K333" s="22"/>
    </row>
    <row r="334" spans="1:11">
      <c r="A334" s="51"/>
      <c r="B334" s="28"/>
      <c r="C334" s="4" t="s">
        <v>177</v>
      </c>
      <c r="D334" s="4" t="s">
        <v>14</v>
      </c>
      <c r="E334" s="18"/>
      <c r="F334" s="1">
        <v>2</v>
      </c>
      <c r="G334" s="1"/>
      <c r="H334" s="1">
        <v>1</v>
      </c>
      <c r="I334" s="1"/>
      <c r="J334" s="1"/>
      <c r="K334" s="22"/>
    </row>
    <row r="335" spans="1:11">
      <c r="A335" s="51"/>
      <c r="B335" s="28"/>
      <c r="C335" s="4" t="s">
        <v>178</v>
      </c>
      <c r="D335" s="4" t="s">
        <v>14</v>
      </c>
      <c r="E335" s="18"/>
      <c r="F335" s="1">
        <v>2</v>
      </c>
      <c r="G335" s="1"/>
      <c r="H335" s="1">
        <v>1</v>
      </c>
      <c r="I335" s="1"/>
      <c r="J335" s="1"/>
      <c r="K335" s="22"/>
    </row>
    <row r="336" spans="1:11">
      <c r="A336" s="51"/>
      <c r="B336" s="28"/>
      <c r="C336" s="4" t="s">
        <v>179</v>
      </c>
      <c r="D336" s="4" t="s">
        <v>14</v>
      </c>
      <c r="E336" s="18"/>
      <c r="F336" s="1">
        <v>2</v>
      </c>
      <c r="G336" s="1"/>
      <c r="H336" s="1">
        <v>1</v>
      </c>
      <c r="I336" s="1"/>
      <c r="J336" s="1"/>
      <c r="K336" s="22"/>
    </row>
    <row r="337" spans="1:11">
      <c r="A337" s="51"/>
      <c r="B337" s="28"/>
      <c r="C337" s="4" t="s">
        <v>180</v>
      </c>
      <c r="D337" s="4" t="s">
        <v>14</v>
      </c>
      <c r="E337" s="18"/>
      <c r="F337" s="1">
        <v>2</v>
      </c>
      <c r="G337" s="1"/>
      <c r="H337" s="1">
        <v>1</v>
      </c>
      <c r="I337" s="1"/>
      <c r="J337" s="1"/>
      <c r="K337" s="22"/>
    </row>
    <row r="338" spans="1:11">
      <c r="A338" s="51"/>
      <c r="B338" s="28"/>
      <c r="C338" s="4" t="s">
        <v>181</v>
      </c>
      <c r="D338" s="4" t="s">
        <v>14</v>
      </c>
      <c r="E338" s="18"/>
      <c r="F338" s="1">
        <v>2</v>
      </c>
      <c r="G338" s="1"/>
      <c r="H338" s="1">
        <v>1</v>
      </c>
      <c r="I338" s="1"/>
      <c r="J338" s="1"/>
      <c r="K338" s="22"/>
    </row>
    <row r="339" spans="1:11">
      <c r="A339" s="51"/>
      <c r="B339" s="28"/>
      <c r="C339" s="4" t="s">
        <v>182</v>
      </c>
      <c r="D339" s="4" t="s">
        <v>14</v>
      </c>
      <c r="E339" s="18"/>
      <c r="F339" s="1">
        <v>2</v>
      </c>
      <c r="G339" s="1"/>
      <c r="H339" s="1">
        <v>1</v>
      </c>
      <c r="I339" s="1"/>
      <c r="J339" s="1"/>
      <c r="K339" s="22"/>
    </row>
    <row r="340" spans="1:11">
      <c r="A340" s="51"/>
      <c r="B340" s="28"/>
      <c r="C340" s="4" t="s">
        <v>183</v>
      </c>
      <c r="D340" s="4" t="s">
        <v>15</v>
      </c>
      <c r="E340" s="18"/>
      <c r="F340" s="1">
        <v>2</v>
      </c>
      <c r="G340" s="1"/>
      <c r="H340" s="1">
        <v>1</v>
      </c>
      <c r="I340" s="1"/>
      <c r="J340" s="1"/>
      <c r="K340" s="22"/>
    </row>
    <row r="341" spans="1:11">
      <c r="A341" s="51"/>
      <c r="B341" s="28"/>
      <c r="C341" s="4" t="s">
        <v>184</v>
      </c>
      <c r="D341" s="4" t="s">
        <v>15</v>
      </c>
      <c r="E341" s="18"/>
      <c r="F341" s="1">
        <v>2</v>
      </c>
      <c r="G341" s="1"/>
      <c r="H341" s="1">
        <v>1</v>
      </c>
      <c r="I341" s="1"/>
      <c r="J341" s="1"/>
      <c r="K341" s="22"/>
    </row>
    <row r="342" spans="1:11">
      <c r="A342" s="51"/>
      <c r="B342" s="28"/>
      <c r="C342" s="4" t="s">
        <v>224</v>
      </c>
      <c r="D342" s="4" t="s">
        <v>15</v>
      </c>
      <c r="E342" s="18"/>
      <c r="F342" s="1">
        <v>2</v>
      </c>
      <c r="G342" s="1"/>
      <c r="H342" s="1">
        <v>1</v>
      </c>
      <c r="I342" s="1"/>
      <c r="J342" s="1"/>
      <c r="K342" s="22"/>
    </row>
    <row r="343" spans="1:11">
      <c r="A343" s="51"/>
      <c r="B343" s="28"/>
      <c r="C343" s="4" t="s">
        <v>185</v>
      </c>
      <c r="D343" s="4" t="s">
        <v>15</v>
      </c>
      <c r="E343" s="18"/>
      <c r="F343" s="1">
        <v>2</v>
      </c>
      <c r="G343" s="1"/>
      <c r="H343" s="1">
        <v>1</v>
      </c>
      <c r="I343" s="1"/>
      <c r="J343" s="1"/>
      <c r="K343" s="22"/>
    </row>
    <row r="344" spans="1:11">
      <c r="A344" s="51"/>
      <c r="B344" s="28"/>
      <c r="C344" s="4" t="s">
        <v>186</v>
      </c>
      <c r="D344" s="4" t="s">
        <v>15</v>
      </c>
      <c r="E344" s="18"/>
      <c r="F344" s="1">
        <v>2</v>
      </c>
      <c r="G344" s="1"/>
      <c r="H344" s="1">
        <v>1</v>
      </c>
      <c r="I344" s="1"/>
      <c r="J344" s="1"/>
      <c r="K344" s="22"/>
    </row>
    <row r="345" spans="1:11">
      <c r="A345" s="51"/>
      <c r="B345" s="28"/>
      <c r="C345" s="4" t="s">
        <v>187</v>
      </c>
      <c r="D345" s="4" t="s">
        <v>15</v>
      </c>
      <c r="E345" s="18"/>
      <c r="F345" s="1">
        <v>2</v>
      </c>
      <c r="G345" s="1"/>
      <c r="H345" s="1">
        <v>1</v>
      </c>
      <c r="I345" s="1"/>
      <c r="J345" s="1"/>
      <c r="K345" s="22"/>
    </row>
    <row r="346" spans="1:11">
      <c r="A346" s="51"/>
      <c r="B346" s="28"/>
      <c r="C346" s="4" t="s">
        <v>188</v>
      </c>
      <c r="D346" s="4" t="s">
        <v>15</v>
      </c>
      <c r="E346" s="18"/>
      <c r="F346" s="1">
        <v>2</v>
      </c>
      <c r="G346" s="1"/>
      <c r="H346" s="1">
        <v>1</v>
      </c>
      <c r="I346" s="1"/>
      <c r="J346" s="1"/>
      <c r="K346" s="22"/>
    </row>
    <row r="347" spans="1:11">
      <c r="A347" s="51"/>
      <c r="B347" s="28"/>
      <c r="C347" s="4" t="s">
        <v>201</v>
      </c>
      <c r="D347" s="4" t="s">
        <v>3</v>
      </c>
      <c r="E347" s="18">
        <v>2</v>
      </c>
      <c r="F347" s="1"/>
      <c r="G347" s="1"/>
      <c r="H347" s="1">
        <v>1</v>
      </c>
      <c r="I347" s="1"/>
      <c r="J347" s="1"/>
      <c r="K347" s="22"/>
    </row>
    <row r="348" spans="1:11">
      <c r="A348" s="51"/>
      <c r="B348" s="28"/>
      <c r="C348" s="4"/>
      <c r="D348" s="4" t="s">
        <v>116</v>
      </c>
      <c r="E348" s="18"/>
      <c r="F348" s="1">
        <v>1</v>
      </c>
      <c r="G348" s="1"/>
      <c r="H348" s="1"/>
      <c r="I348" s="1"/>
      <c r="J348" s="1"/>
      <c r="K348" s="22"/>
    </row>
    <row r="349" spans="1:11">
      <c r="A349" s="51"/>
      <c r="B349" s="28"/>
      <c r="C349" s="5" t="s">
        <v>202</v>
      </c>
      <c r="D349" s="4" t="s">
        <v>3</v>
      </c>
      <c r="E349" s="18">
        <v>2</v>
      </c>
      <c r="F349" s="1"/>
      <c r="G349" s="1"/>
      <c r="H349" s="1">
        <v>1</v>
      </c>
      <c r="I349" s="18"/>
      <c r="J349" s="18"/>
      <c r="K349" s="22"/>
    </row>
    <row r="350" spans="1:11">
      <c r="A350" s="51"/>
      <c r="B350" s="28"/>
      <c r="C350" s="5"/>
      <c r="D350" s="4" t="s">
        <v>116</v>
      </c>
      <c r="E350" s="1"/>
      <c r="F350" s="1">
        <v>1</v>
      </c>
      <c r="G350" s="1"/>
      <c r="H350" s="1"/>
      <c r="I350" s="18"/>
      <c r="J350" s="18"/>
      <c r="K350" s="22"/>
    </row>
    <row r="351" spans="1:11">
      <c r="A351" s="51"/>
      <c r="B351" s="28"/>
      <c r="C351" s="5"/>
      <c r="D351" s="4"/>
      <c r="E351" s="1"/>
      <c r="F351" s="1"/>
      <c r="G351" s="1"/>
      <c r="H351" s="1"/>
      <c r="I351" s="1"/>
      <c r="J351" s="1"/>
      <c r="K351" s="22"/>
    </row>
    <row r="352" spans="1:11">
      <c r="A352" s="51"/>
      <c r="B352" s="28"/>
      <c r="C352" s="5"/>
      <c r="D352" s="4"/>
      <c r="E352" s="1"/>
      <c r="F352" s="1"/>
      <c r="G352" s="1"/>
      <c r="H352" s="1"/>
      <c r="I352" s="1"/>
      <c r="J352" s="1"/>
      <c r="K352" s="22"/>
    </row>
    <row r="353" spans="1:11">
      <c r="A353" s="51"/>
      <c r="B353" s="28"/>
      <c r="C353" s="5"/>
      <c r="D353" s="5"/>
      <c r="E353" s="18"/>
      <c r="F353" s="18"/>
      <c r="G353" s="18"/>
      <c r="H353" s="18"/>
      <c r="I353" s="18"/>
      <c r="J353" s="18"/>
      <c r="K353" s="22"/>
    </row>
    <row r="354" spans="1:11">
      <c r="A354" s="51"/>
      <c r="B354" s="28"/>
      <c r="C354" s="5"/>
      <c r="D354" s="5"/>
      <c r="E354" s="18"/>
      <c r="F354" s="18"/>
      <c r="G354" s="18"/>
      <c r="H354" s="18"/>
      <c r="I354" s="18"/>
      <c r="J354" s="18"/>
      <c r="K354" s="22"/>
    </row>
    <row r="355" spans="1:11">
      <c r="A355" s="51"/>
      <c r="B355" s="28"/>
      <c r="C355" s="5"/>
      <c r="D355" s="4"/>
      <c r="E355" s="1"/>
      <c r="F355" s="1"/>
      <c r="G355" s="1"/>
      <c r="H355" s="1"/>
      <c r="I355" s="1"/>
      <c r="J355" s="1"/>
      <c r="K355" s="22"/>
    </row>
    <row r="356" spans="1:11">
      <c r="A356" s="51"/>
      <c r="B356" s="29"/>
      <c r="C356" s="42" t="s">
        <v>18</v>
      </c>
      <c r="D356" s="43"/>
      <c r="E356" s="37">
        <f>SUM(E119:E355)</f>
        <v>76</v>
      </c>
      <c r="F356" s="37">
        <f t="shared" ref="F356:J356" si="10">SUM(F119:F355)</f>
        <v>340</v>
      </c>
      <c r="G356" s="37">
        <f t="shared" si="10"/>
        <v>0</v>
      </c>
      <c r="H356" s="37">
        <f t="shared" si="10"/>
        <v>135</v>
      </c>
      <c r="I356" s="37">
        <f t="shared" si="10"/>
        <v>17</v>
      </c>
      <c r="J356" s="37">
        <f t="shared" si="10"/>
        <v>0</v>
      </c>
      <c r="K356" s="22"/>
    </row>
    <row r="357" spans="1:11">
      <c r="A357" s="51"/>
      <c r="B357" s="12"/>
      <c r="K357" s="22"/>
    </row>
    <row r="358" spans="1:11">
      <c r="A358" s="51"/>
      <c r="B358" s="12"/>
      <c r="K358" s="22"/>
    </row>
    <row r="359" spans="1:11">
      <c r="A359" s="51"/>
      <c r="B359" s="12"/>
      <c r="K359" s="22"/>
    </row>
    <row r="360" spans="1:11">
      <c r="A360" s="51"/>
      <c r="B360" s="12"/>
      <c r="C360" s="44" t="s">
        <v>23</v>
      </c>
      <c r="D360" s="45"/>
      <c r="E360" s="40">
        <f t="shared" ref="E360:J360" si="11">E356+E118+E104+E80+E53+E25</f>
        <v>124</v>
      </c>
      <c r="F360" s="40">
        <f t="shared" si="11"/>
        <v>422</v>
      </c>
      <c r="G360" s="40">
        <f t="shared" si="11"/>
        <v>0</v>
      </c>
      <c r="H360" s="40">
        <f t="shared" si="11"/>
        <v>205</v>
      </c>
      <c r="I360" s="40">
        <f t="shared" si="11"/>
        <v>23</v>
      </c>
      <c r="J360" s="40">
        <f t="shared" si="11"/>
        <v>0</v>
      </c>
      <c r="K360" s="22"/>
    </row>
    <row r="361" spans="1:11">
      <c r="A361" s="51"/>
      <c r="B361" s="12"/>
      <c r="C361" s="46"/>
      <c r="D361" s="45"/>
      <c r="E361" s="41"/>
      <c r="F361" s="41"/>
      <c r="G361" s="41"/>
      <c r="H361" s="41"/>
      <c r="I361" s="41"/>
      <c r="J361" s="41"/>
      <c r="K361" s="22"/>
    </row>
    <row r="362" spans="1:11">
      <c r="A362" s="51"/>
      <c r="B362" s="12"/>
      <c r="K362" s="22"/>
    </row>
    <row r="363" spans="1:11">
      <c r="A363" s="51"/>
      <c r="B363" s="12"/>
      <c r="K363" s="22"/>
    </row>
    <row r="364" spans="1:11">
      <c r="A364" s="51"/>
      <c r="B364" s="12"/>
      <c r="D364" s="15" t="s">
        <v>24</v>
      </c>
      <c r="E364" s="6"/>
      <c r="F364" s="16">
        <f>E360+F360</f>
        <v>546</v>
      </c>
      <c r="K364" s="22"/>
    </row>
    <row r="365" spans="1:11">
      <c r="A365" s="51"/>
      <c r="B365" s="12"/>
      <c r="D365" s="15" t="s">
        <v>25</v>
      </c>
      <c r="E365" s="6"/>
      <c r="F365" s="16">
        <f>H360</f>
        <v>205</v>
      </c>
      <c r="K365" s="22"/>
    </row>
    <row r="366" spans="1:11">
      <c r="A366" s="51"/>
      <c r="B366" s="12"/>
      <c r="D366" s="15" t="s">
        <v>26</v>
      </c>
      <c r="E366" s="6"/>
      <c r="F366" s="16">
        <f>I360</f>
        <v>23</v>
      </c>
      <c r="K366" s="22"/>
    </row>
    <row r="367" spans="1:11">
      <c r="A367" s="51"/>
      <c r="B367" s="12"/>
      <c r="K367" s="22"/>
    </row>
    <row r="368" spans="1:11">
      <c r="A368" s="51"/>
      <c r="B368" s="14"/>
      <c r="K368" s="22"/>
    </row>
    <row r="369" spans="1:11">
      <c r="A369" s="51"/>
      <c r="B369" s="14"/>
      <c r="K369" s="22"/>
    </row>
    <row r="370" spans="1:11">
      <c r="A370" s="51"/>
      <c r="K370" s="22"/>
    </row>
    <row r="371" spans="1:11">
      <c r="A371" s="51"/>
      <c r="K371" s="22"/>
    </row>
    <row r="372" spans="1:11">
      <c r="A372" s="51"/>
      <c r="K372" s="22"/>
    </row>
    <row r="373" spans="1:11">
      <c r="A373" s="51"/>
      <c r="K373" s="22"/>
    </row>
    <row r="374" spans="1:11">
      <c r="A374" s="51"/>
      <c r="K374" s="22"/>
    </row>
    <row r="375" spans="1:11">
      <c r="A375" s="51"/>
      <c r="K375" s="22"/>
    </row>
    <row r="376" spans="1:11">
      <c r="A376" s="51"/>
      <c r="K376" s="22"/>
    </row>
    <row r="377" spans="1:11">
      <c r="A377" s="51"/>
      <c r="K377" s="22"/>
    </row>
    <row r="378" spans="1:11">
      <c r="A378" s="51"/>
      <c r="K378" s="22"/>
    </row>
    <row r="379" spans="1:11">
      <c r="A379" s="51"/>
      <c r="K379" s="22"/>
    </row>
    <row r="380" spans="1:11">
      <c r="A380" s="51"/>
      <c r="K380" s="23"/>
    </row>
    <row r="381" spans="1:11">
      <c r="A381" s="20"/>
    </row>
    <row r="382" spans="1:11">
      <c r="A382" s="20"/>
    </row>
    <row r="383" spans="1:11">
      <c r="A383" s="20"/>
    </row>
    <row r="384" spans="1:11">
      <c r="A384" s="20"/>
      <c r="K384" s="25"/>
    </row>
    <row r="385" spans="1:11">
      <c r="A385" s="20"/>
      <c r="K385" s="25"/>
    </row>
    <row r="386" spans="1:11">
      <c r="A386" s="20"/>
    </row>
    <row r="387" spans="1:11">
      <c r="A387" s="20"/>
    </row>
    <row r="388" spans="1:11">
      <c r="A388" s="20"/>
    </row>
    <row r="389" spans="1:11">
      <c r="A389" s="20"/>
    </row>
    <row r="390" spans="1:11">
      <c r="A390" s="20"/>
    </row>
    <row r="391" spans="1:11">
      <c r="A391" s="20"/>
    </row>
    <row r="392" spans="1:11">
      <c r="A392" s="20"/>
    </row>
    <row r="393" spans="1:11">
      <c r="A393" s="20"/>
    </row>
    <row r="394" spans="1:11">
      <c r="A394" s="20"/>
    </row>
  </sheetData>
  <mergeCells count="23">
    <mergeCell ref="A133:A380"/>
    <mergeCell ref="B165:B171"/>
    <mergeCell ref="B133:B154"/>
    <mergeCell ref="B172:B178"/>
    <mergeCell ref="A2:A132"/>
    <mergeCell ref="C104:D104"/>
    <mergeCell ref="C25:D25"/>
    <mergeCell ref="B81:B104"/>
    <mergeCell ref="C118:D118"/>
    <mergeCell ref="B105:B118"/>
    <mergeCell ref="B2:B25"/>
    <mergeCell ref="C53:D53"/>
    <mergeCell ref="B26:B53"/>
    <mergeCell ref="C80:D80"/>
    <mergeCell ref="B54:B80"/>
    <mergeCell ref="H360:H361"/>
    <mergeCell ref="I360:I361"/>
    <mergeCell ref="J360:J361"/>
    <mergeCell ref="E360:E361"/>
    <mergeCell ref="C356:D356"/>
    <mergeCell ref="C360:D361"/>
    <mergeCell ref="F360:F361"/>
    <mergeCell ref="G360:G361"/>
  </mergeCells>
  <pageMargins left="0.2" right="0.1" top="0.1" bottom="0.1" header="0.3" footer="0.3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Epuipment MC Intake</vt:lpstr>
      <vt:lpstr>'Epuipment MC Intake'!Print_Titles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นราพงษ์ วงศ์อำมาตย์</dc:creator>
  <cp:lastModifiedBy>พิรุณ ทองนำ</cp:lastModifiedBy>
  <cp:lastPrinted>2022-11-24T02:11:23Z</cp:lastPrinted>
  <dcterms:created xsi:type="dcterms:W3CDTF">2018-12-18T06:58:39Z</dcterms:created>
  <dcterms:modified xsi:type="dcterms:W3CDTF">2022-11-24T05:59:33Z</dcterms:modified>
</cp:coreProperties>
</file>